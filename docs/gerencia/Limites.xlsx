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kmmpcompe-my.sharepoint.com/personal/carlos_ortiz_kmmp_com_pe/Documents/Documentos/Escritorio/"/>
    </mc:Choice>
  </mc:AlternateContent>
  <xr:revisionPtr revIDLastSave="4" documentId="11_AD4D2F04E46CFB4ACB3E203C6553C2A4693EDF1A" xr6:coauthVersionLast="47" xr6:coauthVersionMax="47" xr10:uidLastSave="{465CEC66-8356-4CB2-8D5D-59CC4E1A62B6}"/>
  <bookViews>
    <workbookView xWindow="-110" yWindow="-110" windowWidth="19420" windowHeight="115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5" i="1" l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<sst xmlns="http://schemas.openxmlformats.org/spreadsheetml/2006/main" count="297" uniqueCount="120">
  <si>
    <t>CRUCE</t>
  </si>
  <si>
    <t>Proyecto</t>
  </si>
  <si>
    <t>COMPONENTE</t>
  </si>
  <si>
    <t>FIERRO - LP</t>
  </si>
  <si>
    <t>FIERRO - LC</t>
  </si>
  <si>
    <t>ALUMINIO - LP</t>
  </si>
  <si>
    <t>ALUMINIO - LC</t>
  </si>
  <si>
    <t>COBRE - LP</t>
  </si>
  <si>
    <t>COBRE - LC</t>
  </si>
  <si>
    <t>PLOMO - LP</t>
  </si>
  <si>
    <t>PLOMO - LC</t>
  </si>
  <si>
    <t xml:space="preserve">ESTAÑO - LP </t>
  </si>
  <si>
    <t>ESTAÑO - LC</t>
  </si>
  <si>
    <t>CROMO - LP</t>
  </si>
  <si>
    <t>CROMO - LC</t>
  </si>
  <si>
    <t>NIQUEL - LP</t>
  </si>
  <si>
    <t>NIQUEL - LC</t>
  </si>
  <si>
    <t>SILICIO - LP</t>
  </si>
  <si>
    <t>SILICIO - LC</t>
  </si>
  <si>
    <t>SODIO - LP</t>
  </si>
  <si>
    <t>SODIO - LC</t>
  </si>
  <si>
    <t>POTASIO - LP</t>
  </si>
  <si>
    <t>POTASIO - LC</t>
  </si>
  <si>
    <t>ZINC - LP</t>
  </si>
  <si>
    <t>ZINC - LC</t>
  </si>
  <si>
    <t>FOSFORO - LP</t>
  </si>
  <si>
    <t>FOSFORO - LC</t>
  </si>
  <si>
    <t>BORO - LP</t>
  </si>
  <si>
    <t>BORO - LC</t>
  </si>
  <si>
    <t>BARIO - LP</t>
  </si>
  <si>
    <t>BARIO - LC</t>
  </si>
  <si>
    <t>CALCIO - LP</t>
  </si>
  <si>
    <t>CALCIO - LC</t>
  </si>
  <si>
    <t>MAGNESIO - LP</t>
  </si>
  <si>
    <t>MAGNESIO - LC</t>
  </si>
  <si>
    <t>CADMIO - LP</t>
  </si>
  <si>
    <t>CADMIO - LC</t>
  </si>
  <si>
    <t>VANADIO - LP</t>
  </si>
  <si>
    <t>VANADIO - LC</t>
  </si>
  <si>
    <t>VISC - LPI</t>
  </si>
  <si>
    <t>VISC - LCI</t>
  </si>
  <si>
    <t>VISC - LPS</t>
  </si>
  <si>
    <t>VISC - LCS</t>
  </si>
  <si>
    <t>PQ - LP</t>
  </si>
  <si>
    <t>PQ - LC</t>
  </si>
  <si>
    <t>OXI - LP</t>
  </si>
  <si>
    <t>OXI - LC</t>
  </si>
  <si>
    <t>SULF - LP</t>
  </si>
  <si>
    <t>SULF - LC</t>
  </si>
  <si>
    <t>NIT - LP</t>
  </si>
  <si>
    <t>NIT - LC</t>
  </si>
  <si>
    <t>TBN - LP</t>
  </si>
  <si>
    <t>TBN - LC</t>
  </si>
  <si>
    <t>HOLLIN - LP</t>
  </si>
  <si>
    <t>HOLLIN - LC</t>
  </si>
  <si>
    <t>MOLIBDENO - LP</t>
  </si>
  <si>
    <t>MOLIBDENO - LC</t>
  </si>
  <si>
    <t>ISO 4um - LP</t>
  </si>
  <si>
    <t>ISO 4um - LC</t>
  </si>
  <si>
    <t>ISO 6um - LP</t>
  </si>
  <si>
    <t>ISO 6um - LC</t>
  </si>
  <si>
    <t>ISO 14um - LP</t>
  </si>
  <si>
    <t>ISO 14um - LC</t>
  </si>
  <si>
    <t>Glycol - LP</t>
  </si>
  <si>
    <t>Glycol - LC</t>
  </si>
  <si>
    <t>H20 - LP</t>
  </si>
  <si>
    <t>H20 - LC</t>
  </si>
  <si>
    <t>MODELO</t>
  </si>
  <si>
    <t>TIPO</t>
  </si>
  <si>
    <t>VISC40 - LPI</t>
  </si>
  <si>
    <t>VISC40 - LCI</t>
  </si>
  <si>
    <t>AW% - LPI</t>
  </si>
  <si>
    <t>AW% - LCI</t>
  </si>
  <si>
    <t>TAN - LP</t>
  </si>
  <si>
    <t>TAN - LC</t>
  </si>
  <si>
    <t>Diesel - LP</t>
  </si>
  <si>
    <t>Diesel - LC</t>
  </si>
  <si>
    <t>VISC40 - LPS</t>
  </si>
  <si>
    <t>VISC40 - LCS</t>
  </si>
  <si>
    <t>PLATA- LP</t>
  </si>
  <si>
    <t>PLATA - LC</t>
  </si>
  <si>
    <t>ANTIMONIO - LP</t>
  </si>
  <si>
    <t>ANTIMONIO - LC</t>
  </si>
  <si>
    <t>LITIO - LP</t>
  </si>
  <si>
    <t>LITIO - LC</t>
  </si>
  <si>
    <t>ANTAPACCAY</t>
  </si>
  <si>
    <t>MOTOR DE TRACCION RH</t>
  </si>
  <si>
    <t>980E</t>
  </si>
  <si>
    <t>MOTOR DE TRACCION LH</t>
  </si>
  <si>
    <t>RUEDA DELANTERA RH</t>
  </si>
  <si>
    <t>RUEDA DELANTERA LH</t>
  </si>
  <si>
    <t>SISTEMA HIDRAULICO</t>
  </si>
  <si>
    <t>MOTOR</t>
  </si>
  <si>
    <t>TOROMOCHO</t>
  </si>
  <si>
    <t>CERRO VERDE</t>
  </si>
  <si>
    <t>ANTAMINA</t>
  </si>
  <si>
    <t>5SE</t>
  </si>
  <si>
    <t>PC1250</t>
  </si>
  <si>
    <t>11R</t>
  </si>
  <si>
    <t>PTO</t>
  </si>
  <si>
    <t>CAJA GIRO FRONT</t>
  </si>
  <si>
    <t>CAJA GIRO REAR</t>
  </si>
  <si>
    <t>MANDO FINAL LH</t>
  </si>
  <si>
    <t>MANDO FINAL RH</t>
  </si>
  <si>
    <t>D475A</t>
  </si>
  <si>
    <t>8R</t>
  </si>
  <si>
    <t>DAMPER</t>
  </si>
  <si>
    <t>TRANSMISION</t>
  </si>
  <si>
    <t>730E-</t>
  </si>
  <si>
    <t>QUELLAVECO</t>
  </si>
  <si>
    <t>D65ROC</t>
  </si>
  <si>
    <t>COMPRESOR</t>
  </si>
  <si>
    <t>PV351</t>
  </si>
  <si>
    <t>CABEZAL GIRATORIO</t>
  </si>
  <si>
    <t>BOMBA INYECCION AGUA</t>
  </si>
  <si>
    <t>MANDO FINAL DELANTERO LH</t>
  </si>
  <si>
    <t>WE2350</t>
  </si>
  <si>
    <t>MANDO FINAL DELANTERO RH</t>
  </si>
  <si>
    <t>MANDO FINAL POSTERIOR LH</t>
  </si>
  <si>
    <t>MANDO FINAL POSTERIOR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</si>
</sst>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name val="Calibri"/>
      <family val="2"/>
      <charset val="1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sz val="1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333FF"/>
        <bgColor rgb="FF33339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0">
    <xf numFmtId="0" fontId="0" fillId="0" borderId="0" xfId="0"/>
    <xf numFmtId="0" fontId="0" fillId="0" borderId="5" xfId="0" applyBorder="1" applyAlignment="1">
      <alignment horizontal="center"/>
    </xf>
    <xf numFmtId="0" fontId="4" fillId="0" borderId="6" xfId="0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5" borderId="6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64" fontId="0" fillId="6" borderId="6" xfId="0" applyNumberForma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" fontId="0" fillId="5" borderId="2" xfId="0" applyNumberFormat="1" applyFill="1" applyBorder="1" applyAlignment="1">
      <alignment horizontal="center"/>
    </xf>
    <xf numFmtId="1" fontId="0" fillId="5" borderId="6" xfId="0" applyNumberForma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11" fontId="0" fillId="0" borderId="8" xfId="0" applyNumberFormat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textRotation="90"/>
    </xf>
    <xf numFmtId="0" fontId="1" fillId="4" borderId="2" xfId="0" applyFont="1" applyFill="1" applyBorder="1" applyAlignment="1">
      <alignment horizontal="center" vertical="center" textRotation="90"/>
    </xf>
    <xf numFmtId="0" fontId="1" fillId="4" borderId="3" xfId="0" applyFont="1" applyFill="1" applyBorder="1" applyAlignment="1">
      <alignment horizontal="center" vertical="center" textRotation="90"/>
    </xf>
    <xf numFmtId="0" fontId="1" fillId="3" borderId="4" xfId="0" applyFont="1" applyFill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 textRotation="90"/>
    </xf>
    <xf numFmtId="0" fontId="0" fillId="0" borderId="6" xfId="0" applyBorder="1" applyAlignment="1"/>
    <xf numFmtId="0" fontId="0" fillId="0" borderId="7" xfId="0" applyBorder="1" applyAlignment="1"/>
    <xf numFmtId="0" fontId="0" fillId="0" borderId="2" xfId="0" applyBorder="1" applyAlignment="1"/>
    <xf numFmtId="0" fontId="0" fillId="5" borderId="2" xfId="0" applyFill="1" applyBorder="1" applyAlignment="1"/>
    <xf numFmtId="0" fontId="0" fillId="5" borderId="6" xfId="0" applyFill="1" applyBorder="1" applyAlignment="1"/>
    <xf numFmtId="0" fontId="0" fillId="5" borderId="7" xfId="0" applyFill="1" applyBorder="1" applyAlignment="1"/>
    <xf numFmtId="0" fontId="6" fillId="5" borderId="6" xfId="0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10" xfId="0" applyBorder="1" applyAlignment="1"/>
  </cellXfs>
  <cellStyles count="2">
    <cellStyle name="Normal" xfId="0" builtinId="0"/>
    <cellStyle name="Normal 4" xfId="1" xr:uid="{73DFE502-E292-40B7-BAD3-7B5A856A455F}"/>
  </cellStyles>
  <dxfs count="89">
    <dxf>
      <alignment wrapText="0" indent="0" justifyLastLine="0" shrinkToFit="0" readingOrder="0"/>
    </dxf>
    <dxf>
      <alignment wrapText="0" indent="0" justifyLastLine="0" shrinkToFit="0" readingOrder="0"/>
    </dxf>
    <dxf>
      <alignment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6ACB1-F6EC-4DD2-B017-112B533E9160}" name="tabla_BD_LC" displayName="tabla_BD_LC" ref="A1:CG65" totalsRowShown="0" headerRowDxfId="1" dataDxfId="0" headerRowBorderDxfId="87" tableBorderDxfId="88">
  <autoFilter ref="A1:CG65" xr:uid="{AEA6ACB1-F6EC-4DD2-B017-112B533E9160}"/>
  <tableColumns count="85">
    <tableColumn id="1" xr3:uid="{4809C9D9-7149-481F-92B6-8949006EBF9B}" name="CRUCE" dataDxfId="86">
      <calculatedColumnFormula>CONCATENATE(B2,C2,BP2,BQ2)</calculatedColumnFormula>
    </tableColumn>
    <tableColumn id="2" xr3:uid="{38919EFF-DB5C-4C55-A9E4-228745DF5A60}" name="Proyecto" dataDxfId="85"/>
    <tableColumn id="3" xr3:uid="{590EFCFC-5DD2-47E8-BFD2-E020098A8117}" name="COMPONENTE" dataDxfId="84"/>
    <tableColumn id="4" xr3:uid="{5EA9A831-2945-4EDD-9593-13EC2A8DB0A6}" name="FIERRO - LP" dataDxfId="83"/>
    <tableColumn id="5" xr3:uid="{269B10DD-6818-4714-B509-7B01ADCF3D09}" name="FIERRO - LC" dataDxfId="82"/>
    <tableColumn id="6" xr3:uid="{D8606877-7D65-4D12-8714-80EF7F3F3E53}" name="ALUMINIO - LP" dataDxfId="81"/>
    <tableColumn id="7" xr3:uid="{6ED18AC4-A093-40D9-90A7-CC3F11537CF0}" name="ALUMINIO - LC" dataDxfId="80"/>
    <tableColumn id="8" xr3:uid="{848F8586-EECB-40B2-A4F5-2E542F7ECCE5}" name="COBRE - LP" dataDxfId="79"/>
    <tableColumn id="9" xr3:uid="{7CB09AD9-997F-45FB-96E0-E2B82E6C1AE7}" name="COBRE - LC" dataDxfId="78"/>
    <tableColumn id="10" xr3:uid="{8CEAE446-9609-4F7C-B138-C6642783D395}" name="PLOMO - LP" dataDxfId="77"/>
    <tableColumn id="11" xr3:uid="{41D16AA7-1F7E-4996-9D35-400F7BE2FBFA}" name="PLOMO - LC" dataDxfId="76"/>
    <tableColumn id="12" xr3:uid="{0C360DA5-53A6-416C-B23F-18FBAAF55742}" name="ESTAÑO - LP " dataDxfId="75"/>
    <tableColumn id="13" xr3:uid="{A6585184-839E-4812-98FF-9CF5858061A7}" name="ESTAÑO - LC" dataDxfId="74"/>
    <tableColumn id="14" xr3:uid="{65786341-2D33-405E-BC8F-29104AA1CBA1}" name="CROMO - LP" dataDxfId="73"/>
    <tableColumn id="15" xr3:uid="{50DDC266-5379-4E8C-ADD4-4B51FEADEAF0}" name="CROMO - LC" dataDxfId="72"/>
    <tableColumn id="16" xr3:uid="{B5F3E2D1-FFF8-47B7-90D6-E84AA64C7FEF}" name="NIQUEL - LP" dataDxfId="71"/>
    <tableColumn id="17" xr3:uid="{A9854631-81D5-46FC-B0D2-0DFE351A063E}" name="NIQUEL - LC" dataDxfId="70"/>
    <tableColumn id="18" xr3:uid="{F5173C0C-C735-491F-BD41-C083F501894D}" name="SILICIO - LP" dataDxfId="69"/>
    <tableColumn id="19" xr3:uid="{0AA36027-D68A-48D4-82C2-4B01DE468B9A}" name="SILICIO - LC" dataDxfId="68"/>
    <tableColumn id="20" xr3:uid="{0A4F72D3-BF41-48FF-B61C-9F55EF7A482D}" name="SODIO - LP" dataDxfId="67"/>
    <tableColumn id="21" xr3:uid="{E5C6A9E9-8B92-41CC-9717-FC1E689256D1}" name="SODIO - LC" dataDxfId="66"/>
    <tableColumn id="22" xr3:uid="{14327D87-606A-40EE-BBFC-F9B26E6C648C}" name="POTASIO - LP" dataDxfId="65"/>
    <tableColumn id="23" xr3:uid="{04E8603D-7D78-40FC-AB45-4D4F690B9813}" name="POTASIO - LC" dataDxfId="64"/>
    <tableColumn id="24" xr3:uid="{557FCE99-E93A-4194-A8DD-512FAF99456F}" name="ZINC - LP" dataDxfId="63"/>
    <tableColumn id="25" xr3:uid="{5D80AF49-4F2B-4BDF-BB37-C532F435B6D2}" name="ZINC - LC" dataDxfId="62"/>
    <tableColumn id="26" xr3:uid="{12B70042-E249-4783-845C-0AF8BCC38F80}" name="FOSFORO - LP" dataDxfId="61"/>
    <tableColumn id="27" xr3:uid="{5278FD49-5BC8-43A2-B715-8818886506DA}" name="FOSFORO - LC" dataDxfId="60"/>
    <tableColumn id="28" xr3:uid="{F9D0F9AE-526B-46EE-A8FE-FB1EEB3644BA}" name="BORO - LP" dataDxfId="59"/>
    <tableColumn id="29" xr3:uid="{715DF8CD-75EE-4169-ABA0-FE649D295725}" name="BORO - LC" dataDxfId="58"/>
    <tableColumn id="30" xr3:uid="{8A75A20C-9B10-4447-9B48-87AF5D8A8ED5}" name="BARIO - LP" dataDxfId="57"/>
    <tableColumn id="31" xr3:uid="{7B8970E0-E368-4B3E-AAE2-33CF37873BBE}" name="BARIO - LC" dataDxfId="56"/>
    <tableColumn id="32" xr3:uid="{112243B9-6B7C-46D6-BC2C-C6FADD482806}" name="CALCIO - LP" dataDxfId="55"/>
    <tableColumn id="33" xr3:uid="{335548E8-DD07-42BA-B2A9-11B7E69E4E9D}" name="CALCIO - LC" dataDxfId="54"/>
    <tableColumn id="34" xr3:uid="{7409DB8B-0444-49E5-A158-958E9617C6B1}" name="MAGNESIO - LP" dataDxfId="53"/>
    <tableColumn id="35" xr3:uid="{BA98C603-8CCC-4B20-8503-FBDA33E0E2C9}" name="MAGNESIO - LC" dataDxfId="52"/>
    <tableColumn id="36" xr3:uid="{559AFF6C-9B2F-46D4-AFC9-2B034CD77078}" name="CADMIO - LP" dataDxfId="51"/>
    <tableColumn id="37" xr3:uid="{EDD03FFB-E5CA-4D27-9FC2-3D1C4A89138A}" name="CADMIO - LC" dataDxfId="50"/>
    <tableColumn id="38" xr3:uid="{0ED0B72F-F230-44A7-B0A2-AEAC4C6D0398}" name="VANADIO - LP" dataDxfId="49"/>
    <tableColumn id="39" xr3:uid="{10167329-C08B-4039-BABD-7ED7587048BF}" name="VANADIO - LC" dataDxfId="48"/>
    <tableColumn id="40" xr3:uid="{A30E9002-569D-4F44-8AB6-3079CBBAF800}" name="VISC - LPI" dataDxfId="47"/>
    <tableColumn id="41" xr3:uid="{FAB9AE90-833F-4C55-9FEC-C8CF829D4580}" name="VISC - LCI" dataDxfId="46"/>
    <tableColumn id="42" xr3:uid="{25DEF340-9DC9-4D6E-94C9-4A5C1998F300}" name="VISC - LPS" dataDxfId="45"/>
    <tableColumn id="43" xr3:uid="{1B79ABCE-9E83-4A06-A142-E3EF7F864147}" name="VISC - LCS" dataDxfId="44"/>
    <tableColumn id="44" xr3:uid="{4F810F9E-F72A-4CEB-982B-2B4E90A5061E}" name="PQ - LP" dataDxfId="43"/>
    <tableColumn id="45" xr3:uid="{44D63CBA-CD9F-4FF9-9B0A-70AA36048031}" name="PQ - LC" dataDxfId="42"/>
    <tableColumn id="46" xr3:uid="{2D57C46D-6514-4A6F-A70B-13C3077D2530}" name="OXI - LP" dataDxfId="41"/>
    <tableColumn id="47" xr3:uid="{97282E00-2616-4709-9732-52BAA4C06E70}" name="OXI - LC" dataDxfId="40"/>
    <tableColumn id="48" xr3:uid="{D698828F-33D9-43E7-9018-1F1DD32C78CA}" name="SULF - LP" dataDxfId="39"/>
    <tableColumn id="49" xr3:uid="{0BAD1C4D-1C66-4133-A264-7081229F25B0}" name="SULF - LC" dataDxfId="38"/>
    <tableColumn id="50" xr3:uid="{5D08D56C-4FD5-4BEE-8584-826EE5F69AE7}" name="NIT - LP" dataDxfId="37"/>
    <tableColumn id="51" xr3:uid="{7FC53914-29EE-4469-9F39-1F7468069C11}" name="NIT - LC" dataDxfId="36"/>
    <tableColumn id="52" xr3:uid="{F928FDBB-CE78-44FD-877A-BD08008AFF01}" name="TBN - LP" dataDxfId="35"/>
    <tableColumn id="53" xr3:uid="{C4539C7C-F244-427D-97DD-E71DB6CA9F8E}" name="TBN - LC" dataDxfId="34"/>
    <tableColumn id="54" xr3:uid="{669368BA-0180-44CD-A0E4-4431BDE79AA6}" name="HOLLIN - LP" dataDxfId="33"/>
    <tableColumn id="55" xr3:uid="{C20B9306-27F0-4EC2-8E1C-95F8E0893E88}" name="HOLLIN - LC" dataDxfId="32"/>
    <tableColumn id="56" xr3:uid="{E4C1A756-205F-48CA-B2C2-F8D76FDB9E07}" name="MOLIBDENO - LP" dataDxfId="31"/>
    <tableColumn id="57" xr3:uid="{CFF21ED8-98EE-429A-A700-0DA88F168CEF}" name="MOLIBDENO - LC" dataDxfId="30"/>
    <tableColumn id="58" xr3:uid="{12E12AF0-A6DD-48DB-91D4-4A1D184A0155}" name="ISO 4um - LP" dataDxfId="29"/>
    <tableColumn id="59" xr3:uid="{ED8D31A7-4FA0-416B-9D36-568FE3C96B43}" name="ISO 4um - LC" dataDxfId="28"/>
    <tableColumn id="60" xr3:uid="{E98B9B71-F655-4F4C-881A-39F03CEA72D3}" name="ISO 6um - LP" dataDxfId="27"/>
    <tableColumn id="61" xr3:uid="{F774F686-88A7-4731-82C2-2027D760FE36}" name="ISO 6um - LC" dataDxfId="26"/>
    <tableColumn id="62" xr3:uid="{0391EC3A-CD0D-48E7-BBB0-A74E06F2B2F6}" name="ISO 14um - LP" dataDxfId="25"/>
    <tableColumn id="63" xr3:uid="{AFD172A4-E523-44E2-BEB4-66D87BAED349}" name="ISO 14um - LC" dataDxfId="24"/>
    <tableColumn id="64" xr3:uid="{A2F1E16C-EA7A-4E9B-8C9C-EA05CF91A2D6}" name="Glycol - LP" dataDxfId="23"/>
    <tableColumn id="65" xr3:uid="{44ED7169-5666-477D-BDB8-9BB3B6D53F1F}" name="Glycol - LC" dataDxfId="22"/>
    <tableColumn id="66" xr3:uid="{AD5CCF52-CF44-474F-89D0-CD400D548291}" name="H20 - LP" dataDxfId="21"/>
    <tableColumn id="67" xr3:uid="{2AB4F79E-DA0A-43C4-BEC7-A12EF25D1B8B}" name="H20 - LC" dataDxfId="20"/>
    <tableColumn id="68" xr3:uid="{9859CB73-5E91-43D1-BD7B-561C65C80335}" name="MODELO" dataDxfId="19"/>
    <tableColumn id="69" xr3:uid="{C8DEE2F2-5964-4554-B1BF-81022DB751B6}" name="TIPO" dataDxfId="18"/>
    <tableColumn id="70" xr3:uid="{1444E150-014A-41D6-B0C5-287A49C27707}" name="VISC40 - LPI" dataDxfId="17"/>
    <tableColumn id="71" xr3:uid="{F576969C-4BF7-4BF4-82E5-AD3B9F52BD65}" name="VISC40 - LCI" dataDxfId="16"/>
    <tableColumn id="72" xr3:uid="{6EDE0E35-BCB5-48D8-AC31-1AD02B727AB4}" name="AW% - LPI" dataDxfId="15"/>
    <tableColumn id="73" xr3:uid="{B3DC0C9A-BB59-420C-8E66-843916204025}" name="AW% - LCI" dataDxfId="14"/>
    <tableColumn id="74" xr3:uid="{BBE906DE-482A-4ACC-A191-FABBBA8C7D38}" name="TAN - LP" dataDxfId="13"/>
    <tableColumn id="75" xr3:uid="{63350D54-E12E-466A-B202-976981BC7610}" name="TAN - LC" dataDxfId="12"/>
    <tableColumn id="76" xr3:uid="{18114962-9E4C-4494-9C31-F51E185F023E}" name="Diesel - LP" dataDxfId="11"/>
    <tableColumn id="77" xr3:uid="{CDEE6D33-5D91-400C-983E-31C97B83C5DD}" name="Diesel - LC" dataDxfId="10"/>
    <tableColumn id="78" xr3:uid="{F048FDCC-9761-44C8-9699-52C776F86F14}" name="VISC40 - LPS" dataDxfId="9"/>
    <tableColumn id="79" xr3:uid="{01D59BE8-61A0-4AF1-8F7F-98EE9F8685E3}" name="VISC40 - LCS" dataDxfId="8"/>
    <tableColumn id="80" xr3:uid="{6BA1AD2F-DC36-4F04-B847-8B2DDE40A5FA}" name="PLATA- LP" dataDxfId="7"/>
    <tableColumn id="81" xr3:uid="{8137EE96-68AD-48F6-B0E2-4DC4A69881EF}" name="PLATA - LC" dataDxfId="6"/>
    <tableColumn id="82" xr3:uid="{571EA5CC-CA43-40E1-B0E0-91FFE56ECBD9}" name="ANTIMONIO - LP" dataDxfId="5"/>
    <tableColumn id="83" xr3:uid="{4C05F951-C337-4690-9DFB-3E0800D80827}" name="ANTIMONIO - LC" dataDxfId="4"/>
    <tableColumn id="84" xr3:uid="{B8E1E2CC-E031-4A65-AC91-78DA55D1ECE3}" name="LITIO - LP" dataDxfId="3"/>
    <tableColumn id="85" xr3:uid="{A7F0EC11-B051-4C07-A042-B75BC4570BAB}" name="LITIO - LC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65"/>
  <sheetViews>
    <sheetView tabSelected="1" topLeftCell="A14" zoomScale="40" zoomScaleNormal="40" workbookViewId="0">
      <selection activeCell="I11" sqref="I11"/>
    </sheetView>
  </sheetViews>
  <sheetFormatPr baseColWidth="10" defaultColWidth="8.7265625" defaultRowHeight="14.5" x14ac:dyDescent="0.35"/>
  <sheetData>
    <row r="1" spans="1:85" ht="81" x14ac:dyDescent="0.35">
      <c r="A1" s="34" t="s">
        <v>0</v>
      </c>
      <c r="B1" s="35" t="s">
        <v>1</v>
      </c>
      <c r="C1" s="35" t="s">
        <v>2</v>
      </c>
      <c r="D1" s="36" t="s">
        <v>3</v>
      </c>
      <c r="E1" s="37" t="s">
        <v>4</v>
      </c>
      <c r="F1" s="36" t="s">
        <v>5</v>
      </c>
      <c r="G1" s="37" t="s">
        <v>6</v>
      </c>
      <c r="H1" s="36" t="s">
        <v>7</v>
      </c>
      <c r="I1" s="37" t="s">
        <v>8</v>
      </c>
      <c r="J1" s="36" t="s">
        <v>9</v>
      </c>
      <c r="K1" s="37" t="s">
        <v>10</v>
      </c>
      <c r="L1" s="36" t="s">
        <v>11</v>
      </c>
      <c r="M1" s="37" t="s">
        <v>12</v>
      </c>
      <c r="N1" s="36" t="s">
        <v>13</v>
      </c>
      <c r="O1" s="37" t="s">
        <v>14</v>
      </c>
      <c r="P1" s="36" t="s">
        <v>15</v>
      </c>
      <c r="Q1" s="37" t="s">
        <v>16</v>
      </c>
      <c r="R1" s="36" t="s">
        <v>17</v>
      </c>
      <c r="S1" s="37" t="s">
        <v>18</v>
      </c>
      <c r="T1" s="36" t="s">
        <v>19</v>
      </c>
      <c r="U1" s="37" t="s">
        <v>20</v>
      </c>
      <c r="V1" s="36" t="s">
        <v>21</v>
      </c>
      <c r="W1" s="37" t="s">
        <v>22</v>
      </c>
      <c r="X1" s="36" t="s">
        <v>23</v>
      </c>
      <c r="Y1" s="37" t="s">
        <v>24</v>
      </c>
      <c r="Z1" s="36" t="s">
        <v>25</v>
      </c>
      <c r="AA1" s="37" t="s">
        <v>26</v>
      </c>
      <c r="AB1" s="36" t="s">
        <v>27</v>
      </c>
      <c r="AC1" s="37" t="s">
        <v>28</v>
      </c>
      <c r="AD1" s="36" t="s">
        <v>29</v>
      </c>
      <c r="AE1" s="37" t="s">
        <v>30</v>
      </c>
      <c r="AF1" s="36" t="s">
        <v>31</v>
      </c>
      <c r="AG1" s="37" t="s">
        <v>32</v>
      </c>
      <c r="AH1" s="36" t="s">
        <v>33</v>
      </c>
      <c r="AI1" s="37" t="s">
        <v>34</v>
      </c>
      <c r="AJ1" s="36" t="s">
        <v>35</v>
      </c>
      <c r="AK1" s="37" t="s">
        <v>36</v>
      </c>
      <c r="AL1" s="36" t="s">
        <v>37</v>
      </c>
      <c r="AM1" s="37" t="s">
        <v>38</v>
      </c>
      <c r="AN1" s="36" t="s">
        <v>39</v>
      </c>
      <c r="AO1" s="37" t="s">
        <v>40</v>
      </c>
      <c r="AP1" s="36" t="s">
        <v>41</v>
      </c>
      <c r="AQ1" s="37" t="s">
        <v>42</v>
      </c>
      <c r="AR1" s="36" t="s">
        <v>43</v>
      </c>
      <c r="AS1" s="37" t="s">
        <v>44</v>
      </c>
      <c r="AT1" s="36" t="s">
        <v>45</v>
      </c>
      <c r="AU1" s="37" t="s">
        <v>46</v>
      </c>
      <c r="AV1" s="36" t="s">
        <v>47</v>
      </c>
      <c r="AW1" s="37" t="s">
        <v>48</v>
      </c>
      <c r="AX1" s="36" t="s">
        <v>49</v>
      </c>
      <c r="AY1" s="37" t="s">
        <v>50</v>
      </c>
      <c r="AZ1" s="36" t="s">
        <v>51</v>
      </c>
      <c r="BA1" s="37" t="s">
        <v>52</v>
      </c>
      <c r="BB1" s="36" t="s">
        <v>53</v>
      </c>
      <c r="BC1" s="37" t="s">
        <v>54</v>
      </c>
      <c r="BD1" s="36" t="s">
        <v>55</v>
      </c>
      <c r="BE1" s="37" t="s">
        <v>56</v>
      </c>
      <c r="BF1" s="36" t="s">
        <v>57</v>
      </c>
      <c r="BG1" s="37" t="s">
        <v>58</v>
      </c>
      <c r="BH1" s="36" t="s">
        <v>59</v>
      </c>
      <c r="BI1" s="37" t="s">
        <v>60</v>
      </c>
      <c r="BJ1" s="36" t="s">
        <v>61</v>
      </c>
      <c r="BK1" s="37" t="s">
        <v>62</v>
      </c>
      <c r="BL1" s="36" t="s">
        <v>63</v>
      </c>
      <c r="BM1" s="37" t="s">
        <v>64</v>
      </c>
      <c r="BN1" s="36" t="s">
        <v>65</v>
      </c>
      <c r="BO1" s="37" t="s">
        <v>66</v>
      </c>
      <c r="BP1" s="35" t="s">
        <v>67</v>
      </c>
      <c r="BQ1" s="35" t="s">
        <v>68</v>
      </c>
      <c r="BR1" s="36" t="s">
        <v>69</v>
      </c>
      <c r="BS1" s="37" t="s">
        <v>70</v>
      </c>
      <c r="BT1" s="36" t="s">
        <v>71</v>
      </c>
      <c r="BU1" s="38" t="s">
        <v>72</v>
      </c>
      <c r="BV1" s="36" t="s">
        <v>73</v>
      </c>
      <c r="BW1" s="37" t="s">
        <v>74</v>
      </c>
      <c r="BX1" s="36" t="s">
        <v>75</v>
      </c>
      <c r="BY1" s="37" t="s">
        <v>76</v>
      </c>
      <c r="BZ1" s="39" t="s">
        <v>77</v>
      </c>
      <c r="CA1" s="40" t="s">
        <v>78</v>
      </c>
      <c r="CB1" s="39" t="s">
        <v>79</v>
      </c>
      <c r="CC1" s="40" t="s">
        <v>80</v>
      </c>
      <c r="CD1" s="39" t="s">
        <v>81</v>
      </c>
      <c r="CE1" s="40" t="s">
        <v>82</v>
      </c>
      <c r="CF1" s="39" t="s">
        <v>83</v>
      </c>
      <c r="CG1" s="40" t="s">
        <v>84</v>
      </c>
    </row>
    <row r="2" spans="1:85" x14ac:dyDescent="0.35">
      <c r="A2" s="1" t="str">
        <f>CONCATENATE(B2,C2,BP2,BQ2)</f>
        <v>ANTAPACCAYMOTOR DE TRACCION RH980E5</v>
      </c>
      <c r="B2" s="2" t="s">
        <v>85</v>
      </c>
      <c r="C2" s="2" t="s">
        <v>86</v>
      </c>
      <c r="D2" s="3">
        <v>200</v>
      </c>
      <c r="E2" s="3">
        <v>230</v>
      </c>
      <c r="F2" s="3">
        <v>2</v>
      </c>
      <c r="G2" s="3">
        <v>3</v>
      </c>
      <c r="H2" s="3">
        <v>10</v>
      </c>
      <c r="I2" s="3">
        <v>15</v>
      </c>
      <c r="J2" s="3">
        <v>3</v>
      </c>
      <c r="K2" s="3">
        <v>5</v>
      </c>
      <c r="L2" s="4">
        <v>3</v>
      </c>
      <c r="M2" s="3">
        <v>5</v>
      </c>
      <c r="N2" s="3">
        <v>2</v>
      </c>
      <c r="O2" s="3">
        <v>3</v>
      </c>
      <c r="P2" s="3">
        <v>2</v>
      </c>
      <c r="Q2" s="3">
        <v>3</v>
      </c>
      <c r="R2" s="3">
        <v>75</v>
      </c>
      <c r="S2" s="3">
        <v>80</v>
      </c>
      <c r="T2" s="3">
        <v>3</v>
      </c>
      <c r="U2" s="3">
        <v>4</v>
      </c>
      <c r="V2" s="3">
        <v>2</v>
      </c>
      <c r="W2" s="3">
        <v>3</v>
      </c>
      <c r="X2" s="3">
        <v>18</v>
      </c>
      <c r="Y2" s="3">
        <v>25</v>
      </c>
      <c r="Z2" s="5">
        <v>280</v>
      </c>
      <c r="AA2" s="5">
        <v>240</v>
      </c>
      <c r="AB2" s="3"/>
      <c r="AC2" s="3"/>
      <c r="AD2" s="3"/>
      <c r="AE2" s="3"/>
      <c r="AF2" s="3">
        <v>18</v>
      </c>
      <c r="AG2" s="3">
        <v>25</v>
      </c>
      <c r="AH2" s="3"/>
      <c r="AI2" s="3"/>
      <c r="AJ2" s="3"/>
      <c r="AK2" s="3"/>
      <c r="AL2" s="3"/>
      <c r="AM2" s="3"/>
      <c r="AN2" s="6"/>
      <c r="AO2" s="6">
        <v>70.099999999999994</v>
      </c>
      <c r="AP2" s="6"/>
      <c r="AQ2" s="6">
        <v>85.7</v>
      </c>
      <c r="AR2" s="3">
        <v>130</v>
      </c>
      <c r="AS2" s="3">
        <v>150</v>
      </c>
      <c r="AT2" s="7"/>
      <c r="AU2" s="7"/>
      <c r="AV2" s="7"/>
      <c r="AW2" s="7"/>
      <c r="AX2" s="7"/>
      <c r="AY2" s="7"/>
      <c r="AZ2" s="7"/>
      <c r="BA2" s="7"/>
      <c r="BB2" s="7"/>
      <c r="BC2" s="7"/>
      <c r="BD2" s="3"/>
      <c r="BE2" s="3"/>
      <c r="BF2" s="41"/>
      <c r="BG2" s="41"/>
      <c r="BH2" s="7">
        <v>19</v>
      </c>
      <c r="BI2" s="8">
        <v>20</v>
      </c>
      <c r="BJ2" s="8">
        <v>16</v>
      </c>
      <c r="BK2" s="8">
        <v>19</v>
      </c>
      <c r="BL2" s="41"/>
      <c r="BM2" s="41"/>
      <c r="BN2" s="41"/>
      <c r="BO2" s="41"/>
      <c r="BP2" s="7" t="s">
        <v>87</v>
      </c>
      <c r="BQ2" s="7">
        <v>5</v>
      </c>
      <c r="BR2" s="41"/>
      <c r="BS2" s="41"/>
      <c r="BT2" s="41"/>
      <c r="BU2" s="42"/>
      <c r="BV2" s="5"/>
      <c r="BW2" s="5"/>
      <c r="BX2" s="41"/>
      <c r="BY2" s="41"/>
      <c r="BZ2" s="41"/>
      <c r="CA2" s="41"/>
      <c r="CB2" s="41"/>
      <c r="CC2" s="41"/>
      <c r="CD2" s="41"/>
      <c r="CE2" s="41"/>
      <c r="CF2" s="41"/>
      <c r="CG2" s="41"/>
    </row>
    <row r="3" spans="1:85" x14ac:dyDescent="0.35">
      <c r="A3" s="1" t="str">
        <f t="shared" ref="A3:A38" si="0">CONCATENATE(B3,C3,BP3,BQ3)</f>
        <v>ANTAPACCAYMOTOR DE TRACCION LH980E5</v>
      </c>
      <c r="B3" s="2" t="s">
        <v>85</v>
      </c>
      <c r="C3" s="2" t="s">
        <v>88</v>
      </c>
      <c r="D3" s="3">
        <v>200</v>
      </c>
      <c r="E3" s="3">
        <v>230</v>
      </c>
      <c r="F3" s="3">
        <v>2</v>
      </c>
      <c r="G3" s="3">
        <v>3</v>
      </c>
      <c r="H3" s="3">
        <v>10</v>
      </c>
      <c r="I3" s="3">
        <v>15</v>
      </c>
      <c r="J3" s="3">
        <v>3</v>
      </c>
      <c r="K3" s="3">
        <v>5</v>
      </c>
      <c r="L3" s="3">
        <v>3</v>
      </c>
      <c r="M3" s="3">
        <v>5</v>
      </c>
      <c r="N3" s="3">
        <v>2</v>
      </c>
      <c r="O3" s="3">
        <v>3</v>
      </c>
      <c r="P3" s="3">
        <v>2</v>
      </c>
      <c r="Q3" s="3">
        <v>3</v>
      </c>
      <c r="R3" s="3">
        <v>75</v>
      </c>
      <c r="S3" s="3">
        <v>80</v>
      </c>
      <c r="T3" s="3">
        <v>3</v>
      </c>
      <c r="U3" s="3">
        <v>4</v>
      </c>
      <c r="V3" s="3">
        <v>2</v>
      </c>
      <c r="W3" s="3">
        <v>3</v>
      </c>
      <c r="X3" s="3">
        <v>18</v>
      </c>
      <c r="Y3" s="3">
        <v>25</v>
      </c>
      <c r="Z3" s="5">
        <v>280</v>
      </c>
      <c r="AA3" s="5">
        <v>240</v>
      </c>
      <c r="AB3" s="3"/>
      <c r="AC3" s="3"/>
      <c r="AD3" s="3"/>
      <c r="AE3" s="3"/>
      <c r="AF3" s="3">
        <v>18</v>
      </c>
      <c r="AG3" s="3">
        <v>25</v>
      </c>
      <c r="AH3" s="3"/>
      <c r="AI3" s="3"/>
      <c r="AJ3" s="3"/>
      <c r="AK3" s="3"/>
      <c r="AL3" s="3"/>
      <c r="AM3" s="3"/>
      <c r="AN3" s="6"/>
      <c r="AO3" s="6">
        <v>70.099999999999994</v>
      </c>
      <c r="AP3" s="6"/>
      <c r="AQ3" s="6">
        <v>85.7</v>
      </c>
      <c r="AR3" s="3">
        <v>130</v>
      </c>
      <c r="AS3" s="3">
        <v>150</v>
      </c>
      <c r="AT3" s="7"/>
      <c r="AU3" s="7"/>
      <c r="AV3" s="7"/>
      <c r="AW3" s="7"/>
      <c r="AX3" s="7"/>
      <c r="AY3" s="7"/>
      <c r="AZ3" s="7"/>
      <c r="BA3" s="7"/>
      <c r="BB3" s="7"/>
      <c r="BC3" s="7"/>
      <c r="BD3" s="3"/>
      <c r="BE3" s="3"/>
      <c r="BF3" s="41"/>
      <c r="BG3" s="41"/>
      <c r="BH3" s="7">
        <v>19</v>
      </c>
      <c r="BI3" s="8">
        <v>20</v>
      </c>
      <c r="BJ3" s="8">
        <v>16</v>
      </c>
      <c r="BK3" s="8">
        <v>19</v>
      </c>
      <c r="BL3" s="41"/>
      <c r="BM3" s="41"/>
      <c r="BN3" s="41"/>
      <c r="BO3" s="41"/>
      <c r="BP3" s="7" t="s">
        <v>87</v>
      </c>
      <c r="BQ3" s="7">
        <v>5</v>
      </c>
      <c r="BR3" s="41"/>
      <c r="BS3" s="41"/>
      <c r="BT3" s="41"/>
      <c r="BU3" s="42"/>
      <c r="BV3" s="7"/>
      <c r="BW3" s="7"/>
      <c r="BX3" s="41"/>
      <c r="BY3" s="41"/>
      <c r="BZ3" s="41"/>
      <c r="CA3" s="41"/>
      <c r="CB3" s="41"/>
      <c r="CC3" s="41"/>
      <c r="CD3" s="41"/>
      <c r="CE3" s="41"/>
      <c r="CF3" s="41"/>
      <c r="CG3" s="41"/>
    </row>
    <row r="4" spans="1:85" x14ac:dyDescent="0.35">
      <c r="A4" s="1" t="str">
        <f t="shared" si="0"/>
        <v>ANTAPACCAYRUEDA DELANTERA RH980E5</v>
      </c>
      <c r="B4" s="2" t="s">
        <v>85</v>
      </c>
      <c r="C4" s="2" t="s">
        <v>89</v>
      </c>
      <c r="D4" s="3">
        <v>32</v>
      </c>
      <c r="E4" s="3">
        <v>40</v>
      </c>
      <c r="F4" s="3">
        <v>3</v>
      </c>
      <c r="G4" s="3">
        <v>4</v>
      </c>
      <c r="H4" s="3">
        <v>1</v>
      </c>
      <c r="I4" s="3">
        <v>2</v>
      </c>
      <c r="J4" s="3">
        <v>2</v>
      </c>
      <c r="K4" s="3">
        <v>3</v>
      </c>
      <c r="L4" s="3">
        <v>1</v>
      </c>
      <c r="M4" s="3">
        <v>2</v>
      </c>
      <c r="N4" s="3">
        <v>1</v>
      </c>
      <c r="O4" s="3">
        <v>2</v>
      </c>
      <c r="P4" s="3">
        <v>2</v>
      </c>
      <c r="Q4" s="3">
        <v>3</v>
      </c>
      <c r="R4" s="3">
        <v>25</v>
      </c>
      <c r="S4" s="3">
        <v>27</v>
      </c>
      <c r="T4" s="3">
        <v>4</v>
      </c>
      <c r="U4" s="3">
        <v>5</v>
      </c>
      <c r="V4" s="3">
        <v>2</v>
      </c>
      <c r="W4" s="3">
        <v>3</v>
      </c>
      <c r="X4" s="7">
        <v>960</v>
      </c>
      <c r="Y4" s="7">
        <v>720</v>
      </c>
      <c r="Z4" s="7">
        <v>360</v>
      </c>
      <c r="AA4" s="7">
        <v>270</v>
      </c>
      <c r="AB4" s="9"/>
      <c r="AC4" s="9"/>
      <c r="AD4" s="3"/>
      <c r="AE4" s="3"/>
      <c r="AF4" s="7">
        <v>2080</v>
      </c>
      <c r="AG4" s="7">
        <v>1560</v>
      </c>
      <c r="AH4" s="3">
        <v>12</v>
      </c>
      <c r="AI4" s="3">
        <v>9</v>
      </c>
      <c r="AJ4" s="3"/>
      <c r="AK4" s="3"/>
      <c r="AL4" s="3"/>
      <c r="AM4" s="3"/>
      <c r="AN4" s="6">
        <v>22.229999999999997</v>
      </c>
      <c r="AO4" s="6">
        <v>21.527999999999999</v>
      </c>
      <c r="AP4" s="6">
        <v>25.740000000000002</v>
      </c>
      <c r="AQ4" s="6">
        <v>26.909999999999997</v>
      </c>
      <c r="AR4" s="3">
        <v>20</v>
      </c>
      <c r="AS4" s="3">
        <v>26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3"/>
      <c r="BE4" s="3"/>
      <c r="BF4" s="7">
        <v>22</v>
      </c>
      <c r="BG4" s="7">
        <v>23</v>
      </c>
      <c r="BH4" s="7">
        <v>19</v>
      </c>
      <c r="BI4" s="8">
        <v>20</v>
      </c>
      <c r="BJ4" s="7">
        <v>16</v>
      </c>
      <c r="BK4" s="7">
        <v>17</v>
      </c>
      <c r="BL4" s="41"/>
      <c r="BM4" s="41"/>
      <c r="BN4" s="41"/>
      <c r="BO4" s="41"/>
      <c r="BP4" s="7" t="s">
        <v>87</v>
      </c>
      <c r="BQ4" s="7">
        <v>5</v>
      </c>
      <c r="BR4" s="41"/>
      <c r="BS4" s="41"/>
      <c r="BT4" s="41"/>
      <c r="BU4" s="42"/>
      <c r="BV4" s="7"/>
      <c r="BW4" s="7"/>
      <c r="BX4" s="41"/>
      <c r="BY4" s="41"/>
      <c r="BZ4" s="41"/>
      <c r="CA4" s="41"/>
      <c r="CB4" s="41"/>
      <c r="CC4" s="41"/>
      <c r="CD4" s="41"/>
      <c r="CE4" s="41"/>
      <c r="CF4" s="41"/>
      <c r="CG4" s="41"/>
    </row>
    <row r="5" spans="1:85" x14ac:dyDescent="0.35">
      <c r="A5" s="1" t="str">
        <f t="shared" si="0"/>
        <v>ANTAPACCAYRUEDA DELANTERA LH980E5</v>
      </c>
      <c r="B5" s="2" t="s">
        <v>85</v>
      </c>
      <c r="C5" s="2" t="s">
        <v>90</v>
      </c>
      <c r="D5" s="3">
        <v>32</v>
      </c>
      <c r="E5" s="3">
        <v>40</v>
      </c>
      <c r="F5" s="3">
        <v>3</v>
      </c>
      <c r="G5" s="3">
        <v>4</v>
      </c>
      <c r="H5" s="3">
        <v>1</v>
      </c>
      <c r="I5" s="3">
        <v>2</v>
      </c>
      <c r="J5" s="3">
        <v>2</v>
      </c>
      <c r="K5" s="3">
        <v>3</v>
      </c>
      <c r="L5" s="3">
        <v>1</v>
      </c>
      <c r="M5" s="3">
        <v>2</v>
      </c>
      <c r="N5" s="3">
        <v>1</v>
      </c>
      <c r="O5" s="3">
        <v>2</v>
      </c>
      <c r="P5" s="3">
        <v>2</v>
      </c>
      <c r="Q5" s="3">
        <v>3</v>
      </c>
      <c r="R5" s="3">
        <v>25</v>
      </c>
      <c r="S5" s="3">
        <v>27</v>
      </c>
      <c r="T5" s="3">
        <v>4</v>
      </c>
      <c r="U5" s="3">
        <v>5</v>
      </c>
      <c r="V5" s="3">
        <v>2</v>
      </c>
      <c r="W5" s="3">
        <v>3</v>
      </c>
      <c r="X5" s="7">
        <v>960</v>
      </c>
      <c r="Y5" s="7">
        <v>720</v>
      </c>
      <c r="Z5" s="7">
        <v>360</v>
      </c>
      <c r="AA5" s="7">
        <v>270</v>
      </c>
      <c r="AB5" s="9"/>
      <c r="AC5" s="9"/>
      <c r="AD5" s="3"/>
      <c r="AE5" s="3"/>
      <c r="AF5" s="7">
        <v>2080</v>
      </c>
      <c r="AG5" s="7">
        <v>1560</v>
      </c>
      <c r="AH5" s="3">
        <v>12</v>
      </c>
      <c r="AI5" s="3">
        <v>9</v>
      </c>
      <c r="AJ5" s="3"/>
      <c r="AK5" s="3"/>
      <c r="AL5" s="3"/>
      <c r="AM5" s="3"/>
      <c r="AN5" s="6">
        <v>22.229999999999997</v>
      </c>
      <c r="AO5" s="6">
        <v>21.527999999999999</v>
      </c>
      <c r="AP5" s="6">
        <v>25.740000000000002</v>
      </c>
      <c r="AQ5" s="6">
        <v>26.909999999999997</v>
      </c>
      <c r="AR5" s="3">
        <v>20</v>
      </c>
      <c r="AS5" s="3">
        <v>26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3"/>
      <c r="BE5" s="3"/>
      <c r="BF5" s="7">
        <v>22</v>
      </c>
      <c r="BG5" s="7">
        <v>23</v>
      </c>
      <c r="BH5" s="7">
        <v>19</v>
      </c>
      <c r="BI5" s="8">
        <v>20</v>
      </c>
      <c r="BJ5" s="7">
        <v>16</v>
      </c>
      <c r="BK5" s="7">
        <v>17</v>
      </c>
      <c r="BL5" s="41"/>
      <c r="BM5" s="41"/>
      <c r="BN5" s="41"/>
      <c r="BO5" s="41"/>
      <c r="BP5" s="7" t="s">
        <v>87</v>
      </c>
      <c r="BQ5" s="7">
        <v>5</v>
      </c>
      <c r="BR5" s="41"/>
      <c r="BS5" s="41"/>
      <c r="BT5" s="41"/>
      <c r="BU5" s="42"/>
      <c r="BV5" s="7"/>
      <c r="BW5" s="7"/>
      <c r="BX5" s="41"/>
      <c r="BY5" s="41"/>
      <c r="BZ5" s="41"/>
      <c r="CA5" s="41"/>
      <c r="CB5" s="41"/>
      <c r="CC5" s="41"/>
      <c r="CD5" s="41"/>
      <c r="CE5" s="41"/>
      <c r="CF5" s="41"/>
      <c r="CG5" s="41"/>
    </row>
    <row r="6" spans="1:85" x14ac:dyDescent="0.35">
      <c r="A6" s="1" t="str">
        <f t="shared" si="0"/>
        <v>ANTAPACCAYSISTEMA HIDRAULICO980E5</v>
      </c>
      <c r="B6" s="2" t="s">
        <v>85</v>
      </c>
      <c r="C6" s="2" t="s">
        <v>91</v>
      </c>
      <c r="D6" s="3">
        <v>6</v>
      </c>
      <c r="E6" s="3">
        <v>7</v>
      </c>
      <c r="F6" s="3">
        <v>5</v>
      </c>
      <c r="G6" s="3">
        <v>7</v>
      </c>
      <c r="H6" s="3">
        <v>3</v>
      </c>
      <c r="I6" s="3">
        <v>4</v>
      </c>
      <c r="J6" s="3">
        <v>3</v>
      </c>
      <c r="K6" s="3">
        <v>5</v>
      </c>
      <c r="L6" s="3">
        <v>1</v>
      </c>
      <c r="M6" s="3">
        <v>2</v>
      </c>
      <c r="N6" s="3">
        <v>1</v>
      </c>
      <c r="O6" s="3">
        <v>2</v>
      </c>
      <c r="P6" s="3">
        <v>2</v>
      </c>
      <c r="Q6" s="3">
        <v>3</v>
      </c>
      <c r="R6" s="3">
        <v>11</v>
      </c>
      <c r="S6" s="3">
        <v>13</v>
      </c>
      <c r="T6" s="3">
        <v>5</v>
      </c>
      <c r="U6" s="3">
        <v>6</v>
      </c>
      <c r="V6" s="3">
        <v>2</v>
      </c>
      <c r="W6" s="3">
        <v>3</v>
      </c>
      <c r="X6" s="7">
        <v>960</v>
      </c>
      <c r="Y6" s="7">
        <v>720</v>
      </c>
      <c r="Z6" s="7">
        <v>360</v>
      </c>
      <c r="AA6" s="7">
        <v>270</v>
      </c>
      <c r="AB6" s="3"/>
      <c r="AC6" s="3"/>
      <c r="AD6" s="3"/>
      <c r="AE6" s="3"/>
      <c r="AF6" s="7">
        <v>2080</v>
      </c>
      <c r="AG6" s="7">
        <v>1560</v>
      </c>
      <c r="AH6" s="3">
        <v>12</v>
      </c>
      <c r="AI6" s="3">
        <v>9</v>
      </c>
      <c r="AJ6" s="3"/>
      <c r="AK6" s="3"/>
      <c r="AL6" s="3"/>
      <c r="AM6" s="3"/>
      <c r="AN6" s="6">
        <v>5.8</v>
      </c>
      <c r="AO6" s="6">
        <v>5.6</v>
      </c>
      <c r="AP6" s="6">
        <v>6.7</v>
      </c>
      <c r="AQ6" s="6">
        <v>7</v>
      </c>
      <c r="AR6" s="3"/>
      <c r="AS6" s="3"/>
      <c r="AT6" s="7"/>
      <c r="AU6" s="7"/>
      <c r="AV6" s="7"/>
      <c r="AW6" s="7"/>
      <c r="AX6" s="7"/>
      <c r="AY6" s="7"/>
      <c r="AZ6" s="7"/>
      <c r="BA6" s="7"/>
      <c r="BB6" s="7"/>
      <c r="BC6" s="7"/>
      <c r="BD6" s="3"/>
      <c r="BE6" s="3"/>
      <c r="BF6" s="7">
        <v>22</v>
      </c>
      <c r="BG6" s="7">
        <v>23</v>
      </c>
      <c r="BH6" s="7">
        <v>19</v>
      </c>
      <c r="BI6" s="8">
        <v>20</v>
      </c>
      <c r="BJ6" s="7">
        <v>16</v>
      </c>
      <c r="BK6" s="7">
        <v>17</v>
      </c>
      <c r="BL6" s="41"/>
      <c r="BM6" s="41"/>
      <c r="BN6" s="41"/>
      <c r="BO6" s="41"/>
      <c r="BP6" s="7" t="s">
        <v>87</v>
      </c>
      <c r="BQ6" s="7">
        <v>5</v>
      </c>
      <c r="BR6" s="41"/>
      <c r="BS6" s="41"/>
      <c r="BT6" s="41"/>
      <c r="BU6" s="42"/>
      <c r="BV6" s="7"/>
      <c r="BW6" s="7"/>
      <c r="BX6" s="41"/>
      <c r="BY6" s="41"/>
      <c r="BZ6" s="41"/>
      <c r="CA6" s="41"/>
      <c r="CB6" s="41"/>
      <c r="CC6" s="41"/>
      <c r="CD6" s="41"/>
      <c r="CE6" s="41"/>
      <c r="CF6" s="41"/>
      <c r="CG6" s="41"/>
    </row>
    <row r="7" spans="1:85" x14ac:dyDescent="0.35">
      <c r="A7" s="1" t="str">
        <f t="shared" si="0"/>
        <v>ANTAPACCAYMOTOR980E5</v>
      </c>
      <c r="B7" s="2" t="s">
        <v>85</v>
      </c>
      <c r="C7" s="2" t="s">
        <v>92</v>
      </c>
      <c r="D7" s="6">
        <v>12</v>
      </c>
      <c r="E7" s="6">
        <v>14</v>
      </c>
      <c r="F7" s="6">
        <v>2</v>
      </c>
      <c r="G7" s="6">
        <v>3</v>
      </c>
      <c r="H7" s="6">
        <v>3</v>
      </c>
      <c r="I7" s="6">
        <v>3.5</v>
      </c>
      <c r="J7" s="6">
        <v>2.9</v>
      </c>
      <c r="K7" s="6">
        <v>3.5</v>
      </c>
      <c r="L7" s="6"/>
      <c r="M7" s="6"/>
      <c r="N7" s="6">
        <v>0.7</v>
      </c>
      <c r="O7" s="6">
        <v>1</v>
      </c>
      <c r="P7" s="6"/>
      <c r="Q7" s="6"/>
      <c r="R7" s="6">
        <v>5</v>
      </c>
      <c r="S7" s="6">
        <v>6</v>
      </c>
      <c r="T7" s="6">
        <v>5</v>
      </c>
      <c r="U7" s="6">
        <v>6</v>
      </c>
      <c r="V7" s="6">
        <v>1.6</v>
      </c>
      <c r="W7" s="6">
        <v>3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>
        <v>13.5</v>
      </c>
      <c r="AO7" s="6">
        <v>13</v>
      </c>
      <c r="AP7" s="6">
        <v>16</v>
      </c>
      <c r="AQ7" s="6">
        <v>16.5</v>
      </c>
      <c r="AR7" s="6">
        <v>3</v>
      </c>
      <c r="AS7" s="6">
        <v>4</v>
      </c>
      <c r="AT7" s="6">
        <v>7</v>
      </c>
      <c r="AU7" s="6">
        <v>8.5</v>
      </c>
      <c r="AV7" s="6">
        <v>3</v>
      </c>
      <c r="AW7" s="6">
        <v>4</v>
      </c>
      <c r="AX7" s="6">
        <v>9</v>
      </c>
      <c r="AY7" s="6">
        <v>11</v>
      </c>
      <c r="AZ7" s="6">
        <v>6</v>
      </c>
      <c r="BA7" s="6">
        <v>5</v>
      </c>
      <c r="BB7" s="6">
        <v>0.4</v>
      </c>
      <c r="BC7" s="6">
        <v>0.5</v>
      </c>
      <c r="BD7" s="6"/>
      <c r="BE7" s="6"/>
      <c r="BF7" s="41"/>
      <c r="BG7" s="41"/>
      <c r="BH7" s="41"/>
      <c r="BI7" s="41"/>
      <c r="BJ7" s="41"/>
      <c r="BK7" s="41"/>
      <c r="BL7" s="7">
        <v>0.3</v>
      </c>
      <c r="BM7" s="7">
        <v>0.4</v>
      </c>
      <c r="BN7" s="7">
        <v>0.2</v>
      </c>
      <c r="BO7" s="7">
        <v>0.3</v>
      </c>
      <c r="BP7" s="7" t="s">
        <v>87</v>
      </c>
      <c r="BQ7" s="7">
        <v>5</v>
      </c>
      <c r="BR7" s="41"/>
      <c r="BS7" s="41"/>
      <c r="BT7" s="41"/>
      <c r="BU7" s="42"/>
      <c r="BV7" s="7"/>
      <c r="BW7" s="7"/>
      <c r="BX7" s="41"/>
      <c r="BY7" s="41"/>
      <c r="BZ7" s="41"/>
      <c r="CA7" s="41"/>
      <c r="CB7" s="41"/>
      <c r="CC7" s="41"/>
      <c r="CD7" s="41"/>
      <c r="CE7" s="41"/>
      <c r="CF7" s="41"/>
      <c r="CG7" s="41"/>
    </row>
    <row r="8" spans="1:85" x14ac:dyDescent="0.35">
      <c r="A8" s="1" t="str">
        <f t="shared" si="0"/>
        <v>TOROMOCHOMOTOR DE TRACCION LH980E5</v>
      </c>
      <c r="B8" s="2" t="s">
        <v>93</v>
      </c>
      <c r="C8" s="2" t="s">
        <v>88</v>
      </c>
      <c r="D8" s="8">
        <v>145</v>
      </c>
      <c r="E8" s="8">
        <v>165</v>
      </c>
      <c r="F8" s="8">
        <v>1</v>
      </c>
      <c r="G8" s="8">
        <v>2</v>
      </c>
      <c r="H8" s="8">
        <v>6</v>
      </c>
      <c r="I8" s="8">
        <v>10</v>
      </c>
      <c r="J8" s="8">
        <v>2</v>
      </c>
      <c r="K8" s="8">
        <v>3</v>
      </c>
      <c r="L8" s="8"/>
      <c r="M8" s="8"/>
      <c r="N8" s="8">
        <v>1</v>
      </c>
      <c r="O8" s="8">
        <v>2</v>
      </c>
      <c r="P8" s="8"/>
      <c r="Q8" s="8"/>
      <c r="R8" s="8">
        <v>21</v>
      </c>
      <c r="S8" s="8">
        <v>26</v>
      </c>
      <c r="T8" s="8">
        <v>1</v>
      </c>
      <c r="U8" s="8">
        <v>2</v>
      </c>
      <c r="V8" s="8"/>
      <c r="W8" s="8"/>
      <c r="X8" s="8"/>
      <c r="Y8" s="8"/>
      <c r="Z8" s="5">
        <v>280</v>
      </c>
      <c r="AA8" s="5">
        <v>240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10"/>
      <c r="AO8" s="10">
        <v>71.400000000000006</v>
      </c>
      <c r="AP8" s="10"/>
      <c r="AQ8" s="10">
        <v>87.2</v>
      </c>
      <c r="AR8" s="8">
        <v>130</v>
      </c>
      <c r="AS8" s="8">
        <v>150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8"/>
      <c r="BE8" s="8"/>
      <c r="BF8" s="43"/>
      <c r="BG8" s="43"/>
      <c r="BH8" s="7">
        <v>19</v>
      </c>
      <c r="BI8" s="8">
        <v>20</v>
      </c>
      <c r="BJ8" s="8">
        <v>16</v>
      </c>
      <c r="BK8" s="8">
        <v>19</v>
      </c>
      <c r="BL8" s="43"/>
      <c r="BM8" s="43"/>
      <c r="BN8" s="43"/>
      <c r="BO8" s="43"/>
      <c r="BP8" s="5" t="s">
        <v>87</v>
      </c>
      <c r="BQ8" s="5">
        <v>5</v>
      </c>
      <c r="BR8" s="41"/>
      <c r="BS8" s="41"/>
      <c r="BT8" s="41"/>
      <c r="BU8" s="42"/>
      <c r="BV8" s="7"/>
      <c r="BW8" s="7"/>
      <c r="BX8" s="41"/>
      <c r="BY8" s="41"/>
      <c r="BZ8" s="41"/>
      <c r="CA8" s="41"/>
      <c r="CB8" s="41"/>
      <c r="CC8" s="41"/>
      <c r="CD8" s="41"/>
      <c r="CE8" s="41"/>
      <c r="CF8" s="41"/>
      <c r="CG8" s="41"/>
    </row>
    <row r="9" spans="1:85" x14ac:dyDescent="0.35">
      <c r="A9" s="1" t="str">
        <f t="shared" si="0"/>
        <v>TOROMOCHOMOTOR DE TRACCION RH980E5</v>
      </c>
      <c r="B9" s="2" t="s">
        <v>93</v>
      </c>
      <c r="C9" s="2" t="s">
        <v>86</v>
      </c>
      <c r="D9" s="3">
        <v>145</v>
      </c>
      <c r="E9" s="3">
        <v>165</v>
      </c>
      <c r="F9" s="3">
        <v>1</v>
      </c>
      <c r="G9" s="3">
        <v>2</v>
      </c>
      <c r="H9" s="3">
        <v>6</v>
      </c>
      <c r="I9" s="3">
        <v>10</v>
      </c>
      <c r="J9" s="3">
        <v>2</v>
      </c>
      <c r="K9" s="3">
        <v>3</v>
      </c>
      <c r="L9" s="3"/>
      <c r="M9" s="3"/>
      <c r="N9" s="3">
        <v>1</v>
      </c>
      <c r="O9" s="3">
        <v>2</v>
      </c>
      <c r="P9" s="3"/>
      <c r="Q9" s="3"/>
      <c r="R9" s="3">
        <v>21</v>
      </c>
      <c r="S9" s="3">
        <v>26</v>
      </c>
      <c r="T9" s="3">
        <v>1</v>
      </c>
      <c r="U9" s="3">
        <v>2</v>
      </c>
      <c r="V9" s="3"/>
      <c r="W9" s="3"/>
      <c r="X9" s="3"/>
      <c r="Y9" s="3"/>
      <c r="Z9" s="5">
        <v>280</v>
      </c>
      <c r="AA9" s="5">
        <v>240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6"/>
      <c r="AO9" s="6">
        <v>71.400000000000006</v>
      </c>
      <c r="AP9" s="6"/>
      <c r="AQ9" s="6">
        <v>87.2</v>
      </c>
      <c r="AR9" s="3">
        <v>130</v>
      </c>
      <c r="AS9" s="3">
        <v>150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3"/>
      <c r="BE9" s="3"/>
      <c r="BF9" s="41"/>
      <c r="BG9" s="41"/>
      <c r="BH9" s="7">
        <v>19</v>
      </c>
      <c r="BI9" s="8">
        <v>20</v>
      </c>
      <c r="BJ9" s="8">
        <v>16</v>
      </c>
      <c r="BK9" s="8">
        <v>19</v>
      </c>
      <c r="BL9" s="41"/>
      <c r="BM9" s="41"/>
      <c r="BN9" s="41"/>
      <c r="BO9" s="41"/>
      <c r="BP9" s="7" t="s">
        <v>87</v>
      </c>
      <c r="BQ9" s="7">
        <v>5</v>
      </c>
      <c r="BR9" s="41"/>
      <c r="BS9" s="41"/>
      <c r="BT9" s="41"/>
      <c r="BU9" s="42"/>
      <c r="BV9" s="7"/>
      <c r="BW9" s="7"/>
      <c r="BX9" s="41"/>
      <c r="BY9" s="41"/>
      <c r="BZ9" s="41"/>
      <c r="CA9" s="41"/>
      <c r="CB9" s="41"/>
      <c r="CC9" s="41"/>
      <c r="CD9" s="41"/>
      <c r="CE9" s="41"/>
      <c r="CF9" s="41"/>
      <c r="CG9" s="41"/>
    </row>
    <row r="10" spans="1:85" x14ac:dyDescent="0.35">
      <c r="A10" s="1" t="str">
        <f t="shared" si="0"/>
        <v>TOROMOCHORUEDA DELANTERA LH980E5</v>
      </c>
      <c r="B10" s="2" t="s">
        <v>93</v>
      </c>
      <c r="C10" s="2" t="s">
        <v>90</v>
      </c>
      <c r="D10" s="3">
        <v>80</v>
      </c>
      <c r="E10" s="3">
        <v>140</v>
      </c>
      <c r="F10" s="3">
        <v>2</v>
      </c>
      <c r="G10" s="3">
        <v>3</v>
      </c>
      <c r="H10" s="3">
        <v>1</v>
      </c>
      <c r="I10" s="3">
        <v>2</v>
      </c>
      <c r="J10" s="3">
        <v>2</v>
      </c>
      <c r="K10" s="3">
        <v>3</v>
      </c>
      <c r="L10" s="3"/>
      <c r="M10" s="3"/>
      <c r="N10" s="3">
        <v>1</v>
      </c>
      <c r="O10" s="3">
        <v>2</v>
      </c>
      <c r="P10" s="3"/>
      <c r="Q10" s="3"/>
      <c r="R10" s="3">
        <v>9</v>
      </c>
      <c r="S10" s="3">
        <v>11</v>
      </c>
      <c r="T10" s="3">
        <v>4</v>
      </c>
      <c r="U10" s="3">
        <v>5</v>
      </c>
      <c r="V10" s="3"/>
      <c r="W10" s="3"/>
      <c r="X10" s="3">
        <v>1009.6</v>
      </c>
      <c r="Y10" s="3">
        <v>757.19999999999993</v>
      </c>
      <c r="Z10" s="3">
        <v>684.80000000000007</v>
      </c>
      <c r="AA10" s="3">
        <v>513.6</v>
      </c>
      <c r="AB10" s="3"/>
      <c r="AC10" s="3"/>
      <c r="AD10" s="3"/>
      <c r="AE10" s="3"/>
      <c r="AF10" s="3">
        <v>2294.4</v>
      </c>
      <c r="AG10" s="3">
        <v>1720.8</v>
      </c>
      <c r="AH10" s="3">
        <v>8.4</v>
      </c>
      <c r="AI10" s="3">
        <v>6.3</v>
      </c>
      <c r="AJ10" s="3"/>
      <c r="AK10" s="3"/>
      <c r="AL10" s="3"/>
      <c r="AM10" s="3"/>
      <c r="AN10" s="6">
        <v>17</v>
      </c>
      <c r="AO10" s="6">
        <v>16</v>
      </c>
      <c r="AP10" s="6">
        <v>20</v>
      </c>
      <c r="AQ10" s="6">
        <v>21</v>
      </c>
      <c r="AR10" s="3">
        <v>35</v>
      </c>
      <c r="AS10" s="3">
        <v>50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3"/>
      <c r="BE10" s="3"/>
      <c r="BF10" s="7">
        <v>22</v>
      </c>
      <c r="BG10" s="7">
        <v>23</v>
      </c>
      <c r="BH10" s="7">
        <v>19</v>
      </c>
      <c r="BI10" s="8">
        <v>20</v>
      </c>
      <c r="BJ10" s="7">
        <v>16</v>
      </c>
      <c r="BK10" s="7">
        <v>17</v>
      </c>
      <c r="BL10" s="41"/>
      <c r="BM10" s="41"/>
      <c r="BN10" s="41"/>
      <c r="BO10" s="41"/>
      <c r="BP10" s="7" t="s">
        <v>87</v>
      </c>
      <c r="BQ10" s="7">
        <v>5</v>
      </c>
      <c r="BR10" s="41"/>
      <c r="BS10" s="41"/>
      <c r="BT10" s="41"/>
      <c r="BU10" s="42"/>
      <c r="BV10" s="7"/>
      <c r="BW10" s="7"/>
      <c r="BX10" s="41"/>
      <c r="BY10" s="41"/>
      <c r="BZ10" s="41"/>
      <c r="CA10" s="41"/>
      <c r="CB10" s="41"/>
      <c r="CC10" s="41"/>
      <c r="CD10" s="41"/>
      <c r="CE10" s="41"/>
      <c r="CF10" s="41"/>
      <c r="CG10" s="41"/>
    </row>
    <row r="11" spans="1:85" x14ac:dyDescent="0.35">
      <c r="A11" s="1" t="str">
        <f t="shared" si="0"/>
        <v>TOROMOCHORUEDA DELANTERA RH980E5</v>
      </c>
      <c r="B11" s="2" t="s">
        <v>93</v>
      </c>
      <c r="C11" s="2" t="s">
        <v>89</v>
      </c>
      <c r="D11" s="11">
        <v>80</v>
      </c>
      <c r="E11" s="11">
        <v>140</v>
      </c>
      <c r="F11" s="11">
        <v>2</v>
      </c>
      <c r="G11" s="11">
        <v>3</v>
      </c>
      <c r="H11" s="11">
        <v>1</v>
      </c>
      <c r="I11" s="11">
        <v>2</v>
      </c>
      <c r="J11" s="11">
        <v>2</v>
      </c>
      <c r="K11" s="11">
        <v>3</v>
      </c>
      <c r="L11" s="11"/>
      <c r="M11" s="11"/>
      <c r="N11" s="11">
        <v>1</v>
      </c>
      <c r="O11" s="11">
        <v>2</v>
      </c>
      <c r="P11" s="11"/>
      <c r="Q11" s="11"/>
      <c r="R11" s="11">
        <v>9</v>
      </c>
      <c r="S11" s="11">
        <v>11</v>
      </c>
      <c r="T11" s="11">
        <v>4</v>
      </c>
      <c r="U11" s="11">
        <v>5</v>
      </c>
      <c r="V11" s="11"/>
      <c r="W11" s="11"/>
      <c r="X11" s="11">
        <v>1009.6</v>
      </c>
      <c r="Y11" s="11">
        <v>757.19999999999993</v>
      </c>
      <c r="Z11" s="11">
        <v>684.80000000000007</v>
      </c>
      <c r="AA11" s="11">
        <v>513.6</v>
      </c>
      <c r="AB11" s="11"/>
      <c r="AC11" s="11"/>
      <c r="AD11" s="11"/>
      <c r="AE11" s="11"/>
      <c r="AF11" s="11">
        <v>2294.4</v>
      </c>
      <c r="AG11" s="11">
        <v>1720.8</v>
      </c>
      <c r="AH11" s="11">
        <v>8.4</v>
      </c>
      <c r="AI11" s="11">
        <v>6.3</v>
      </c>
      <c r="AJ11" s="11"/>
      <c r="AK11" s="11"/>
      <c r="AL11" s="11"/>
      <c r="AM11" s="11"/>
      <c r="AN11" s="6">
        <v>17</v>
      </c>
      <c r="AO11" s="6">
        <v>16</v>
      </c>
      <c r="AP11" s="6">
        <v>20</v>
      </c>
      <c r="AQ11" s="6">
        <v>21</v>
      </c>
      <c r="AR11" s="11">
        <v>35</v>
      </c>
      <c r="AS11" s="11">
        <v>50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11"/>
      <c r="BE11" s="11"/>
      <c r="BF11" s="7">
        <v>22</v>
      </c>
      <c r="BG11" s="7">
        <v>23</v>
      </c>
      <c r="BH11" s="7">
        <v>19</v>
      </c>
      <c r="BI11" s="8">
        <v>20</v>
      </c>
      <c r="BJ11" s="7">
        <v>16</v>
      </c>
      <c r="BK11" s="7">
        <v>17</v>
      </c>
      <c r="BL11" s="41"/>
      <c r="BM11" s="41"/>
      <c r="BN11" s="41"/>
      <c r="BO11" s="41"/>
      <c r="BP11" s="7" t="s">
        <v>87</v>
      </c>
      <c r="BQ11" s="7">
        <v>5</v>
      </c>
      <c r="BR11" s="41"/>
      <c r="BS11" s="41"/>
      <c r="BT11" s="41"/>
      <c r="BU11" s="42"/>
      <c r="BV11" s="7"/>
      <c r="BW11" s="7"/>
      <c r="BX11" s="41"/>
      <c r="BY11" s="41"/>
      <c r="BZ11" s="41"/>
      <c r="CA11" s="41"/>
      <c r="CB11" s="41"/>
      <c r="CC11" s="41"/>
      <c r="CD11" s="41"/>
      <c r="CE11" s="41"/>
      <c r="CF11" s="41"/>
      <c r="CG11" s="41"/>
    </row>
    <row r="12" spans="1:85" x14ac:dyDescent="0.35">
      <c r="A12" s="1" t="str">
        <f t="shared" si="0"/>
        <v>TOROMOCHOSISTEMA HIDRAULICO980E5</v>
      </c>
      <c r="B12" s="2" t="s">
        <v>93</v>
      </c>
      <c r="C12" s="2" t="s">
        <v>91</v>
      </c>
      <c r="D12" s="3">
        <v>6</v>
      </c>
      <c r="E12" s="3">
        <v>7</v>
      </c>
      <c r="F12" s="3">
        <v>5</v>
      </c>
      <c r="G12" s="3">
        <v>7</v>
      </c>
      <c r="H12" s="3">
        <v>2</v>
      </c>
      <c r="I12" s="3">
        <v>3</v>
      </c>
      <c r="J12" s="3">
        <v>3</v>
      </c>
      <c r="K12" s="3">
        <v>5</v>
      </c>
      <c r="L12" s="3"/>
      <c r="M12" s="3"/>
      <c r="N12" s="3">
        <v>1</v>
      </c>
      <c r="O12" s="3">
        <v>2</v>
      </c>
      <c r="P12" s="3"/>
      <c r="Q12" s="3"/>
      <c r="R12" s="3">
        <v>11</v>
      </c>
      <c r="S12" s="3">
        <v>13</v>
      </c>
      <c r="T12" s="3">
        <v>5</v>
      </c>
      <c r="U12" s="3">
        <v>6</v>
      </c>
      <c r="V12" s="3"/>
      <c r="W12" s="3"/>
      <c r="X12" s="3">
        <v>1106.4000000000001</v>
      </c>
      <c r="Y12" s="3">
        <v>829.8</v>
      </c>
      <c r="Z12" s="3">
        <v>702.40000000000009</v>
      </c>
      <c r="AA12" s="3">
        <v>526.79999999999995</v>
      </c>
      <c r="AB12" s="3"/>
      <c r="AC12" s="3"/>
      <c r="AD12" s="3"/>
      <c r="AE12" s="3"/>
      <c r="AF12" s="3">
        <v>2388.8000000000002</v>
      </c>
      <c r="AG12" s="3">
        <v>1791.6</v>
      </c>
      <c r="AH12" s="3">
        <v>9.6</v>
      </c>
      <c r="AI12" s="3">
        <v>7.2</v>
      </c>
      <c r="AJ12" s="3"/>
      <c r="AK12" s="3"/>
      <c r="AL12" s="3"/>
      <c r="AM12" s="3"/>
      <c r="AN12" s="6">
        <v>5.7</v>
      </c>
      <c r="AO12" s="6">
        <v>5.5</v>
      </c>
      <c r="AP12" s="6">
        <v>6.6</v>
      </c>
      <c r="AQ12" s="6">
        <v>6.9</v>
      </c>
      <c r="AR12" s="3">
        <v>11</v>
      </c>
      <c r="AS12" s="3">
        <v>14</v>
      </c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3"/>
      <c r="BE12" s="3"/>
      <c r="BF12" s="7">
        <v>22</v>
      </c>
      <c r="BG12" s="7">
        <v>23</v>
      </c>
      <c r="BH12" s="7">
        <v>19</v>
      </c>
      <c r="BI12" s="8">
        <v>20</v>
      </c>
      <c r="BJ12" s="7">
        <v>16</v>
      </c>
      <c r="BK12" s="7">
        <v>17</v>
      </c>
      <c r="BL12" s="41"/>
      <c r="BM12" s="41"/>
      <c r="BN12" s="41"/>
      <c r="BO12" s="41"/>
      <c r="BP12" s="7" t="s">
        <v>87</v>
      </c>
      <c r="BQ12" s="7">
        <v>5</v>
      </c>
      <c r="BR12" s="41"/>
      <c r="BS12" s="41"/>
      <c r="BT12" s="41"/>
      <c r="BU12" s="42"/>
      <c r="BV12" s="7"/>
      <c r="BW12" s="7"/>
      <c r="BX12" s="41"/>
      <c r="BY12" s="41"/>
      <c r="BZ12" s="41"/>
      <c r="CA12" s="41"/>
      <c r="CB12" s="41"/>
      <c r="CC12" s="41"/>
      <c r="CD12" s="41"/>
      <c r="CE12" s="41"/>
      <c r="CF12" s="41"/>
      <c r="CG12" s="41"/>
    </row>
    <row r="13" spans="1:85" x14ac:dyDescent="0.35">
      <c r="A13" s="1" t="str">
        <f t="shared" si="0"/>
        <v>TOROMOCHOMOTOR980E5</v>
      </c>
      <c r="B13" s="2" t="s">
        <v>93</v>
      </c>
      <c r="C13" s="2" t="s">
        <v>92</v>
      </c>
      <c r="D13" s="12">
        <v>9</v>
      </c>
      <c r="E13" s="12">
        <v>12</v>
      </c>
      <c r="F13" s="12">
        <v>1.5</v>
      </c>
      <c r="G13" s="12">
        <v>1.9</v>
      </c>
      <c r="H13" s="12">
        <v>2.2999999999999998</v>
      </c>
      <c r="I13" s="12">
        <v>2.9</v>
      </c>
      <c r="J13" s="12">
        <v>2.2000000000000002</v>
      </c>
      <c r="K13" s="12">
        <v>2.9</v>
      </c>
      <c r="L13" s="6"/>
      <c r="M13" s="6"/>
      <c r="N13" s="12">
        <v>0.2</v>
      </c>
      <c r="O13" s="12">
        <v>0.3</v>
      </c>
      <c r="P13" s="6"/>
      <c r="Q13" s="6"/>
      <c r="R13" s="12">
        <v>6</v>
      </c>
      <c r="S13" s="12">
        <v>8</v>
      </c>
      <c r="T13" s="12">
        <v>4</v>
      </c>
      <c r="U13" s="12">
        <v>5</v>
      </c>
      <c r="V13" s="12">
        <v>1.5</v>
      </c>
      <c r="W13" s="12">
        <v>2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12">
        <v>13.5</v>
      </c>
      <c r="AO13" s="12">
        <v>13</v>
      </c>
      <c r="AP13" s="12">
        <v>15.5</v>
      </c>
      <c r="AQ13" s="12">
        <v>16</v>
      </c>
      <c r="AR13" s="12">
        <v>4.5</v>
      </c>
      <c r="AS13" s="12">
        <v>6</v>
      </c>
      <c r="AT13" s="12">
        <v>20</v>
      </c>
      <c r="AU13" s="12">
        <v>22</v>
      </c>
      <c r="AV13" s="12">
        <v>25</v>
      </c>
      <c r="AW13" s="12">
        <v>27</v>
      </c>
      <c r="AX13" s="12">
        <v>9</v>
      </c>
      <c r="AY13" s="12">
        <v>10</v>
      </c>
      <c r="AZ13" s="12">
        <v>8.8000000000000007</v>
      </c>
      <c r="BA13" s="12">
        <v>8.3000000000000007</v>
      </c>
      <c r="BB13" s="12">
        <v>16</v>
      </c>
      <c r="BC13" s="12">
        <v>19</v>
      </c>
      <c r="BD13" s="6"/>
      <c r="BE13" s="6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7" t="s">
        <v>87</v>
      </c>
      <c r="BQ13" s="7">
        <v>5</v>
      </c>
      <c r="BR13" s="41"/>
      <c r="BS13" s="41"/>
      <c r="BT13" s="41"/>
      <c r="BU13" s="42"/>
      <c r="BV13" s="7"/>
      <c r="BW13" s="7"/>
      <c r="BX13" s="41"/>
      <c r="BY13" s="41"/>
      <c r="BZ13" s="41"/>
      <c r="CA13" s="41"/>
      <c r="CB13" s="41"/>
      <c r="CC13" s="41"/>
      <c r="CD13" s="41"/>
      <c r="CE13" s="41"/>
      <c r="CF13" s="41"/>
      <c r="CG13" s="41"/>
    </row>
    <row r="14" spans="1:85" x14ac:dyDescent="0.35">
      <c r="A14" s="1" t="str">
        <f t="shared" si="0"/>
        <v>CERRO VERDEMOTOR DE TRACCION RH980E5</v>
      </c>
      <c r="B14" s="13" t="s">
        <v>94</v>
      </c>
      <c r="C14" s="13" t="s">
        <v>86</v>
      </c>
      <c r="D14" s="14">
        <v>145</v>
      </c>
      <c r="E14" s="14">
        <v>165</v>
      </c>
      <c r="F14" s="14">
        <v>1</v>
      </c>
      <c r="G14" s="14">
        <v>2</v>
      </c>
      <c r="H14" s="14">
        <v>6</v>
      </c>
      <c r="I14" s="14">
        <v>10</v>
      </c>
      <c r="J14" s="14">
        <v>2</v>
      </c>
      <c r="K14" s="14">
        <v>3</v>
      </c>
      <c r="L14" s="14"/>
      <c r="M14" s="14"/>
      <c r="N14" s="14">
        <v>1</v>
      </c>
      <c r="O14" s="14">
        <v>2</v>
      </c>
      <c r="P14" s="14"/>
      <c r="Q14" s="14"/>
      <c r="R14" s="14">
        <v>21</v>
      </c>
      <c r="S14" s="14">
        <v>26</v>
      </c>
      <c r="T14" s="14">
        <v>1</v>
      </c>
      <c r="U14" s="14">
        <v>2</v>
      </c>
      <c r="V14" s="14"/>
      <c r="W14" s="14"/>
      <c r="X14" s="14"/>
      <c r="Y14" s="14"/>
      <c r="Z14" s="5">
        <v>280</v>
      </c>
      <c r="AA14" s="5">
        <v>240</v>
      </c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0"/>
      <c r="AO14" s="10">
        <v>71.010000000000005</v>
      </c>
      <c r="AP14" s="10"/>
      <c r="AQ14" s="10">
        <v>86.79</v>
      </c>
      <c r="AR14" s="15">
        <v>130</v>
      </c>
      <c r="AS14" s="15">
        <v>150</v>
      </c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44"/>
      <c r="BG14" s="44"/>
      <c r="BH14" s="7">
        <v>19</v>
      </c>
      <c r="BI14" s="8">
        <v>20</v>
      </c>
      <c r="BJ14" s="8">
        <v>16</v>
      </c>
      <c r="BK14" s="8">
        <v>19</v>
      </c>
      <c r="BL14" s="44"/>
      <c r="BM14" s="44"/>
      <c r="BN14" s="44"/>
      <c r="BO14" s="44"/>
      <c r="BP14" s="5" t="s">
        <v>87</v>
      </c>
      <c r="BQ14" s="5">
        <v>5</v>
      </c>
      <c r="BR14" s="45"/>
      <c r="BS14" s="45"/>
      <c r="BT14" s="41"/>
      <c r="BU14" s="42"/>
      <c r="BV14" s="9"/>
      <c r="BW14" s="9"/>
      <c r="BX14" s="45"/>
      <c r="BY14" s="45"/>
      <c r="BZ14" s="45"/>
      <c r="CA14" s="45"/>
      <c r="CB14" s="45"/>
      <c r="CC14" s="45"/>
      <c r="CD14" s="45"/>
      <c r="CE14" s="45"/>
      <c r="CF14" s="45"/>
      <c r="CG14" s="45"/>
    </row>
    <row r="15" spans="1:85" x14ac:dyDescent="0.35">
      <c r="A15" s="1" t="str">
        <f t="shared" si="0"/>
        <v>CERRO VERDEMOTOR DE TRACCION LH980E5</v>
      </c>
      <c r="B15" s="13" t="s">
        <v>94</v>
      </c>
      <c r="C15" s="13" t="s">
        <v>88</v>
      </c>
      <c r="D15" s="9">
        <v>145</v>
      </c>
      <c r="E15" s="9">
        <v>165</v>
      </c>
      <c r="F15" s="9">
        <v>1</v>
      </c>
      <c r="G15" s="9">
        <v>2</v>
      </c>
      <c r="H15" s="9">
        <v>6</v>
      </c>
      <c r="I15" s="9">
        <v>10</v>
      </c>
      <c r="J15" s="9">
        <v>2</v>
      </c>
      <c r="K15" s="9">
        <v>1</v>
      </c>
      <c r="L15" s="9"/>
      <c r="M15" s="9"/>
      <c r="N15" s="9">
        <v>1</v>
      </c>
      <c r="O15" s="9">
        <v>2</v>
      </c>
      <c r="P15" s="9"/>
      <c r="Q15" s="9"/>
      <c r="R15" s="9">
        <v>21</v>
      </c>
      <c r="S15" s="9">
        <v>26</v>
      </c>
      <c r="T15" s="9">
        <v>1</v>
      </c>
      <c r="U15" s="9">
        <v>2</v>
      </c>
      <c r="V15" s="9"/>
      <c r="W15" s="9"/>
      <c r="X15" s="9"/>
      <c r="Y15" s="9"/>
      <c r="Z15" s="5">
        <v>280</v>
      </c>
      <c r="AA15" s="5">
        <v>240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6"/>
      <c r="AO15" s="6">
        <v>71.010000000000005</v>
      </c>
      <c r="AP15" s="6"/>
      <c r="AQ15" s="6">
        <v>86.79</v>
      </c>
      <c r="AR15" s="16">
        <v>130</v>
      </c>
      <c r="AS15" s="16">
        <v>150</v>
      </c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45"/>
      <c r="BG15" s="45"/>
      <c r="BH15" s="7">
        <v>19</v>
      </c>
      <c r="BI15" s="8">
        <v>20</v>
      </c>
      <c r="BJ15" s="8">
        <v>16</v>
      </c>
      <c r="BK15" s="8">
        <v>19</v>
      </c>
      <c r="BL15" s="45"/>
      <c r="BM15" s="45"/>
      <c r="BN15" s="45"/>
      <c r="BO15" s="45"/>
      <c r="BP15" s="7" t="s">
        <v>87</v>
      </c>
      <c r="BQ15" s="7">
        <v>5</v>
      </c>
      <c r="BR15" s="45"/>
      <c r="BS15" s="45"/>
      <c r="BT15" s="45"/>
      <c r="BU15" s="46"/>
      <c r="BV15" s="9"/>
      <c r="BW15" s="9"/>
      <c r="BX15" s="45"/>
      <c r="BY15" s="45"/>
      <c r="BZ15" s="45"/>
      <c r="CA15" s="45"/>
      <c r="CB15" s="45"/>
      <c r="CC15" s="45"/>
      <c r="CD15" s="45"/>
      <c r="CE15" s="45"/>
      <c r="CF15" s="45"/>
      <c r="CG15" s="45"/>
    </row>
    <row r="16" spans="1:85" x14ac:dyDescent="0.35">
      <c r="A16" s="1" t="str">
        <f t="shared" si="0"/>
        <v>CERRO VERDERUEDA DELANTERA RH980E5</v>
      </c>
      <c r="B16" s="13" t="s">
        <v>94</v>
      </c>
      <c r="C16" s="13" t="s">
        <v>89</v>
      </c>
      <c r="D16" s="9">
        <v>80</v>
      </c>
      <c r="E16" s="9">
        <v>140</v>
      </c>
      <c r="F16" s="9">
        <v>2</v>
      </c>
      <c r="G16" s="9">
        <v>3</v>
      </c>
      <c r="H16" s="9">
        <v>1</v>
      </c>
      <c r="I16" s="9">
        <v>2</v>
      </c>
      <c r="J16" s="9">
        <v>2</v>
      </c>
      <c r="K16" s="9">
        <v>3</v>
      </c>
      <c r="L16" s="9"/>
      <c r="M16" s="9"/>
      <c r="N16" s="9">
        <v>1</v>
      </c>
      <c r="O16" s="9">
        <v>2</v>
      </c>
      <c r="P16" s="9"/>
      <c r="Q16" s="9"/>
      <c r="R16" s="9">
        <v>23</v>
      </c>
      <c r="S16" s="9">
        <v>25</v>
      </c>
      <c r="T16" s="9">
        <v>4</v>
      </c>
      <c r="U16" s="9">
        <v>5</v>
      </c>
      <c r="V16" s="9"/>
      <c r="W16" s="9"/>
      <c r="X16" s="9">
        <v>910</v>
      </c>
      <c r="Y16" s="9">
        <v>682</v>
      </c>
      <c r="Z16" s="9">
        <v>785</v>
      </c>
      <c r="AA16" s="9">
        <v>589</v>
      </c>
      <c r="AB16" s="9"/>
      <c r="AC16" s="9"/>
      <c r="AD16" s="9"/>
      <c r="AE16" s="9"/>
      <c r="AF16" s="9">
        <v>2486</v>
      </c>
      <c r="AG16" s="9">
        <v>1864</v>
      </c>
      <c r="AH16" s="9">
        <v>13</v>
      </c>
      <c r="AI16" s="9">
        <v>10</v>
      </c>
      <c r="AJ16" s="9"/>
      <c r="AK16" s="9"/>
      <c r="AL16" s="9"/>
      <c r="AM16" s="9"/>
      <c r="AN16" s="17">
        <v>17.3</v>
      </c>
      <c r="AO16" s="17">
        <v>16.7</v>
      </c>
      <c r="AP16" s="17">
        <v>20</v>
      </c>
      <c r="AQ16" s="17">
        <v>20.9</v>
      </c>
      <c r="AR16" s="16">
        <v>35</v>
      </c>
      <c r="AS16" s="16">
        <v>50</v>
      </c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7">
        <v>22</v>
      </c>
      <c r="BG16" s="7">
        <v>23</v>
      </c>
      <c r="BH16" s="7">
        <v>19</v>
      </c>
      <c r="BI16" s="8">
        <v>20</v>
      </c>
      <c r="BJ16" s="7">
        <v>16</v>
      </c>
      <c r="BK16" s="7">
        <v>17</v>
      </c>
      <c r="BL16" s="45"/>
      <c r="BM16" s="45"/>
      <c r="BN16" s="45"/>
      <c r="BO16" s="45"/>
      <c r="BP16" s="7" t="s">
        <v>87</v>
      </c>
      <c r="BQ16" s="7">
        <v>5</v>
      </c>
      <c r="BR16" s="45"/>
      <c r="BS16" s="45"/>
      <c r="BT16" s="45"/>
      <c r="BU16" s="46"/>
      <c r="BV16" s="9"/>
      <c r="BW16" s="9"/>
      <c r="BX16" s="45"/>
      <c r="BY16" s="45"/>
      <c r="BZ16" s="45"/>
      <c r="CA16" s="45"/>
      <c r="CB16" s="45"/>
      <c r="CC16" s="45"/>
      <c r="CD16" s="45"/>
      <c r="CE16" s="45"/>
      <c r="CF16" s="45"/>
      <c r="CG16" s="45"/>
    </row>
    <row r="17" spans="1:85" x14ac:dyDescent="0.35">
      <c r="A17" s="1" t="str">
        <f t="shared" si="0"/>
        <v>CERRO VERDERUEDA DELANTERA LH980E5</v>
      </c>
      <c r="B17" s="13" t="s">
        <v>94</v>
      </c>
      <c r="C17" s="13" t="s">
        <v>90</v>
      </c>
      <c r="D17" s="9">
        <v>80</v>
      </c>
      <c r="E17" s="9">
        <v>140</v>
      </c>
      <c r="F17" s="9">
        <v>2</v>
      </c>
      <c r="G17" s="9">
        <v>3</v>
      </c>
      <c r="H17" s="9">
        <v>1</v>
      </c>
      <c r="I17" s="9">
        <v>2</v>
      </c>
      <c r="J17" s="9">
        <v>2</v>
      </c>
      <c r="K17" s="9">
        <v>3</v>
      </c>
      <c r="L17" s="9"/>
      <c r="M17" s="9"/>
      <c r="N17" s="9">
        <v>1</v>
      </c>
      <c r="O17" s="9">
        <v>2</v>
      </c>
      <c r="P17" s="9"/>
      <c r="Q17" s="9"/>
      <c r="R17" s="9">
        <v>23</v>
      </c>
      <c r="S17" s="9">
        <v>25</v>
      </c>
      <c r="T17" s="9">
        <v>4</v>
      </c>
      <c r="U17" s="9">
        <v>5</v>
      </c>
      <c r="V17" s="9"/>
      <c r="W17" s="9"/>
      <c r="X17" s="9">
        <v>910</v>
      </c>
      <c r="Y17" s="9">
        <v>682</v>
      </c>
      <c r="Z17" s="9">
        <v>785</v>
      </c>
      <c r="AA17" s="9">
        <v>589</v>
      </c>
      <c r="AB17" s="9"/>
      <c r="AC17" s="9"/>
      <c r="AD17" s="9"/>
      <c r="AE17" s="9"/>
      <c r="AF17" s="9">
        <v>2486</v>
      </c>
      <c r="AG17" s="9">
        <v>1864</v>
      </c>
      <c r="AH17" s="9">
        <v>13</v>
      </c>
      <c r="AI17" s="9">
        <v>10</v>
      </c>
      <c r="AJ17" s="9"/>
      <c r="AK17" s="9"/>
      <c r="AL17" s="9"/>
      <c r="AM17" s="9"/>
      <c r="AN17" s="17">
        <v>17.3</v>
      </c>
      <c r="AO17" s="17">
        <v>16.7</v>
      </c>
      <c r="AP17" s="17">
        <v>20</v>
      </c>
      <c r="AQ17" s="17">
        <v>20.9</v>
      </c>
      <c r="AR17" s="16">
        <v>35</v>
      </c>
      <c r="AS17" s="16">
        <v>50</v>
      </c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7">
        <v>22</v>
      </c>
      <c r="BG17" s="7">
        <v>23</v>
      </c>
      <c r="BH17" s="7">
        <v>19</v>
      </c>
      <c r="BI17" s="8">
        <v>20</v>
      </c>
      <c r="BJ17" s="7">
        <v>16</v>
      </c>
      <c r="BK17" s="7">
        <v>17</v>
      </c>
      <c r="BL17" s="45"/>
      <c r="BM17" s="45"/>
      <c r="BN17" s="45"/>
      <c r="BO17" s="45"/>
      <c r="BP17" s="7" t="s">
        <v>87</v>
      </c>
      <c r="BQ17" s="7">
        <v>5</v>
      </c>
      <c r="BR17" s="45"/>
      <c r="BS17" s="45"/>
      <c r="BT17" s="45"/>
      <c r="BU17" s="46"/>
      <c r="BV17" s="9"/>
      <c r="BW17" s="9"/>
      <c r="BX17" s="45"/>
      <c r="BY17" s="45"/>
      <c r="BZ17" s="45"/>
      <c r="CA17" s="45"/>
      <c r="CB17" s="45"/>
      <c r="CC17" s="45"/>
      <c r="CD17" s="45"/>
      <c r="CE17" s="45"/>
      <c r="CF17" s="45"/>
      <c r="CG17" s="45"/>
    </row>
    <row r="18" spans="1:85" x14ac:dyDescent="0.35">
      <c r="A18" s="1" t="str">
        <f t="shared" si="0"/>
        <v>CERRO VERDESISTEMA HIDRAULICO980E5</v>
      </c>
      <c r="B18" s="13" t="s">
        <v>94</v>
      </c>
      <c r="C18" s="13" t="s">
        <v>91</v>
      </c>
      <c r="D18" s="9">
        <v>6</v>
      </c>
      <c r="E18" s="9">
        <v>7</v>
      </c>
      <c r="F18" s="9">
        <v>5</v>
      </c>
      <c r="G18" s="9">
        <v>7</v>
      </c>
      <c r="H18" s="9">
        <v>2</v>
      </c>
      <c r="I18" s="9">
        <v>3</v>
      </c>
      <c r="J18" s="9">
        <v>3</v>
      </c>
      <c r="K18" s="9">
        <v>5</v>
      </c>
      <c r="L18" s="9"/>
      <c r="M18" s="9"/>
      <c r="N18" s="9">
        <v>1</v>
      </c>
      <c r="O18" s="9">
        <v>2</v>
      </c>
      <c r="P18" s="9"/>
      <c r="Q18" s="9"/>
      <c r="R18" s="9">
        <v>11</v>
      </c>
      <c r="S18" s="9">
        <v>13</v>
      </c>
      <c r="T18" s="9">
        <v>5</v>
      </c>
      <c r="U18" s="9">
        <v>6</v>
      </c>
      <c r="V18" s="9"/>
      <c r="W18" s="9"/>
      <c r="X18" s="9">
        <v>876</v>
      </c>
      <c r="Y18" s="9">
        <v>657</v>
      </c>
      <c r="Z18" s="9">
        <v>730</v>
      </c>
      <c r="AA18" s="9">
        <v>548</v>
      </c>
      <c r="AB18" s="9"/>
      <c r="AC18" s="9"/>
      <c r="AD18" s="9"/>
      <c r="AE18" s="9"/>
      <c r="AF18" s="9">
        <v>2822</v>
      </c>
      <c r="AG18" s="9">
        <v>2117</v>
      </c>
      <c r="AH18" s="9">
        <v>9</v>
      </c>
      <c r="AI18" s="9">
        <v>7</v>
      </c>
      <c r="AJ18" s="9"/>
      <c r="AK18" s="9"/>
      <c r="AL18" s="9"/>
      <c r="AM18" s="9"/>
      <c r="AN18" s="17">
        <v>5.6</v>
      </c>
      <c r="AO18" s="17">
        <v>5.8</v>
      </c>
      <c r="AP18" s="17">
        <v>6.7</v>
      </c>
      <c r="AQ18" s="17">
        <v>7</v>
      </c>
      <c r="AR18" s="16">
        <v>11</v>
      </c>
      <c r="AS18" s="16">
        <v>14</v>
      </c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7">
        <v>22</v>
      </c>
      <c r="BG18" s="7">
        <v>23</v>
      </c>
      <c r="BH18" s="7">
        <v>19</v>
      </c>
      <c r="BI18" s="8">
        <v>20</v>
      </c>
      <c r="BJ18" s="7">
        <v>16</v>
      </c>
      <c r="BK18" s="7">
        <v>17</v>
      </c>
      <c r="BL18" s="45"/>
      <c r="BM18" s="45"/>
      <c r="BN18" s="45"/>
      <c r="BO18" s="45"/>
      <c r="BP18" s="7" t="s">
        <v>87</v>
      </c>
      <c r="BQ18" s="7">
        <v>5</v>
      </c>
      <c r="BR18" s="45"/>
      <c r="BS18" s="45"/>
      <c r="BT18" s="45"/>
      <c r="BU18" s="46"/>
      <c r="BV18" s="9"/>
      <c r="BW18" s="9"/>
      <c r="BX18" s="45"/>
      <c r="BY18" s="45"/>
      <c r="BZ18" s="45"/>
      <c r="CA18" s="45"/>
      <c r="CB18" s="45"/>
      <c r="CC18" s="45"/>
      <c r="CD18" s="45"/>
      <c r="CE18" s="45"/>
      <c r="CF18" s="45"/>
      <c r="CG18" s="45"/>
    </row>
    <row r="19" spans="1:85" x14ac:dyDescent="0.35">
      <c r="A19" s="1" t="str">
        <f t="shared" si="0"/>
        <v>CERRO VERDEMOTOR980E5</v>
      </c>
      <c r="B19" s="2" t="s">
        <v>94</v>
      </c>
      <c r="C19" s="2" t="s">
        <v>92</v>
      </c>
      <c r="D19" s="7">
        <v>10.5</v>
      </c>
      <c r="E19" s="7">
        <v>12.5</v>
      </c>
      <c r="F19" s="7">
        <v>2.5</v>
      </c>
      <c r="G19" s="7">
        <v>3.5</v>
      </c>
      <c r="H19" s="7">
        <v>2.5</v>
      </c>
      <c r="I19" s="7">
        <v>3.5</v>
      </c>
      <c r="J19" s="7">
        <v>2.6</v>
      </c>
      <c r="K19" s="6">
        <v>3.2</v>
      </c>
      <c r="L19" s="7"/>
      <c r="M19" s="7"/>
      <c r="N19" s="7"/>
      <c r="O19" s="7"/>
      <c r="P19" s="7"/>
      <c r="Q19" s="7"/>
      <c r="R19" s="7">
        <v>10.5</v>
      </c>
      <c r="S19" s="7">
        <v>12.5</v>
      </c>
      <c r="T19" s="7">
        <v>7.5</v>
      </c>
      <c r="U19" s="7">
        <v>8.5</v>
      </c>
      <c r="V19" s="7">
        <v>2.5</v>
      </c>
      <c r="W19" s="7">
        <v>3.5</v>
      </c>
      <c r="X19" s="7"/>
      <c r="Y19" s="7"/>
      <c r="Z19" s="7"/>
      <c r="AA19" s="7"/>
      <c r="AB19" s="7">
        <v>57</v>
      </c>
      <c r="AC19" s="7">
        <v>51.5</v>
      </c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6">
        <v>13</v>
      </c>
      <c r="AO19" s="6">
        <v>12.7</v>
      </c>
      <c r="AP19" s="6">
        <v>15</v>
      </c>
      <c r="AQ19" s="6">
        <v>15.5</v>
      </c>
      <c r="AR19" s="7">
        <v>4.5</v>
      </c>
      <c r="AS19" s="7">
        <v>5.5</v>
      </c>
      <c r="AT19" s="7">
        <v>25.4</v>
      </c>
      <c r="AU19" s="7">
        <v>26.2</v>
      </c>
      <c r="AV19" s="7">
        <v>27.7</v>
      </c>
      <c r="AW19" s="7">
        <v>28.5</v>
      </c>
      <c r="AX19" s="7">
        <v>8.8000000000000007</v>
      </c>
      <c r="AY19" s="7">
        <v>9.4</v>
      </c>
      <c r="AZ19" s="7"/>
      <c r="BA19" s="7"/>
      <c r="BB19" s="7">
        <v>16.5</v>
      </c>
      <c r="BC19" s="7">
        <v>19.5</v>
      </c>
      <c r="BD19" s="7"/>
      <c r="BE19" s="7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7" t="s">
        <v>87</v>
      </c>
      <c r="BQ19" s="7">
        <v>5</v>
      </c>
      <c r="BR19" s="41"/>
      <c r="BS19" s="41"/>
      <c r="BT19" s="41"/>
      <c r="BU19" s="42"/>
      <c r="BV19" s="7"/>
      <c r="BW19" s="7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x14ac:dyDescent="0.35">
      <c r="A20" s="1" t="str">
        <f t="shared" si="0"/>
        <v>ANTAMINAMOTOR DE TRACCION RH980E5SE</v>
      </c>
      <c r="B20" s="13" t="s">
        <v>95</v>
      </c>
      <c r="C20" s="13" t="s">
        <v>86</v>
      </c>
      <c r="D20" s="18">
        <v>233</v>
      </c>
      <c r="E20" s="18">
        <v>285</v>
      </c>
      <c r="F20" s="5"/>
      <c r="G20" s="5"/>
      <c r="H20" s="5">
        <v>30</v>
      </c>
      <c r="I20" s="5">
        <v>40</v>
      </c>
      <c r="J20" s="5"/>
      <c r="K20" s="5"/>
      <c r="L20" s="5">
        <v>3</v>
      </c>
      <c r="M20" s="5">
        <v>5</v>
      </c>
      <c r="N20" s="5">
        <v>1</v>
      </c>
      <c r="O20" s="5">
        <v>2</v>
      </c>
      <c r="P20" s="5">
        <v>1</v>
      </c>
      <c r="Q20" s="5">
        <v>3</v>
      </c>
      <c r="R20" s="5">
        <v>40</v>
      </c>
      <c r="S20" s="5">
        <v>80</v>
      </c>
      <c r="T20" s="5"/>
      <c r="U20" s="5"/>
      <c r="V20" s="5"/>
      <c r="W20" s="5"/>
      <c r="X20" s="5">
        <v>40</v>
      </c>
      <c r="Y20" s="5">
        <v>60</v>
      </c>
      <c r="Z20" s="5">
        <v>280</v>
      </c>
      <c r="AA20" s="5">
        <v>240</v>
      </c>
      <c r="AB20" s="5">
        <v>55</v>
      </c>
      <c r="AC20" s="5">
        <v>50</v>
      </c>
      <c r="AD20" s="5"/>
      <c r="AE20" s="5"/>
      <c r="AF20" s="5">
        <v>50</v>
      </c>
      <c r="AG20" s="5">
        <v>60</v>
      </c>
      <c r="AH20" s="5"/>
      <c r="AI20" s="5"/>
      <c r="AJ20" s="5"/>
      <c r="AK20" s="5"/>
      <c r="AL20" s="5"/>
      <c r="AM20" s="5"/>
      <c r="AN20" s="5"/>
      <c r="AO20" s="5">
        <v>67.95</v>
      </c>
      <c r="AP20" s="5"/>
      <c r="AQ20" s="5">
        <v>86.35</v>
      </c>
      <c r="AR20" s="18">
        <v>150</v>
      </c>
      <c r="AS20" s="18">
        <v>200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8">
        <v>22</v>
      </c>
      <c r="BG20" s="3">
        <v>24</v>
      </c>
      <c r="BH20" s="8">
        <v>19</v>
      </c>
      <c r="BI20" s="8">
        <v>20</v>
      </c>
      <c r="BJ20" s="8">
        <v>16</v>
      </c>
      <c r="BK20" s="8">
        <v>19</v>
      </c>
      <c r="BL20" s="43"/>
      <c r="BM20" s="43"/>
      <c r="BN20" s="43"/>
      <c r="BO20" s="43"/>
      <c r="BP20" s="5" t="s">
        <v>87</v>
      </c>
      <c r="BQ20" s="5" t="s">
        <v>96</v>
      </c>
      <c r="BR20" s="7">
        <v>650</v>
      </c>
      <c r="BS20" s="7">
        <v>620</v>
      </c>
      <c r="BT20" s="41"/>
      <c r="BU20" s="42"/>
      <c r="BV20" s="7"/>
      <c r="BW20" s="7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x14ac:dyDescent="0.35">
      <c r="A21" s="1" t="str">
        <f t="shared" si="0"/>
        <v>ANTAMINAMOTOR DE TRACCION LH980E5SE</v>
      </c>
      <c r="B21" s="13" t="s">
        <v>95</v>
      </c>
      <c r="C21" s="13" t="s">
        <v>88</v>
      </c>
      <c r="D21" s="18">
        <v>233</v>
      </c>
      <c r="E21" s="18">
        <v>285</v>
      </c>
      <c r="F21" s="5"/>
      <c r="G21" s="5"/>
      <c r="H21" s="5">
        <v>30</v>
      </c>
      <c r="I21" s="5">
        <v>40</v>
      </c>
      <c r="J21" s="5"/>
      <c r="K21" s="5"/>
      <c r="L21" s="7">
        <v>3</v>
      </c>
      <c r="M21" s="7">
        <v>5</v>
      </c>
      <c r="N21" s="7">
        <v>1</v>
      </c>
      <c r="O21" s="7">
        <v>2</v>
      </c>
      <c r="P21" s="7">
        <v>1</v>
      </c>
      <c r="Q21" s="7">
        <v>3</v>
      </c>
      <c r="R21" s="5">
        <v>40</v>
      </c>
      <c r="S21" s="5">
        <v>80</v>
      </c>
      <c r="T21" s="7"/>
      <c r="U21" s="7"/>
      <c r="V21" s="7"/>
      <c r="W21" s="7"/>
      <c r="X21" s="5">
        <v>40</v>
      </c>
      <c r="Y21" s="5">
        <v>60</v>
      </c>
      <c r="Z21" s="5">
        <v>280</v>
      </c>
      <c r="AA21" s="5">
        <v>240</v>
      </c>
      <c r="AB21" s="7"/>
      <c r="AC21" s="7"/>
      <c r="AD21" s="7"/>
      <c r="AE21" s="7"/>
      <c r="AF21" s="5">
        <v>50</v>
      </c>
      <c r="AG21" s="5">
        <v>60</v>
      </c>
      <c r="AH21" s="7"/>
      <c r="AI21" s="7"/>
      <c r="AJ21" s="7"/>
      <c r="AK21" s="7"/>
      <c r="AL21" s="7"/>
      <c r="AM21" s="7"/>
      <c r="AN21" s="7"/>
      <c r="AO21" s="7">
        <v>67.95</v>
      </c>
      <c r="AP21" s="7"/>
      <c r="AQ21" s="7">
        <v>86.35</v>
      </c>
      <c r="AR21" s="18">
        <v>150</v>
      </c>
      <c r="AS21" s="18">
        <v>200</v>
      </c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8">
        <v>22</v>
      </c>
      <c r="BG21" s="3">
        <v>24</v>
      </c>
      <c r="BH21" s="8">
        <v>19</v>
      </c>
      <c r="BI21" s="8">
        <v>20</v>
      </c>
      <c r="BJ21" s="8">
        <v>16</v>
      </c>
      <c r="BK21" s="8">
        <v>19</v>
      </c>
      <c r="BL21" s="41"/>
      <c r="BM21" s="41"/>
      <c r="BN21" s="41"/>
      <c r="BO21" s="41"/>
      <c r="BP21" s="7" t="s">
        <v>87</v>
      </c>
      <c r="BQ21" s="7" t="s">
        <v>96</v>
      </c>
      <c r="BR21" s="7">
        <v>650</v>
      </c>
      <c r="BS21" s="7">
        <v>620</v>
      </c>
      <c r="BT21" s="41"/>
      <c r="BU21" s="42"/>
      <c r="BV21" s="7"/>
      <c r="BW21" s="7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x14ac:dyDescent="0.35">
      <c r="A22" s="1" t="str">
        <f t="shared" si="0"/>
        <v>ANTAMINARUEDA DELANTERA RH980E5SE</v>
      </c>
      <c r="B22" s="13" t="s">
        <v>95</v>
      </c>
      <c r="C22" s="13" t="s">
        <v>89</v>
      </c>
      <c r="D22" s="3">
        <v>80</v>
      </c>
      <c r="E22" s="3">
        <v>140</v>
      </c>
      <c r="F22" s="3">
        <v>2</v>
      </c>
      <c r="G22" s="3">
        <v>3</v>
      </c>
      <c r="H22" s="3">
        <v>1</v>
      </c>
      <c r="I22" s="3">
        <v>2</v>
      </c>
      <c r="J22" s="3">
        <v>2</v>
      </c>
      <c r="K22" s="3">
        <v>3</v>
      </c>
      <c r="L22" s="3"/>
      <c r="M22" s="3"/>
      <c r="N22" s="3">
        <v>1</v>
      </c>
      <c r="O22" s="3">
        <v>2</v>
      </c>
      <c r="P22" s="3"/>
      <c r="Q22" s="3"/>
      <c r="R22" s="3">
        <v>26</v>
      </c>
      <c r="S22" s="3">
        <v>28</v>
      </c>
      <c r="T22" s="3">
        <v>4</v>
      </c>
      <c r="U22" s="3">
        <v>5</v>
      </c>
      <c r="V22" s="3"/>
      <c r="W22" s="3"/>
      <c r="X22" s="7"/>
      <c r="Y22" s="7">
        <v>661</v>
      </c>
      <c r="Z22" s="7"/>
      <c r="AA22" s="7">
        <v>636</v>
      </c>
      <c r="AB22" s="9"/>
      <c r="AC22" s="9"/>
      <c r="AD22" s="3"/>
      <c r="AE22" s="3"/>
      <c r="AF22" s="7"/>
      <c r="AG22" s="7">
        <v>2250</v>
      </c>
      <c r="AH22" s="3"/>
      <c r="AI22" s="3">
        <v>7</v>
      </c>
      <c r="AJ22" s="3"/>
      <c r="AK22" s="3"/>
      <c r="AL22" s="3"/>
      <c r="AM22" s="3"/>
      <c r="AN22" s="6">
        <v>22.229999999999997</v>
      </c>
      <c r="AO22" s="6">
        <v>21.527999999999999</v>
      </c>
      <c r="AP22" s="6">
        <v>25.740000000000002</v>
      </c>
      <c r="AQ22" s="6">
        <v>26.909999999999997</v>
      </c>
      <c r="AR22" s="3">
        <v>35</v>
      </c>
      <c r="AS22" s="3">
        <v>50</v>
      </c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3"/>
      <c r="BE22" s="3"/>
      <c r="BF22" s="7">
        <v>22</v>
      </c>
      <c r="BG22" s="7">
        <v>23</v>
      </c>
      <c r="BH22" s="7">
        <v>19</v>
      </c>
      <c r="BI22" s="8">
        <v>20</v>
      </c>
      <c r="BJ22" s="7">
        <v>16</v>
      </c>
      <c r="BK22" s="7">
        <v>17</v>
      </c>
      <c r="BL22" s="41"/>
      <c r="BM22" s="41"/>
      <c r="BN22" s="41"/>
      <c r="BO22" s="41"/>
      <c r="BP22" s="7" t="s">
        <v>87</v>
      </c>
      <c r="BQ22" s="7" t="s">
        <v>96</v>
      </c>
      <c r="BR22" s="41"/>
      <c r="BS22" s="41"/>
      <c r="BT22" s="41"/>
      <c r="BU22" s="42"/>
      <c r="BV22" s="7"/>
      <c r="BW22" s="7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x14ac:dyDescent="0.35">
      <c r="A23" s="1" t="str">
        <f t="shared" si="0"/>
        <v>ANTAMINARUEDA DELANTERA LH980E5SE</v>
      </c>
      <c r="B23" s="13" t="s">
        <v>95</v>
      </c>
      <c r="C23" s="13" t="s">
        <v>90</v>
      </c>
      <c r="D23" s="3">
        <v>80</v>
      </c>
      <c r="E23" s="3">
        <v>140</v>
      </c>
      <c r="F23" s="3">
        <v>2</v>
      </c>
      <c r="G23" s="3">
        <v>3</v>
      </c>
      <c r="H23" s="3">
        <v>1</v>
      </c>
      <c r="I23" s="3">
        <v>2</v>
      </c>
      <c r="J23" s="3">
        <v>2</v>
      </c>
      <c r="K23" s="3">
        <v>3</v>
      </c>
      <c r="L23" s="3"/>
      <c r="M23" s="3"/>
      <c r="N23" s="3">
        <v>1</v>
      </c>
      <c r="O23" s="3">
        <v>2</v>
      </c>
      <c r="P23" s="3"/>
      <c r="Q23" s="3"/>
      <c r="R23" s="3">
        <v>26</v>
      </c>
      <c r="S23" s="3">
        <v>28</v>
      </c>
      <c r="T23" s="3">
        <v>4</v>
      </c>
      <c r="U23" s="3">
        <v>5</v>
      </c>
      <c r="V23" s="3"/>
      <c r="W23" s="3"/>
      <c r="X23" s="7"/>
      <c r="Y23" s="7">
        <v>661</v>
      </c>
      <c r="Z23" s="7"/>
      <c r="AA23" s="7">
        <v>636</v>
      </c>
      <c r="AB23" s="9"/>
      <c r="AC23" s="9"/>
      <c r="AD23" s="3"/>
      <c r="AE23" s="3"/>
      <c r="AF23" s="19"/>
      <c r="AG23" s="7">
        <v>2250</v>
      </c>
      <c r="AH23" s="3"/>
      <c r="AI23" s="3">
        <v>7</v>
      </c>
      <c r="AJ23" s="3"/>
      <c r="AK23" s="3"/>
      <c r="AL23" s="3"/>
      <c r="AM23" s="3"/>
      <c r="AN23" s="6">
        <v>22.229999999999997</v>
      </c>
      <c r="AO23" s="6">
        <v>21.527999999999999</v>
      </c>
      <c r="AP23" s="6">
        <v>25.740000000000002</v>
      </c>
      <c r="AQ23" s="6">
        <v>26.909999999999997</v>
      </c>
      <c r="AR23" s="3">
        <v>35</v>
      </c>
      <c r="AS23" s="3">
        <v>50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3"/>
      <c r="BE23" s="3"/>
      <c r="BF23" s="7">
        <v>22</v>
      </c>
      <c r="BG23" s="7">
        <v>23</v>
      </c>
      <c r="BH23" s="7">
        <v>19</v>
      </c>
      <c r="BI23" s="8">
        <v>20</v>
      </c>
      <c r="BJ23" s="7">
        <v>16</v>
      </c>
      <c r="BK23" s="7">
        <v>17</v>
      </c>
      <c r="BL23" s="41"/>
      <c r="BM23" s="41"/>
      <c r="BN23" s="41"/>
      <c r="BO23" s="41"/>
      <c r="BP23" s="7" t="s">
        <v>87</v>
      </c>
      <c r="BQ23" s="7" t="s">
        <v>96</v>
      </c>
      <c r="BR23" s="41"/>
      <c r="BS23" s="41"/>
      <c r="BT23" s="41"/>
      <c r="BU23" s="42"/>
      <c r="BV23" s="7"/>
      <c r="BW23" s="7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x14ac:dyDescent="0.35">
      <c r="A24" s="1" t="str">
        <f t="shared" si="0"/>
        <v>ANTAMINASISTEMA HIDRAULICO980E5SE</v>
      </c>
      <c r="B24" s="13" t="s">
        <v>95</v>
      </c>
      <c r="C24" s="13" t="s">
        <v>91</v>
      </c>
      <c r="D24" s="3">
        <v>6</v>
      </c>
      <c r="E24" s="3">
        <v>7</v>
      </c>
      <c r="F24" s="3">
        <v>5</v>
      </c>
      <c r="G24" s="3">
        <v>7</v>
      </c>
      <c r="H24" s="3">
        <v>2</v>
      </c>
      <c r="I24" s="3">
        <v>3</v>
      </c>
      <c r="J24" s="3">
        <v>3</v>
      </c>
      <c r="K24" s="3">
        <v>5</v>
      </c>
      <c r="L24" s="3"/>
      <c r="M24" s="3"/>
      <c r="N24" s="3">
        <v>1</v>
      </c>
      <c r="O24" s="3">
        <v>2</v>
      </c>
      <c r="P24" s="3"/>
      <c r="Q24" s="3"/>
      <c r="R24" s="3">
        <v>20</v>
      </c>
      <c r="S24" s="3">
        <v>27</v>
      </c>
      <c r="T24" s="3">
        <v>5</v>
      </c>
      <c r="U24" s="3">
        <v>6</v>
      </c>
      <c r="V24" s="3"/>
      <c r="W24" s="3"/>
      <c r="X24" s="3"/>
      <c r="Y24" s="3">
        <v>620</v>
      </c>
      <c r="Z24" s="3"/>
      <c r="AA24" s="3">
        <v>600</v>
      </c>
      <c r="AB24" s="3"/>
      <c r="AC24" s="3"/>
      <c r="AD24" s="3"/>
      <c r="AE24" s="3"/>
      <c r="AF24" s="20"/>
      <c r="AG24" s="3">
        <v>2187</v>
      </c>
      <c r="AH24" s="3"/>
      <c r="AI24" s="3">
        <v>7</v>
      </c>
      <c r="AJ24" s="3"/>
      <c r="AK24" s="3"/>
      <c r="AL24" s="3"/>
      <c r="AM24" s="3"/>
      <c r="AN24" s="6">
        <v>5.8</v>
      </c>
      <c r="AO24" s="6">
        <v>5.6</v>
      </c>
      <c r="AP24" s="6">
        <v>6.7</v>
      </c>
      <c r="AQ24" s="6">
        <v>7</v>
      </c>
      <c r="AR24" s="3"/>
      <c r="AS24" s="3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3"/>
      <c r="BE24" s="3"/>
      <c r="BF24" s="7">
        <v>22</v>
      </c>
      <c r="BG24" s="7">
        <v>23</v>
      </c>
      <c r="BH24" s="7">
        <v>19</v>
      </c>
      <c r="BI24" s="8">
        <v>20</v>
      </c>
      <c r="BJ24" s="7">
        <v>16</v>
      </c>
      <c r="BK24" s="7">
        <v>17</v>
      </c>
      <c r="BL24" s="41"/>
      <c r="BM24" s="41"/>
      <c r="BN24" s="41"/>
      <c r="BO24" s="41"/>
      <c r="BP24" s="7" t="s">
        <v>87</v>
      </c>
      <c r="BQ24" s="7" t="s">
        <v>96</v>
      </c>
      <c r="BR24" s="41"/>
      <c r="BS24" s="41"/>
      <c r="BT24" s="41"/>
      <c r="BU24" s="42"/>
      <c r="BV24" s="7"/>
      <c r="BW24" s="7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x14ac:dyDescent="0.35">
      <c r="A25" s="1" t="str">
        <f t="shared" si="0"/>
        <v>ANTAMINAMOTOR980E5SE</v>
      </c>
      <c r="B25" s="13" t="s">
        <v>95</v>
      </c>
      <c r="C25" s="13" t="s">
        <v>92</v>
      </c>
      <c r="D25" s="3">
        <v>17</v>
      </c>
      <c r="E25" s="3">
        <v>19</v>
      </c>
      <c r="F25" s="6">
        <v>1.9</v>
      </c>
      <c r="G25" s="6">
        <v>2.1</v>
      </c>
      <c r="H25" s="3">
        <v>3</v>
      </c>
      <c r="I25" s="3">
        <v>5</v>
      </c>
      <c r="J25" s="3">
        <v>2</v>
      </c>
      <c r="K25" s="3">
        <v>3</v>
      </c>
      <c r="L25" s="3"/>
      <c r="M25" s="3"/>
      <c r="N25" s="3">
        <v>0.3</v>
      </c>
      <c r="O25" s="3">
        <v>0.4</v>
      </c>
      <c r="P25" s="3"/>
      <c r="Q25" s="3"/>
      <c r="R25" s="3">
        <v>6</v>
      </c>
      <c r="S25" s="3">
        <v>7</v>
      </c>
      <c r="T25" s="3">
        <v>5</v>
      </c>
      <c r="U25" s="3">
        <v>15</v>
      </c>
      <c r="V25" s="3">
        <v>3</v>
      </c>
      <c r="W25" s="3">
        <v>5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47">
        <v>13.7</v>
      </c>
      <c r="AO25" s="47">
        <v>13.4</v>
      </c>
      <c r="AP25" s="47">
        <v>14.8</v>
      </c>
      <c r="AQ25" s="47">
        <v>15.1</v>
      </c>
      <c r="AR25" s="47">
        <v>30</v>
      </c>
      <c r="AS25" s="47">
        <v>40</v>
      </c>
      <c r="AT25" s="47">
        <v>8</v>
      </c>
      <c r="AU25" s="47">
        <v>9</v>
      </c>
      <c r="AV25" s="47">
        <v>10</v>
      </c>
      <c r="AW25" s="47">
        <v>11</v>
      </c>
      <c r="AX25" s="47">
        <v>9</v>
      </c>
      <c r="AY25" s="47">
        <v>10</v>
      </c>
      <c r="AZ25" s="47">
        <v>9.5</v>
      </c>
      <c r="BA25" s="47">
        <v>9</v>
      </c>
      <c r="BB25" s="47">
        <v>0.5</v>
      </c>
      <c r="BC25" s="47">
        <v>0.6</v>
      </c>
      <c r="BD25" s="7"/>
      <c r="BE25" s="7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7" t="s">
        <v>87</v>
      </c>
      <c r="BQ25" s="7" t="s">
        <v>96</v>
      </c>
      <c r="BR25" s="41"/>
      <c r="BS25" s="41"/>
      <c r="BT25" s="41"/>
      <c r="BU25" s="42"/>
      <c r="BV25" s="7"/>
      <c r="BW25" s="7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x14ac:dyDescent="0.35">
      <c r="A26" s="1" t="str">
        <f t="shared" si="0"/>
        <v>ANTAPACCAYMOTORPC125011R</v>
      </c>
      <c r="B26" s="13" t="s">
        <v>85</v>
      </c>
      <c r="C26" s="13" t="s">
        <v>92</v>
      </c>
      <c r="D26" s="7">
        <v>100</v>
      </c>
      <c r="E26" s="7">
        <v>200</v>
      </c>
      <c r="F26" s="7">
        <v>8</v>
      </c>
      <c r="G26" s="7">
        <v>16</v>
      </c>
      <c r="H26" s="7">
        <v>25</v>
      </c>
      <c r="I26" s="7">
        <v>70</v>
      </c>
      <c r="J26" s="7">
        <v>40</v>
      </c>
      <c r="K26" s="7">
        <v>120</v>
      </c>
      <c r="L26" s="7"/>
      <c r="M26" s="7"/>
      <c r="N26" s="7">
        <v>10</v>
      </c>
      <c r="O26" s="7">
        <v>25</v>
      </c>
      <c r="P26" s="7"/>
      <c r="Q26" s="7"/>
      <c r="R26" s="7">
        <v>20</v>
      </c>
      <c r="S26" s="7">
        <v>40</v>
      </c>
      <c r="T26" s="7">
        <v>50</v>
      </c>
      <c r="U26" s="7">
        <v>100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>
        <v>24</v>
      </c>
      <c r="AS26" s="7">
        <v>32</v>
      </c>
      <c r="AT26" s="7">
        <v>0.2</v>
      </c>
      <c r="AU26" s="7">
        <v>0.31</v>
      </c>
      <c r="AV26" s="7"/>
      <c r="AW26" s="7"/>
      <c r="AX26" s="7">
        <v>20</v>
      </c>
      <c r="AY26" s="7">
        <v>31</v>
      </c>
      <c r="AZ26" s="7"/>
      <c r="BA26" s="7">
        <v>7</v>
      </c>
      <c r="BB26" s="7">
        <v>1</v>
      </c>
      <c r="BC26" s="7">
        <v>1.5</v>
      </c>
      <c r="BD26" s="7"/>
      <c r="BE26" s="7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7" t="s">
        <v>97</v>
      </c>
      <c r="BQ26" s="7" t="s">
        <v>98</v>
      </c>
      <c r="BR26" s="41"/>
      <c r="BS26" s="41"/>
      <c r="BT26" s="41"/>
      <c r="BU26" s="42"/>
      <c r="BV26" s="7"/>
      <c r="BW26" s="7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x14ac:dyDescent="0.35">
      <c r="A27" s="1" t="str">
        <f t="shared" si="0"/>
        <v>ANTAPACCAYPTOPC125011R</v>
      </c>
      <c r="B27" s="13" t="s">
        <v>85</v>
      </c>
      <c r="C27" s="13" t="s">
        <v>99</v>
      </c>
      <c r="D27" s="7">
        <v>100</v>
      </c>
      <c r="E27" s="7">
        <v>300</v>
      </c>
      <c r="F27" s="7">
        <v>10</v>
      </c>
      <c r="G27" s="7">
        <v>30</v>
      </c>
      <c r="H27" s="7">
        <v>30</v>
      </c>
      <c r="I27" s="7">
        <v>70</v>
      </c>
      <c r="J27" s="7"/>
      <c r="K27" s="7"/>
      <c r="L27" s="7"/>
      <c r="M27" s="7"/>
      <c r="N27" s="7"/>
      <c r="O27" s="7"/>
      <c r="P27" s="7"/>
      <c r="Q27" s="7"/>
      <c r="R27" s="7">
        <v>40</v>
      </c>
      <c r="S27" s="7">
        <v>80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>
        <v>51</v>
      </c>
      <c r="AS27" s="7">
        <v>76</v>
      </c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41"/>
      <c r="BG27" s="7"/>
      <c r="BH27" s="7">
        <v>22</v>
      </c>
      <c r="BI27" s="7">
        <v>24</v>
      </c>
      <c r="BJ27" s="7">
        <v>18</v>
      </c>
      <c r="BK27" s="7">
        <v>20</v>
      </c>
      <c r="BL27" s="41"/>
      <c r="BM27" s="41"/>
      <c r="BN27" s="41"/>
      <c r="BO27" s="41"/>
      <c r="BP27" s="7" t="s">
        <v>97</v>
      </c>
      <c r="BQ27" s="7" t="s">
        <v>98</v>
      </c>
      <c r="BR27" s="41"/>
      <c r="BS27" s="41"/>
      <c r="BT27" s="41"/>
      <c r="BU27" s="42"/>
      <c r="BV27" s="7"/>
      <c r="BW27" s="7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x14ac:dyDescent="0.35">
      <c r="A28" s="1" t="str">
        <f t="shared" si="0"/>
        <v>ANTAPACCAYCAJA GIRO FRONTPC125011R</v>
      </c>
      <c r="B28" s="13" t="s">
        <v>85</v>
      </c>
      <c r="C28" s="13" t="s">
        <v>100</v>
      </c>
      <c r="D28" s="7">
        <v>100</v>
      </c>
      <c r="E28" s="7">
        <v>200</v>
      </c>
      <c r="F28" s="7">
        <v>10</v>
      </c>
      <c r="G28" s="7">
        <v>20</v>
      </c>
      <c r="H28" s="7">
        <v>100</v>
      </c>
      <c r="I28" s="7">
        <v>200</v>
      </c>
      <c r="J28" s="7"/>
      <c r="K28" s="7"/>
      <c r="L28" s="7"/>
      <c r="M28" s="7"/>
      <c r="N28" s="7"/>
      <c r="O28" s="7"/>
      <c r="P28" s="7"/>
      <c r="Q28" s="7"/>
      <c r="R28" s="7">
        <v>30</v>
      </c>
      <c r="S28" s="7">
        <v>60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>
        <v>51</v>
      </c>
      <c r="AS28" s="7">
        <v>76</v>
      </c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41"/>
      <c r="BG28" s="7"/>
      <c r="BH28" s="7">
        <v>22</v>
      </c>
      <c r="BI28" s="7">
        <v>24</v>
      </c>
      <c r="BJ28" s="7">
        <v>18</v>
      </c>
      <c r="BK28" s="7">
        <v>20</v>
      </c>
      <c r="BL28" s="41"/>
      <c r="BM28" s="41"/>
      <c r="BN28" s="41"/>
      <c r="BO28" s="41"/>
      <c r="BP28" s="7" t="s">
        <v>97</v>
      </c>
      <c r="BQ28" s="7" t="s">
        <v>98</v>
      </c>
      <c r="BR28" s="41"/>
      <c r="BS28" s="41"/>
      <c r="BT28" s="41"/>
      <c r="BU28" s="42"/>
      <c r="BV28" s="7"/>
      <c r="BW28" s="7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x14ac:dyDescent="0.35">
      <c r="A29" s="1" t="str">
        <f t="shared" si="0"/>
        <v>ANTAPACCAYCAJA GIRO REARPC125011R</v>
      </c>
      <c r="B29" s="13" t="s">
        <v>85</v>
      </c>
      <c r="C29" s="13" t="s">
        <v>101</v>
      </c>
      <c r="D29" s="7">
        <v>100</v>
      </c>
      <c r="E29" s="7">
        <v>200</v>
      </c>
      <c r="F29" s="7">
        <v>10</v>
      </c>
      <c r="G29" s="7">
        <v>20</v>
      </c>
      <c r="H29" s="7">
        <v>100</v>
      </c>
      <c r="I29" s="7">
        <v>200</v>
      </c>
      <c r="J29" s="7"/>
      <c r="K29" s="7"/>
      <c r="L29" s="7"/>
      <c r="M29" s="7"/>
      <c r="N29" s="7"/>
      <c r="O29" s="7"/>
      <c r="P29" s="7"/>
      <c r="Q29" s="7"/>
      <c r="R29" s="7">
        <v>30</v>
      </c>
      <c r="S29" s="7">
        <v>60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>
        <v>51</v>
      </c>
      <c r="AS29" s="7">
        <v>76</v>
      </c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41"/>
      <c r="BG29" s="7"/>
      <c r="BH29" s="7">
        <v>22</v>
      </c>
      <c r="BI29" s="7">
        <v>24</v>
      </c>
      <c r="BJ29" s="7">
        <v>18</v>
      </c>
      <c r="BK29" s="7">
        <v>20</v>
      </c>
      <c r="BL29" s="41"/>
      <c r="BM29" s="41"/>
      <c r="BN29" s="41"/>
      <c r="BO29" s="41"/>
      <c r="BP29" s="7" t="s">
        <v>97</v>
      </c>
      <c r="BQ29" s="7" t="s">
        <v>98</v>
      </c>
      <c r="BR29" s="41"/>
      <c r="BS29" s="41"/>
      <c r="BT29" s="41"/>
      <c r="BU29" s="42"/>
      <c r="BV29" s="7"/>
      <c r="BW29" s="7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x14ac:dyDescent="0.35">
      <c r="A30" s="1" t="str">
        <f t="shared" si="0"/>
        <v>ANTAPACCAYMANDO FINAL LHPC125011R</v>
      </c>
      <c r="B30" s="13" t="s">
        <v>85</v>
      </c>
      <c r="C30" s="13" t="s">
        <v>102</v>
      </c>
      <c r="D30" s="7">
        <v>200</v>
      </c>
      <c r="E30" s="7">
        <v>400</v>
      </c>
      <c r="F30" s="7">
        <v>30</v>
      </c>
      <c r="G30" s="7">
        <v>90</v>
      </c>
      <c r="H30" s="7">
        <v>100</v>
      </c>
      <c r="I30" s="7">
        <v>200</v>
      </c>
      <c r="J30" s="7"/>
      <c r="K30" s="7"/>
      <c r="L30" s="7"/>
      <c r="M30" s="7"/>
      <c r="N30" s="7"/>
      <c r="O30" s="7"/>
      <c r="P30" s="7"/>
      <c r="Q30" s="7"/>
      <c r="R30" s="7">
        <v>100</v>
      </c>
      <c r="S30" s="7">
        <v>200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>
        <v>166</v>
      </c>
      <c r="AS30" s="7">
        <v>701</v>
      </c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41"/>
      <c r="BG30" s="7"/>
      <c r="BH30" s="7">
        <v>22</v>
      </c>
      <c r="BI30" s="7">
        <v>24</v>
      </c>
      <c r="BJ30" s="7">
        <v>18</v>
      </c>
      <c r="BK30" s="7">
        <v>20</v>
      </c>
      <c r="BL30" s="41"/>
      <c r="BM30" s="41"/>
      <c r="BN30" s="41"/>
      <c r="BO30" s="41"/>
      <c r="BP30" s="7" t="s">
        <v>97</v>
      </c>
      <c r="BQ30" s="7" t="s">
        <v>98</v>
      </c>
      <c r="BR30" s="41"/>
      <c r="BS30" s="41"/>
      <c r="BT30" s="41"/>
      <c r="BU30" s="42"/>
      <c r="BV30" s="7"/>
      <c r="BW30" s="7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x14ac:dyDescent="0.35">
      <c r="A31" s="1" t="str">
        <f t="shared" si="0"/>
        <v>ANTAPACCAYMANDO FINAL RHPC125011R</v>
      </c>
      <c r="B31" s="13" t="s">
        <v>85</v>
      </c>
      <c r="C31" s="13" t="s">
        <v>103</v>
      </c>
      <c r="D31" s="7">
        <v>200</v>
      </c>
      <c r="E31" s="7">
        <v>400</v>
      </c>
      <c r="F31" s="7">
        <v>30</v>
      </c>
      <c r="G31" s="7">
        <v>90</v>
      </c>
      <c r="H31" s="7">
        <v>100</v>
      </c>
      <c r="I31" s="7">
        <v>200</v>
      </c>
      <c r="J31" s="7"/>
      <c r="K31" s="7"/>
      <c r="L31" s="7"/>
      <c r="M31" s="7"/>
      <c r="N31" s="7"/>
      <c r="O31" s="7"/>
      <c r="P31" s="7"/>
      <c r="Q31" s="7"/>
      <c r="R31" s="7">
        <v>100</v>
      </c>
      <c r="S31" s="7">
        <v>200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>
        <v>166</v>
      </c>
      <c r="AS31" s="7">
        <v>701</v>
      </c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41"/>
      <c r="BG31" s="7"/>
      <c r="BH31" s="7">
        <v>22</v>
      </c>
      <c r="BI31" s="7">
        <v>24</v>
      </c>
      <c r="BJ31" s="7">
        <v>18</v>
      </c>
      <c r="BK31" s="7">
        <v>20</v>
      </c>
      <c r="BL31" s="41"/>
      <c r="BM31" s="41"/>
      <c r="BN31" s="41"/>
      <c r="BO31" s="41"/>
      <c r="BP31" s="7" t="s">
        <v>97</v>
      </c>
      <c r="BQ31" s="7" t="s">
        <v>98</v>
      </c>
      <c r="BR31" s="41"/>
      <c r="BS31" s="41"/>
      <c r="BT31" s="41"/>
      <c r="BU31" s="42"/>
      <c r="BV31" s="7"/>
      <c r="BW31" s="7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x14ac:dyDescent="0.35">
      <c r="A32" s="1" t="str">
        <f t="shared" si="0"/>
        <v>ANTAPACCAYSISTEMA HIDRAULICOPC125011R</v>
      </c>
      <c r="B32" s="13" t="s">
        <v>85</v>
      </c>
      <c r="C32" s="2" t="s">
        <v>91</v>
      </c>
      <c r="D32" s="7">
        <v>40</v>
      </c>
      <c r="E32" s="7">
        <v>80</v>
      </c>
      <c r="F32" s="7">
        <v>10</v>
      </c>
      <c r="G32" s="7">
        <v>20</v>
      </c>
      <c r="H32" s="7">
        <v>100</v>
      </c>
      <c r="I32" s="7">
        <v>200</v>
      </c>
      <c r="J32" s="7"/>
      <c r="K32" s="7"/>
      <c r="L32" s="7"/>
      <c r="M32" s="7"/>
      <c r="N32" s="7"/>
      <c r="O32" s="7"/>
      <c r="P32" s="7"/>
      <c r="Q32" s="7"/>
      <c r="R32" s="7">
        <v>30</v>
      </c>
      <c r="S32" s="7">
        <v>60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>
        <v>16</v>
      </c>
      <c r="AS32" s="7">
        <v>26</v>
      </c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41"/>
      <c r="BG32" s="7"/>
      <c r="BH32" s="7">
        <v>19</v>
      </c>
      <c r="BI32" s="7">
        <v>21</v>
      </c>
      <c r="BJ32" s="7">
        <v>16</v>
      </c>
      <c r="BK32" s="7">
        <v>18</v>
      </c>
      <c r="BL32" s="41"/>
      <c r="BM32" s="41"/>
      <c r="BN32" s="41"/>
      <c r="BO32" s="41"/>
      <c r="BP32" s="7" t="s">
        <v>97</v>
      </c>
      <c r="BQ32" s="7" t="s">
        <v>98</v>
      </c>
      <c r="BR32" s="41"/>
      <c r="BS32" s="41"/>
      <c r="BT32" s="41"/>
      <c r="BU32" s="42"/>
      <c r="BV32" s="7"/>
      <c r="BW32" s="7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x14ac:dyDescent="0.35">
      <c r="A33" s="1" t="str">
        <f t="shared" si="0"/>
        <v>ANTAPACCAYMOTORD475A8R</v>
      </c>
      <c r="B33" s="13" t="s">
        <v>85</v>
      </c>
      <c r="C33" s="13" t="s">
        <v>92</v>
      </c>
      <c r="D33" s="7">
        <v>100</v>
      </c>
      <c r="E33" s="7">
        <v>200</v>
      </c>
      <c r="F33" s="7">
        <v>8</v>
      </c>
      <c r="G33" s="7">
        <v>16</v>
      </c>
      <c r="H33" s="7">
        <v>25</v>
      </c>
      <c r="I33" s="7">
        <v>70</v>
      </c>
      <c r="J33" s="7">
        <v>40</v>
      </c>
      <c r="K33" s="7">
        <v>120</v>
      </c>
      <c r="L33" s="7"/>
      <c r="M33" s="7"/>
      <c r="N33" s="7">
        <v>10</v>
      </c>
      <c r="O33" s="7">
        <v>25</v>
      </c>
      <c r="P33" s="7"/>
      <c r="Q33" s="7"/>
      <c r="R33" s="7">
        <v>20</v>
      </c>
      <c r="S33" s="7">
        <v>40</v>
      </c>
      <c r="T33" s="7">
        <v>50</v>
      </c>
      <c r="U33" s="7">
        <v>100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>
        <v>24</v>
      </c>
      <c r="AS33" s="7">
        <v>32</v>
      </c>
      <c r="AT33" s="7">
        <v>0.2</v>
      </c>
      <c r="AU33" s="7">
        <v>0.31</v>
      </c>
      <c r="AV33" s="7"/>
      <c r="AW33" s="7"/>
      <c r="AX33" s="7">
        <v>20</v>
      </c>
      <c r="AY33" s="7">
        <v>31</v>
      </c>
      <c r="AZ33" s="7"/>
      <c r="BA33" s="7">
        <v>7</v>
      </c>
      <c r="BB33" s="7">
        <v>1</v>
      </c>
      <c r="BC33" s="7">
        <v>1.5</v>
      </c>
      <c r="BD33" s="7"/>
      <c r="BE33" s="7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7" t="s">
        <v>104</v>
      </c>
      <c r="BQ33" s="7" t="s">
        <v>105</v>
      </c>
      <c r="BR33" s="41"/>
      <c r="BS33" s="41"/>
      <c r="BT33" s="41"/>
      <c r="BU33" s="42"/>
      <c r="BV33" s="7"/>
      <c r="BW33" s="7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x14ac:dyDescent="0.35">
      <c r="A34" s="1" t="str">
        <f t="shared" si="0"/>
        <v>ANTAPACCAYDAMPERD475A8R</v>
      </c>
      <c r="B34" s="13" t="s">
        <v>85</v>
      </c>
      <c r="C34" s="13" t="s">
        <v>106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41"/>
      <c r="BG34" s="7"/>
      <c r="BH34" s="7">
        <v>22</v>
      </c>
      <c r="BI34" s="7">
        <v>24</v>
      </c>
      <c r="BJ34" s="7">
        <v>18</v>
      </c>
      <c r="BK34" s="7">
        <v>20</v>
      </c>
      <c r="BL34" s="41"/>
      <c r="BM34" s="41"/>
      <c r="BN34" s="41"/>
      <c r="BO34" s="41"/>
      <c r="BP34" s="7" t="s">
        <v>104</v>
      </c>
      <c r="BQ34" s="7" t="s">
        <v>105</v>
      </c>
      <c r="BR34" s="41"/>
      <c r="BS34" s="41"/>
      <c r="BT34" s="41"/>
      <c r="BU34" s="42"/>
      <c r="BV34" s="7"/>
      <c r="BW34" s="7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x14ac:dyDescent="0.35">
      <c r="A35" s="1" t="str">
        <f t="shared" si="0"/>
        <v>ANTAPACCAYTRANSMISIOND475A8R</v>
      </c>
      <c r="B35" s="13" t="s">
        <v>85</v>
      </c>
      <c r="C35" s="13" t="s">
        <v>107</v>
      </c>
      <c r="D35" s="7">
        <v>100</v>
      </c>
      <c r="E35" s="7">
        <v>300</v>
      </c>
      <c r="F35" s="7">
        <v>10</v>
      </c>
      <c r="G35" s="7">
        <v>30</v>
      </c>
      <c r="H35" s="7">
        <v>400</v>
      </c>
      <c r="I35" s="7">
        <v>800</v>
      </c>
      <c r="J35" s="7">
        <v>10</v>
      </c>
      <c r="K35" s="7">
        <v>30</v>
      </c>
      <c r="L35" s="7"/>
      <c r="M35" s="7"/>
      <c r="N35" s="7"/>
      <c r="O35" s="7"/>
      <c r="P35" s="7"/>
      <c r="Q35" s="7"/>
      <c r="R35" s="7">
        <v>30</v>
      </c>
      <c r="S35" s="7">
        <v>90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>
        <v>21</v>
      </c>
      <c r="AS35" s="7">
        <v>31</v>
      </c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41"/>
      <c r="BG35" s="7"/>
      <c r="BH35" s="7">
        <v>22</v>
      </c>
      <c r="BI35" s="7">
        <v>24</v>
      </c>
      <c r="BJ35" s="7">
        <v>18</v>
      </c>
      <c r="BK35" s="7">
        <v>20</v>
      </c>
      <c r="BL35" s="41"/>
      <c r="BM35" s="41"/>
      <c r="BN35" s="41"/>
      <c r="BO35" s="41"/>
      <c r="BP35" s="7" t="s">
        <v>104</v>
      </c>
      <c r="BQ35" s="7" t="s">
        <v>105</v>
      </c>
      <c r="BR35" s="41"/>
      <c r="BS35" s="41"/>
      <c r="BT35" s="41"/>
      <c r="BU35" s="42"/>
      <c r="BV35" s="7"/>
      <c r="BW35" s="7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x14ac:dyDescent="0.35">
      <c r="A36" s="1" t="str">
        <f t="shared" si="0"/>
        <v>ANTAPACCAYMANDO FINAL LHD475A8R</v>
      </c>
      <c r="B36" s="13" t="s">
        <v>85</v>
      </c>
      <c r="C36" s="13" t="s">
        <v>102</v>
      </c>
      <c r="D36" s="7">
        <v>300</v>
      </c>
      <c r="E36" s="7">
        <v>700</v>
      </c>
      <c r="F36" s="7">
        <v>30</v>
      </c>
      <c r="G36" s="7">
        <v>70</v>
      </c>
      <c r="H36" s="7">
        <v>20</v>
      </c>
      <c r="I36" s="7">
        <v>30</v>
      </c>
      <c r="J36" s="7"/>
      <c r="K36" s="7"/>
      <c r="L36" s="7"/>
      <c r="M36" s="7"/>
      <c r="N36" s="7"/>
      <c r="O36" s="7"/>
      <c r="P36" s="7"/>
      <c r="Q36" s="7"/>
      <c r="R36" s="7">
        <v>100</v>
      </c>
      <c r="S36" s="7">
        <v>200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>
        <v>166</v>
      </c>
      <c r="AS36" s="7">
        <v>701</v>
      </c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41"/>
      <c r="BG36" s="7"/>
      <c r="BH36" s="7">
        <v>22</v>
      </c>
      <c r="BI36" s="7">
        <v>24</v>
      </c>
      <c r="BJ36" s="7">
        <v>18</v>
      </c>
      <c r="BK36" s="7">
        <v>20</v>
      </c>
      <c r="BL36" s="41"/>
      <c r="BM36" s="41"/>
      <c r="BN36" s="41"/>
      <c r="BO36" s="41"/>
      <c r="BP36" s="7" t="s">
        <v>104</v>
      </c>
      <c r="BQ36" s="7" t="s">
        <v>105</v>
      </c>
      <c r="BR36" s="41"/>
      <c r="BS36" s="41"/>
      <c r="BT36" s="41"/>
      <c r="BU36" s="42"/>
      <c r="BV36" s="7"/>
      <c r="BW36" s="7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x14ac:dyDescent="0.35">
      <c r="A37" s="1" t="str">
        <f t="shared" si="0"/>
        <v>ANTAPACCAYMANDO FINAL RHD475A8R</v>
      </c>
      <c r="B37" s="13" t="s">
        <v>85</v>
      </c>
      <c r="C37" s="13" t="s">
        <v>103</v>
      </c>
      <c r="D37" s="7">
        <v>300</v>
      </c>
      <c r="E37" s="7">
        <v>700</v>
      </c>
      <c r="F37" s="7">
        <v>30</v>
      </c>
      <c r="G37" s="7">
        <v>70</v>
      </c>
      <c r="H37" s="7">
        <v>20</v>
      </c>
      <c r="I37" s="7">
        <v>30</v>
      </c>
      <c r="J37" s="7"/>
      <c r="K37" s="7"/>
      <c r="L37" s="7"/>
      <c r="M37" s="7"/>
      <c r="N37" s="7"/>
      <c r="O37" s="7"/>
      <c r="P37" s="7"/>
      <c r="Q37" s="7"/>
      <c r="R37" s="7">
        <v>100</v>
      </c>
      <c r="S37" s="7">
        <v>200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>
        <v>166</v>
      </c>
      <c r="AS37" s="7">
        <v>701</v>
      </c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41"/>
      <c r="BG37" s="7"/>
      <c r="BH37" s="7">
        <v>22</v>
      </c>
      <c r="BI37" s="7">
        <v>24</v>
      </c>
      <c r="BJ37" s="7">
        <v>18</v>
      </c>
      <c r="BK37" s="7">
        <v>20</v>
      </c>
      <c r="BL37" s="41"/>
      <c r="BM37" s="41"/>
      <c r="BN37" s="41"/>
      <c r="BO37" s="41"/>
      <c r="BP37" s="7" t="s">
        <v>104</v>
      </c>
      <c r="BQ37" s="7" t="s">
        <v>105</v>
      </c>
      <c r="BR37" s="41"/>
      <c r="BS37" s="41"/>
      <c r="BT37" s="41"/>
      <c r="BU37" s="42"/>
      <c r="BV37" s="7"/>
      <c r="BW37" s="7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x14ac:dyDescent="0.35">
      <c r="A38" s="21" t="str">
        <f t="shared" si="0"/>
        <v>ANTAPACCAYSISTEMA HIDRAULICOD475A8R</v>
      </c>
      <c r="B38" s="22" t="s">
        <v>85</v>
      </c>
      <c r="C38" s="23" t="s">
        <v>91</v>
      </c>
      <c r="D38" s="24">
        <v>70</v>
      </c>
      <c r="E38" s="24">
        <v>140</v>
      </c>
      <c r="F38" s="24">
        <v>10</v>
      </c>
      <c r="G38" s="24">
        <v>20</v>
      </c>
      <c r="H38" s="24">
        <v>100</v>
      </c>
      <c r="I38" s="24">
        <v>200</v>
      </c>
      <c r="J38" s="24"/>
      <c r="K38" s="24"/>
      <c r="L38" s="24"/>
      <c r="M38" s="24"/>
      <c r="N38" s="24"/>
      <c r="O38" s="24"/>
      <c r="P38" s="24"/>
      <c r="Q38" s="24"/>
      <c r="R38" s="24">
        <v>30</v>
      </c>
      <c r="S38" s="24">
        <v>60</v>
      </c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>
        <v>16</v>
      </c>
      <c r="AS38" s="24">
        <v>26</v>
      </c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48"/>
      <c r="BG38" s="24"/>
      <c r="BH38" s="7">
        <v>19</v>
      </c>
      <c r="BI38" s="7">
        <v>21</v>
      </c>
      <c r="BJ38" s="7">
        <v>16</v>
      </c>
      <c r="BK38" s="7">
        <v>18</v>
      </c>
      <c r="BL38" s="48"/>
      <c r="BM38" s="48"/>
      <c r="BN38" s="48"/>
      <c r="BO38" s="48"/>
      <c r="BP38" s="24" t="s">
        <v>104</v>
      </c>
      <c r="BQ38" s="24" t="s">
        <v>105</v>
      </c>
      <c r="BR38" s="48"/>
      <c r="BS38" s="48"/>
      <c r="BT38" s="48"/>
      <c r="BU38" s="49"/>
      <c r="BV38" s="7"/>
      <c r="BW38" s="7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x14ac:dyDescent="0.35">
      <c r="A39" s="21" t="str">
        <f>CONCATENATE(B39,C39,BP39,BQ39)</f>
        <v>CERRO VERDEMOTOR DE TRACCION RH730E-10</v>
      </c>
      <c r="B39" s="25" t="s">
        <v>94</v>
      </c>
      <c r="C39" s="13" t="s">
        <v>86</v>
      </c>
      <c r="D39" s="24">
        <v>80</v>
      </c>
      <c r="E39" s="24">
        <v>168</v>
      </c>
      <c r="F39" s="24">
        <v>10</v>
      </c>
      <c r="G39" s="24">
        <v>15</v>
      </c>
      <c r="H39" s="24">
        <v>35</v>
      </c>
      <c r="I39" s="24">
        <v>73.5</v>
      </c>
      <c r="J39" s="24">
        <v>10</v>
      </c>
      <c r="K39" s="24">
        <v>15</v>
      </c>
      <c r="L39" s="24">
        <v>10</v>
      </c>
      <c r="M39" s="24">
        <v>15</v>
      </c>
      <c r="N39" s="24">
        <v>10</v>
      </c>
      <c r="O39" s="24">
        <v>15</v>
      </c>
      <c r="P39" s="24">
        <v>10</v>
      </c>
      <c r="Q39" s="24">
        <v>15</v>
      </c>
      <c r="R39" s="26">
        <v>115</v>
      </c>
      <c r="S39" s="26">
        <v>122</v>
      </c>
      <c r="T39" s="24">
        <v>50</v>
      </c>
      <c r="U39" s="24">
        <v>100</v>
      </c>
      <c r="V39" s="24">
        <v>50</v>
      </c>
      <c r="W39" s="24">
        <v>100</v>
      </c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6">
        <v>71.010000000000005</v>
      </c>
      <c r="AP39" s="24"/>
      <c r="AQ39" s="10">
        <v>86.79</v>
      </c>
      <c r="AR39" s="24">
        <v>260</v>
      </c>
      <c r="AS39" s="24">
        <v>280</v>
      </c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48"/>
      <c r="BG39" s="24"/>
      <c r="BH39" s="3">
        <v>19</v>
      </c>
      <c r="BI39" s="3">
        <v>20</v>
      </c>
      <c r="BJ39" s="3">
        <v>16</v>
      </c>
      <c r="BK39" s="3">
        <v>19</v>
      </c>
      <c r="BL39" s="48"/>
      <c r="BM39" s="48"/>
      <c r="BN39" s="48"/>
      <c r="BO39" s="48"/>
      <c r="BP39" s="27" t="s">
        <v>108</v>
      </c>
      <c r="BQ39" s="24">
        <v>10</v>
      </c>
      <c r="BR39" s="7">
        <v>650</v>
      </c>
      <c r="BS39" s="7">
        <v>620</v>
      </c>
      <c r="BT39" s="48"/>
      <c r="BU39" s="49"/>
      <c r="BV39" s="7"/>
      <c r="BW39" s="7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x14ac:dyDescent="0.35">
      <c r="A40" s="1" t="str">
        <f t="shared" ref="A40:A44" si="1">CONCATENATE(B40,C40,BP40,BQ40)</f>
        <v>CERRO VERDEMOTOR DE TRACCION LH730E-10</v>
      </c>
      <c r="B40" s="25" t="s">
        <v>94</v>
      </c>
      <c r="C40" s="13" t="s">
        <v>88</v>
      </c>
      <c r="D40" s="24">
        <v>80</v>
      </c>
      <c r="E40" s="24">
        <v>168</v>
      </c>
      <c r="F40" s="24">
        <v>10</v>
      </c>
      <c r="G40" s="24">
        <v>15</v>
      </c>
      <c r="H40" s="24">
        <v>35</v>
      </c>
      <c r="I40" s="24">
        <v>73.5</v>
      </c>
      <c r="J40" s="24">
        <v>10</v>
      </c>
      <c r="K40" s="24">
        <v>15</v>
      </c>
      <c r="L40" s="24">
        <v>10</v>
      </c>
      <c r="M40" s="24">
        <v>15</v>
      </c>
      <c r="N40" s="24">
        <v>10</v>
      </c>
      <c r="O40" s="24">
        <v>15</v>
      </c>
      <c r="P40" s="24">
        <v>10</v>
      </c>
      <c r="Q40" s="24">
        <v>15</v>
      </c>
      <c r="R40" s="26">
        <v>115</v>
      </c>
      <c r="S40" s="26">
        <v>122</v>
      </c>
      <c r="T40" s="24">
        <v>50</v>
      </c>
      <c r="U40" s="24">
        <v>100</v>
      </c>
      <c r="V40" s="24">
        <v>50</v>
      </c>
      <c r="W40" s="24">
        <v>100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6">
        <v>71.010000000000005</v>
      </c>
      <c r="AP40" s="7"/>
      <c r="AQ40" s="10">
        <v>86.79</v>
      </c>
      <c r="AR40" s="24">
        <v>260</v>
      </c>
      <c r="AS40" s="24">
        <v>280</v>
      </c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41"/>
      <c r="BG40" s="7"/>
      <c r="BH40" s="3">
        <v>19</v>
      </c>
      <c r="BI40" s="3">
        <v>20</v>
      </c>
      <c r="BJ40" s="3">
        <v>16</v>
      </c>
      <c r="BK40" s="3">
        <v>19</v>
      </c>
      <c r="BL40" s="41"/>
      <c r="BM40" s="41"/>
      <c r="BN40" s="41"/>
      <c r="BO40" s="41"/>
      <c r="BP40" s="27" t="s">
        <v>108</v>
      </c>
      <c r="BQ40" s="24">
        <v>10</v>
      </c>
      <c r="BR40" s="7">
        <v>650</v>
      </c>
      <c r="BS40" s="7">
        <v>620</v>
      </c>
      <c r="BT40" s="41"/>
      <c r="BU40" s="42"/>
      <c r="BV40" s="7"/>
      <c r="BW40" s="7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x14ac:dyDescent="0.35">
      <c r="A41" s="1" t="str">
        <f t="shared" si="1"/>
        <v>CERRO VERDERUEDA DELANTERA RH730E-10</v>
      </c>
      <c r="B41" s="25" t="s">
        <v>94</v>
      </c>
      <c r="C41" s="13" t="s">
        <v>89</v>
      </c>
      <c r="D41" s="24">
        <v>80</v>
      </c>
      <c r="E41" s="24">
        <v>168</v>
      </c>
      <c r="F41" s="24">
        <v>10</v>
      </c>
      <c r="G41" s="24">
        <v>15</v>
      </c>
      <c r="H41" s="24">
        <v>35</v>
      </c>
      <c r="I41" s="24">
        <v>73.5</v>
      </c>
      <c r="J41" s="24">
        <v>10</v>
      </c>
      <c r="K41" s="24">
        <v>15</v>
      </c>
      <c r="L41" s="24">
        <v>10</v>
      </c>
      <c r="M41" s="24">
        <v>15</v>
      </c>
      <c r="N41" s="24">
        <v>10</v>
      </c>
      <c r="O41" s="24">
        <v>15</v>
      </c>
      <c r="P41" s="24">
        <v>10</v>
      </c>
      <c r="Q41" s="24">
        <v>15</v>
      </c>
      <c r="R41" s="9">
        <v>5.8</v>
      </c>
      <c r="S41" s="9">
        <v>6.1</v>
      </c>
      <c r="T41" s="24">
        <v>50</v>
      </c>
      <c r="U41" s="24">
        <v>100</v>
      </c>
      <c r="V41" s="24">
        <v>50</v>
      </c>
      <c r="W41" s="24">
        <v>100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17">
        <v>17.3</v>
      </c>
      <c r="AO41" s="17">
        <v>16.7</v>
      </c>
      <c r="AP41" s="17">
        <v>20</v>
      </c>
      <c r="AQ41" s="17">
        <v>20.9</v>
      </c>
      <c r="AR41" s="7">
        <v>13</v>
      </c>
      <c r="AS41" s="7">
        <v>14</v>
      </c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>
        <v>22</v>
      </c>
      <c r="BG41" s="7">
        <v>23</v>
      </c>
      <c r="BH41" s="7">
        <v>19</v>
      </c>
      <c r="BI41" s="3">
        <v>20</v>
      </c>
      <c r="BJ41" s="7">
        <v>16</v>
      </c>
      <c r="BK41" s="7">
        <v>17</v>
      </c>
      <c r="BL41" s="41"/>
      <c r="BM41" s="41"/>
      <c r="BN41" s="41"/>
      <c r="BO41" s="41"/>
      <c r="BP41" s="27" t="s">
        <v>108</v>
      </c>
      <c r="BQ41" s="24">
        <v>10</v>
      </c>
      <c r="BR41" s="41"/>
      <c r="BS41" s="41"/>
      <c r="BT41" s="41"/>
      <c r="BU41" s="42"/>
      <c r="BV41" s="7"/>
      <c r="BW41" s="7"/>
      <c r="BX41" s="41"/>
      <c r="BY41" s="41"/>
      <c r="BZ41" s="41"/>
      <c r="CA41" s="41"/>
      <c r="CB41" s="41"/>
      <c r="CC41" s="41"/>
      <c r="CD41" s="41"/>
      <c r="CE41" s="41"/>
      <c r="CF41" s="41"/>
      <c r="CG41" s="41"/>
    </row>
    <row r="42" spans="1:85" x14ac:dyDescent="0.35">
      <c r="A42" s="1" t="str">
        <f t="shared" si="1"/>
        <v>CERRO VERDERUEDA DELANTERA LH730E-10</v>
      </c>
      <c r="B42" s="25" t="s">
        <v>94</v>
      </c>
      <c r="C42" s="13" t="s">
        <v>90</v>
      </c>
      <c r="D42" s="24">
        <v>80</v>
      </c>
      <c r="E42" s="24">
        <v>168</v>
      </c>
      <c r="F42" s="24">
        <v>10</v>
      </c>
      <c r="G42" s="24">
        <v>15</v>
      </c>
      <c r="H42" s="24">
        <v>35</v>
      </c>
      <c r="I42" s="24">
        <v>73.5</v>
      </c>
      <c r="J42" s="24">
        <v>10</v>
      </c>
      <c r="K42" s="24">
        <v>15</v>
      </c>
      <c r="L42" s="24">
        <v>10</v>
      </c>
      <c r="M42" s="24">
        <v>15</v>
      </c>
      <c r="N42" s="24">
        <v>10</v>
      </c>
      <c r="O42" s="24">
        <v>15</v>
      </c>
      <c r="P42" s="24">
        <v>10</v>
      </c>
      <c r="Q42" s="24">
        <v>15</v>
      </c>
      <c r="R42" s="9">
        <v>5.8</v>
      </c>
      <c r="S42" s="9">
        <v>6.1</v>
      </c>
      <c r="T42" s="24">
        <v>50</v>
      </c>
      <c r="U42" s="24">
        <v>100</v>
      </c>
      <c r="V42" s="24">
        <v>50</v>
      </c>
      <c r="W42" s="24">
        <v>100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17">
        <v>17.3</v>
      </c>
      <c r="AO42" s="17">
        <v>16.7</v>
      </c>
      <c r="AP42" s="17">
        <v>20</v>
      </c>
      <c r="AQ42" s="17">
        <v>20.9</v>
      </c>
      <c r="AR42" s="7">
        <v>13</v>
      </c>
      <c r="AS42" s="7">
        <v>14</v>
      </c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>
        <v>22</v>
      </c>
      <c r="BG42" s="7">
        <v>23</v>
      </c>
      <c r="BH42" s="7">
        <v>19</v>
      </c>
      <c r="BI42" s="3">
        <v>20</v>
      </c>
      <c r="BJ42" s="7">
        <v>16</v>
      </c>
      <c r="BK42" s="7">
        <v>17</v>
      </c>
      <c r="BL42" s="41"/>
      <c r="BM42" s="41"/>
      <c r="BN42" s="41"/>
      <c r="BO42" s="41"/>
      <c r="BP42" s="27" t="s">
        <v>108</v>
      </c>
      <c r="BQ42" s="24">
        <v>10</v>
      </c>
      <c r="BR42" s="41"/>
      <c r="BS42" s="41"/>
      <c r="BT42" s="41"/>
      <c r="BU42" s="42"/>
      <c r="BV42" s="7"/>
      <c r="BW42" s="7"/>
      <c r="BX42" s="41"/>
      <c r="BY42" s="41"/>
      <c r="BZ42" s="41"/>
      <c r="CA42" s="41"/>
      <c r="CB42" s="41"/>
      <c r="CC42" s="41"/>
      <c r="CD42" s="41"/>
      <c r="CE42" s="41"/>
      <c r="CF42" s="41"/>
      <c r="CG42" s="41"/>
    </row>
    <row r="43" spans="1:85" x14ac:dyDescent="0.35">
      <c r="A43" s="1" t="str">
        <f t="shared" si="1"/>
        <v>CERRO VERDESISTEMA HIDRAULICO730E-10</v>
      </c>
      <c r="B43" s="25" t="s">
        <v>94</v>
      </c>
      <c r="C43" s="13" t="s">
        <v>91</v>
      </c>
      <c r="D43" s="24">
        <v>10</v>
      </c>
      <c r="E43" s="24">
        <v>15</v>
      </c>
      <c r="F43" s="24">
        <v>10</v>
      </c>
      <c r="G43" s="24">
        <v>15</v>
      </c>
      <c r="H43" s="24">
        <v>10</v>
      </c>
      <c r="I43" s="24">
        <v>15</v>
      </c>
      <c r="J43" s="24">
        <v>10</v>
      </c>
      <c r="K43" s="24">
        <v>15</v>
      </c>
      <c r="L43" s="24">
        <v>10</v>
      </c>
      <c r="M43" s="24">
        <v>15</v>
      </c>
      <c r="N43" s="24">
        <v>10</v>
      </c>
      <c r="O43" s="24">
        <v>15</v>
      </c>
      <c r="P43" s="24">
        <v>10</v>
      </c>
      <c r="Q43" s="24">
        <v>15</v>
      </c>
      <c r="R43" s="9">
        <v>29.2</v>
      </c>
      <c r="S43" s="9">
        <v>31</v>
      </c>
      <c r="T43" s="24">
        <v>50</v>
      </c>
      <c r="U43" s="24">
        <v>100</v>
      </c>
      <c r="V43" s="24">
        <v>50</v>
      </c>
      <c r="W43" s="24">
        <v>100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17">
        <v>5.6</v>
      </c>
      <c r="AO43" s="17">
        <v>5.8</v>
      </c>
      <c r="AP43" s="17">
        <v>6.7</v>
      </c>
      <c r="AQ43" s="17">
        <v>7</v>
      </c>
      <c r="AR43" s="7">
        <v>13</v>
      </c>
      <c r="AS43" s="7">
        <v>14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>
        <v>22</v>
      </c>
      <c r="BG43" s="7">
        <v>23</v>
      </c>
      <c r="BH43" s="7">
        <v>19</v>
      </c>
      <c r="BI43" s="8">
        <v>20</v>
      </c>
      <c r="BJ43" s="7">
        <v>16</v>
      </c>
      <c r="BK43" s="7">
        <v>17</v>
      </c>
      <c r="BL43" s="41"/>
      <c r="BM43" s="41"/>
      <c r="BN43" s="41"/>
      <c r="BO43" s="41"/>
      <c r="BP43" s="27" t="s">
        <v>108</v>
      </c>
      <c r="BQ43" s="24">
        <v>10</v>
      </c>
      <c r="BR43" s="41"/>
      <c r="BS43" s="41"/>
      <c r="BT43" s="41"/>
      <c r="BU43" s="42"/>
      <c r="BV43" s="7"/>
      <c r="BW43" s="7"/>
      <c r="BX43" s="41"/>
      <c r="BY43" s="41"/>
      <c r="BZ43" s="41"/>
      <c r="CA43" s="41"/>
      <c r="CB43" s="41"/>
      <c r="CC43" s="41"/>
      <c r="CD43" s="41"/>
      <c r="CE43" s="41"/>
      <c r="CF43" s="41"/>
      <c r="CG43" s="41"/>
    </row>
    <row r="44" spans="1:85" x14ac:dyDescent="0.35">
      <c r="A44" s="1" t="str">
        <f t="shared" si="1"/>
        <v>CERRO VERDEMOTOR730E-10</v>
      </c>
      <c r="B44" s="28" t="s">
        <v>94</v>
      </c>
      <c r="C44" s="13" t="s">
        <v>92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41"/>
      <c r="BG44" s="7"/>
      <c r="BH44" s="7"/>
      <c r="BI44" s="7"/>
      <c r="BJ44" s="7"/>
      <c r="BK44" s="7"/>
      <c r="BL44" s="41"/>
      <c r="BM44" s="41"/>
      <c r="BN44" s="41"/>
      <c r="BO44" s="41"/>
      <c r="BP44" s="27" t="s">
        <v>108</v>
      </c>
      <c r="BQ44" s="24">
        <v>10</v>
      </c>
      <c r="BR44" s="41"/>
      <c r="BS44" s="41"/>
      <c r="BT44" s="41"/>
      <c r="BU44" s="42"/>
      <c r="BV44" s="7"/>
      <c r="BW44" s="7"/>
      <c r="BX44" s="41"/>
      <c r="BY44" s="41"/>
      <c r="BZ44" s="41"/>
      <c r="CA44" s="41"/>
      <c r="CB44" s="41"/>
      <c r="CC44" s="41"/>
      <c r="CD44" s="41"/>
      <c r="CE44" s="41"/>
      <c r="CF44" s="41"/>
      <c r="CG44" s="41"/>
    </row>
    <row r="45" spans="1:85" x14ac:dyDescent="0.35">
      <c r="A45" s="21" t="str">
        <f>CONCATENATE(B45,C45,BP45,BQ45)</f>
        <v>QUELLAVECOMOTORD65ROC</v>
      </c>
      <c r="B45" s="29" t="s">
        <v>109</v>
      </c>
      <c r="C45" s="30" t="s">
        <v>92</v>
      </c>
      <c r="D45" s="7">
        <v>50</v>
      </c>
      <c r="E45" s="7">
        <v>67</v>
      </c>
      <c r="F45" s="7">
        <v>3</v>
      </c>
      <c r="G45" s="7">
        <v>5</v>
      </c>
      <c r="H45" s="7">
        <v>6</v>
      </c>
      <c r="I45" s="7">
        <v>8</v>
      </c>
      <c r="J45" s="7">
        <v>2</v>
      </c>
      <c r="K45" s="7">
        <v>4</v>
      </c>
      <c r="L45" s="7">
        <v>2</v>
      </c>
      <c r="M45" s="7">
        <v>4</v>
      </c>
      <c r="N45" s="7">
        <v>2</v>
      </c>
      <c r="O45" s="7">
        <v>4</v>
      </c>
      <c r="P45" s="24"/>
      <c r="Q45" s="24"/>
      <c r="R45" s="7">
        <v>10</v>
      </c>
      <c r="S45" s="7">
        <v>13</v>
      </c>
      <c r="T45" s="7">
        <v>10</v>
      </c>
      <c r="U45" s="7">
        <v>26</v>
      </c>
      <c r="V45" s="7">
        <v>10</v>
      </c>
      <c r="W45" s="7">
        <v>41</v>
      </c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7">
        <v>12.87</v>
      </c>
      <c r="AP45" s="7"/>
      <c r="AQ45" s="7">
        <v>17.41</v>
      </c>
      <c r="AR45" s="7">
        <v>30</v>
      </c>
      <c r="AS45" s="7">
        <v>50</v>
      </c>
      <c r="AT45" s="7">
        <v>0.2</v>
      </c>
      <c r="AU45" s="7">
        <v>0.3</v>
      </c>
      <c r="AV45" s="7">
        <v>0.2</v>
      </c>
      <c r="AW45" s="7">
        <v>0.3</v>
      </c>
      <c r="AX45" s="7">
        <v>0.2</v>
      </c>
      <c r="AY45" s="7">
        <v>0.3</v>
      </c>
      <c r="AZ45" s="24"/>
      <c r="BA45" s="24"/>
      <c r="BB45" s="7">
        <v>1</v>
      </c>
      <c r="BC45" s="7">
        <v>1.4</v>
      </c>
      <c r="BD45" s="24"/>
      <c r="BE45" s="24"/>
      <c r="BF45" s="24">
        <v>18</v>
      </c>
      <c r="BG45" s="24">
        <v>19</v>
      </c>
      <c r="BH45" s="24">
        <v>16</v>
      </c>
      <c r="BI45" s="24">
        <v>17</v>
      </c>
      <c r="BJ45" s="24">
        <v>13</v>
      </c>
      <c r="BK45" s="24">
        <v>14</v>
      </c>
      <c r="BL45" s="7">
        <v>0.04</v>
      </c>
      <c r="BM45" s="7">
        <v>0.08</v>
      </c>
      <c r="BN45" s="7">
        <v>400</v>
      </c>
      <c r="BO45" s="7">
        <v>501</v>
      </c>
      <c r="BP45" s="24" t="s">
        <v>110</v>
      </c>
      <c r="BQ45" s="24"/>
      <c r="BR45" s="24"/>
      <c r="BS45" s="24"/>
      <c r="BT45" s="24"/>
      <c r="BU45" s="31"/>
      <c r="BV45" s="7">
        <v>4</v>
      </c>
      <c r="BW45" s="7">
        <v>5</v>
      </c>
      <c r="BX45" s="7">
        <v>2</v>
      </c>
      <c r="BY45" s="7">
        <v>2.5</v>
      </c>
      <c r="BZ45" s="7"/>
      <c r="CA45" s="7"/>
      <c r="CB45" s="7"/>
      <c r="CC45" s="7"/>
      <c r="CD45" s="7"/>
      <c r="CE45" s="7"/>
      <c r="CF45" s="7"/>
      <c r="CG45" s="7"/>
    </row>
    <row r="46" spans="1:85" x14ac:dyDescent="0.35">
      <c r="A46" s="1" t="str">
        <f t="shared" ref="A46:A47" si="2">CONCATENATE(B46,C46,BP46,BQ46)</f>
        <v>QUELLAVECOMANDO FINAL LHD65ROC</v>
      </c>
      <c r="B46" s="29" t="s">
        <v>109</v>
      </c>
      <c r="C46" s="30" t="s">
        <v>102</v>
      </c>
      <c r="D46" s="7">
        <v>40</v>
      </c>
      <c r="E46" s="7">
        <v>50</v>
      </c>
      <c r="F46" s="7">
        <v>10</v>
      </c>
      <c r="G46" s="7">
        <v>16</v>
      </c>
      <c r="H46" s="7">
        <v>10</v>
      </c>
      <c r="I46" s="7">
        <v>16</v>
      </c>
      <c r="J46" s="7"/>
      <c r="K46" s="7"/>
      <c r="L46" s="7"/>
      <c r="M46" s="7"/>
      <c r="N46" s="7">
        <v>1</v>
      </c>
      <c r="O46" s="7">
        <v>4</v>
      </c>
      <c r="P46" s="7"/>
      <c r="Q46" s="7"/>
      <c r="R46" s="7">
        <v>10</v>
      </c>
      <c r="S46" s="7">
        <v>16</v>
      </c>
      <c r="T46" s="7">
        <v>25</v>
      </c>
      <c r="U46" s="7">
        <v>100</v>
      </c>
      <c r="V46" s="7">
        <v>5</v>
      </c>
      <c r="W46" s="7">
        <v>11</v>
      </c>
      <c r="X46" s="7"/>
      <c r="Y46" s="7"/>
      <c r="Z46" s="7"/>
      <c r="AA46" s="7"/>
      <c r="AB46" s="7">
        <v>10</v>
      </c>
      <c r="AC46" s="7">
        <v>31</v>
      </c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>
        <v>200</v>
      </c>
      <c r="AS46" s="7">
        <v>601</v>
      </c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24"/>
      <c r="BG46" s="24"/>
      <c r="BH46" s="24"/>
      <c r="BI46" s="24"/>
      <c r="BJ46" s="24"/>
      <c r="BK46" s="24"/>
      <c r="BL46" s="7"/>
      <c r="BM46" s="7"/>
      <c r="BN46" s="7">
        <v>400</v>
      </c>
      <c r="BO46" s="7">
        <v>501</v>
      </c>
      <c r="BP46" s="24" t="s">
        <v>110</v>
      </c>
      <c r="BQ46" s="7"/>
      <c r="BR46" s="7"/>
      <c r="BS46" s="7"/>
      <c r="BT46" s="7"/>
      <c r="BU46" s="19"/>
      <c r="BV46" s="7"/>
      <c r="BW46" s="7"/>
      <c r="BX46" s="7"/>
      <c r="BY46" s="7"/>
      <c r="BZ46" s="7">
        <v>178.86</v>
      </c>
      <c r="CA46" s="7">
        <v>267.18</v>
      </c>
      <c r="CB46" s="7"/>
      <c r="CC46" s="7"/>
      <c r="CD46" s="7"/>
      <c r="CE46" s="7"/>
      <c r="CF46" s="7"/>
      <c r="CG46" s="7"/>
    </row>
    <row r="47" spans="1:85" x14ac:dyDescent="0.35">
      <c r="A47" s="21" t="str">
        <f t="shared" si="2"/>
        <v>QUELLAVECOMANDO FINAL RHD65ROC</v>
      </c>
      <c r="B47" s="29" t="s">
        <v>109</v>
      </c>
      <c r="C47" s="29" t="s">
        <v>103</v>
      </c>
      <c r="D47" s="7">
        <v>40</v>
      </c>
      <c r="E47" s="7">
        <v>50</v>
      </c>
      <c r="F47" s="7">
        <v>10</v>
      </c>
      <c r="G47" s="7">
        <v>16</v>
      </c>
      <c r="H47" s="7">
        <v>10</v>
      </c>
      <c r="I47" s="7">
        <v>16</v>
      </c>
      <c r="J47" s="24"/>
      <c r="K47" s="24"/>
      <c r="L47" s="24"/>
      <c r="M47" s="24"/>
      <c r="N47" s="7">
        <v>1</v>
      </c>
      <c r="O47" s="7">
        <v>4</v>
      </c>
      <c r="P47" s="24"/>
      <c r="Q47" s="24"/>
      <c r="R47" s="7">
        <v>10</v>
      </c>
      <c r="S47" s="7">
        <v>16</v>
      </c>
      <c r="T47" s="7">
        <v>25</v>
      </c>
      <c r="U47" s="7">
        <v>100</v>
      </c>
      <c r="V47" s="7">
        <v>5</v>
      </c>
      <c r="W47" s="7">
        <v>11</v>
      </c>
      <c r="X47" s="24"/>
      <c r="Y47" s="24"/>
      <c r="Z47" s="24"/>
      <c r="AA47" s="24"/>
      <c r="AB47" s="7">
        <v>10</v>
      </c>
      <c r="AC47" s="7">
        <v>31</v>
      </c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7">
        <v>200</v>
      </c>
      <c r="AS47" s="7">
        <v>601</v>
      </c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7">
        <v>400</v>
      </c>
      <c r="BO47" s="7">
        <v>501</v>
      </c>
      <c r="BP47" s="24" t="s">
        <v>110</v>
      </c>
      <c r="BQ47" s="24"/>
      <c r="BR47" s="7"/>
      <c r="BS47" s="7"/>
      <c r="BT47" s="24"/>
      <c r="BU47" s="31"/>
      <c r="BV47" s="7"/>
      <c r="BW47" s="7"/>
      <c r="BX47" s="7"/>
      <c r="BY47" s="7"/>
      <c r="BZ47" s="7">
        <v>178.86</v>
      </c>
      <c r="CA47" s="7">
        <v>267.18</v>
      </c>
      <c r="CB47" s="7"/>
      <c r="CC47" s="7"/>
      <c r="CD47" s="7"/>
      <c r="CE47" s="7"/>
      <c r="CF47" s="7"/>
      <c r="CG47" s="7"/>
    </row>
    <row r="48" spans="1:85" x14ac:dyDescent="0.35">
      <c r="A48" s="21" t="str">
        <f>CONCATENATE(B48,C48,BP48,BQ48)</f>
        <v>QUELLAVECOCOMPRESORD65ROC</v>
      </c>
      <c r="B48" s="29" t="s">
        <v>109</v>
      </c>
      <c r="C48" s="29" t="s">
        <v>111</v>
      </c>
      <c r="D48" s="7">
        <v>6</v>
      </c>
      <c r="E48" s="7">
        <v>11</v>
      </c>
      <c r="F48" s="7">
        <v>3</v>
      </c>
      <c r="G48" s="7">
        <v>8</v>
      </c>
      <c r="H48" s="7">
        <v>5</v>
      </c>
      <c r="I48" s="7">
        <v>10</v>
      </c>
      <c r="J48" s="24"/>
      <c r="K48" s="24"/>
      <c r="L48" s="24"/>
      <c r="M48" s="24"/>
      <c r="N48" s="24"/>
      <c r="O48" s="7">
        <v>3</v>
      </c>
      <c r="P48" s="24"/>
      <c r="Q48" s="24"/>
      <c r="R48" s="7">
        <v>10</v>
      </c>
      <c r="S48" s="7">
        <v>16</v>
      </c>
      <c r="T48" s="24">
        <v>10</v>
      </c>
      <c r="U48" s="24">
        <v>26</v>
      </c>
      <c r="V48" s="24">
        <v>10</v>
      </c>
      <c r="W48" s="24">
        <v>41</v>
      </c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>
        <v>18</v>
      </c>
      <c r="BG48" s="24">
        <v>19</v>
      </c>
      <c r="BH48" s="24">
        <v>16</v>
      </c>
      <c r="BI48" s="24">
        <v>17</v>
      </c>
      <c r="BJ48" s="24">
        <v>13</v>
      </c>
      <c r="BK48" s="24">
        <v>14</v>
      </c>
      <c r="BL48" s="24"/>
      <c r="BM48" s="24"/>
      <c r="BN48" s="24"/>
      <c r="BO48" s="24"/>
      <c r="BP48" s="24" t="s">
        <v>110</v>
      </c>
      <c r="BQ48" s="24"/>
      <c r="BR48" s="7"/>
      <c r="BS48" s="7"/>
      <c r="BT48" s="24"/>
      <c r="BU48" s="31"/>
      <c r="BV48" s="7"/>
      <c r="BW48" s="7"/>
      <c r="BX48" s="7"/>
      <c r="BY48" s="7"/>
      <c r="BZ48" s="7">
        <v>36.94</v>
      </c>
      <c r="CA48" s="7">
        <v>55.18</v>
      </c>
      <c r="CB48" s="7"/>
      <c r="CC48" s="7"/>
      <c r="CD48" s="7"/>
      <c r="CE48" s="7"/>
      <c r="CF48" s="7"/>
      <c r="CG48" s="7"/>
    </row>
    <row r="49" spans="1:85" x14ac:dyDescent="0.35">
      <c r="A49" s="21" t="str">
        <f>CONCATENATE(B49,C49,BP49,BQ49)</f>
        <v>QUELLAVECOSISTEMA HIDRAULICOD65ROC</v>
      </c>
      <c r="B49" s="29" t="s">
        <v>109</v>
      </c>
      <c r="C49" s="29" t="s">
        <v>91</v>
      </c>
      <c r="D49" s="7">
        <v>6</v>
      </c>
      <c r="E49" s="7">
        <v>11</v>
      </c>
      <c r="F49" s="7">
        <v>3</v>
      </c>
      <c r="G49" s="7">
        <v>8</v>
      </c>
      <c r="H49" s="7">
        <v>5</v>
      </c>
      <c r="I49" s="7">
        <v>10</v>
      </c>
      <c r="J49" s="24"/>
      <c r="K49" s="24"/>
      <c r="L49" s="24"/>
      <c r="M49" s="24"/>
      <c r="N49" s="24"/>
      <c r="O49" s="24">
        <v>2</v>
      </c>
      <c r="P49" s="24"/>
      <c r="Q49" s="24"/>
      <c r="R49" s="7">
        <v>10</v>
      </c>
      <c r="S49" s="7">
        <v>16</v>
      </c>
      <c r="T49" s="7">
        <v>10</v>
      </c>
      <c r="U49" s="7">
        <v>26</v>
      </c>
      <c r="V49" s="7">
        <v>10</v>
      </c>
      <c r="W49" s="7">
        <v>41</v>
      </c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7">
        <v>30</v>
      </c>
      <c r="AS49" s="7">
        <v>50</v>
      </c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>
        <v>18</v>
      </c>
      <c r="BG49" s="24">
        <v>19</v>
      </c>
      <c r="BH49" s="24">
        <v>16</v>
      </c>
      <c r="BI49" s="24">
        <v>17</v>
      </c>
      <c r="BJ49" s="24">
        <v>13</v>
      </c>
      <c r="BK49" s="24">
        <v>14</v>
      </c>
      <c r="BL49" s="24"/>
      <c r="BM49" s="24"/>
      <c r="BN49" s="7">
        <v>400</v>
      </c>
      <c r="BO49" s="7">
        <v>501</v>
      </c>
      <c r="BP49" s="24" t="s">
        <v>110</v>
      </c>
      <c r="BQ49" s="24"/>
      <c r="BR49" s="7"/>
      <c r="BS49" s="7"/>
      <c r="BT49" s="24"/>
      <c r="BU49" s="31"/>
      <c r="BV49" s="24"/>
      <c r="BW49" s="24"/>
      <c r="BX49" s="7"/>
      <c r="BY49" s="7"/>
      <c r="BZ49" s="7">
        <v>38.1</v>
      </c>
      <c r="CA49" s="7">
        <v>57.04</v>
      </c>
      <c r="CB49" s="7"/>
      <c r="CC49" s="7"/>
      <c r="CD49" s="7"/>
      <c r="CE49" s="7"/>
      <c r="CF49" s="7"/>
      <c r="CG49" s="7"/>
    </row>
    <row r="50" spans="1:85" x14ac:dyDescent="0.35">
      <c r="A50" s="1" t="str">
        <f>CONCATENATE(B50,C50,BP50,BQ50)</f>
        <v>QUELLAVECOMOTORPV351</v>
      </c>
      <c r="B50" s="30" t="s">
        <v>109</v>
      </c>
      <c r="C50" s="32" t="s">
        <v>92</v>
      </c>
      <c r="D50" s="7">
        <v>11</v>
      </c>
      <c r="E50" s="7">
        <v>16</v>
      </c>
      <c r="F50" s="7">
        <v>4</v>
      </c>
      <c r="G50" s="7">
        <v>6</v>
      </c>
      <c r="H50" s="7">
        <v>10</v>
      </c>
      <c r="I50" s="7">
        <v>14</v>
      </c>
      <c r="J50" s="7">
        <v>4</v>
      </c>
      <c r="K50" s="7">
        <v>6</v>
      </c>
      <c r="L50" s="7">
        <v>6</v>
      </c>
      <c r="M50" s="7">
        <v>8</v>
      </c>
      <c r="N50" s="7">
        <v>2</v>
      </c>
      <c r="O50" s="7">
        <v>4</v>
      </c>
      <c r="P50" s="7"/>
      <c r="Q50" s="7"/>
      <c r="R50" s="7">
        <v>15</v>
      </c>
      <c r="S50" s="7">
        <v>25</v>
      </c>
      <c r="T50" s="7">
        <v>2.1</v>
      </c>
      <c r="U50" s="7">
        <v>2.68</v>
      </c>
      <c r="V50" s="7">
        <v>3</v>
      </c>
      <c r="W50" s="7">
        <v>6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>
        <v>12.87</v>
      </c>
      <c r="AP50" s="7"/>
      <c r="AQ50" s="7">
        <v>17.41</v>
      </c>
      <c r="AR50" s="7">
        <v>9.9700000000000006</v>
      </c>
      <c r="AS50" s="7">
        <v>12.73</v>
      </c>
      <c r="AT50" s="7">
        <v>0.2</v>
      </c>
      <c r="AU50" s="7">
        <v>0.3</v>
      </c>
      <c r="AV50" s="7">
        <v>0.2</v>
      </c>
      <c r="AW50" s="7">
        <v>0.3</v>
      </c>
      <c r="AX50" s="7">
        <v>0.2</v>
      </c>
      <c r="AY50" s="7">
        <v>0.3</v>
      </c>
      <c r="AZ50" s="7"/>
      <c r="BA50" s="7"/>
      <c r="BB50" s="7">
        <v>1</v>
      </c>
      <c r="BC50" s="7">
        <v>1.4</v>
      </c>
      <c r="BD50" s="7"/>
      <c r="BE50" s="7"/>
      <c r="BF50" s="24">
        <v>18</v>
      </c>
      <c r="BG50" s="24">
        <v>19</v>
      </c>
      <c r="BH50" s="24">
        <v>16</v>
      </c>
      <c r="BI50" s="24">
        <v>17</v>
      </c>
      <c r="BJ50" s="24">
        <v>13</v>
      </c>
      <c r="BK50" s="24">
        <v>14</v>
      </c>
      <c r="BL50" s="7">
        <v>0.04</v>
      </c>
      <c r="BM50" s="7">
        <v>0.08</v>
      </c>
      <c r="BN50" s="7">
        <v>400</v>
      </c>
      <c r="BO50" s="7">
        <v>501</v>
      </c>
      <c r="BP50" s="7" t="s">
        <v>112</v>
      </c>
      <c r="BQ50" s="7"/>
      <c r="BR50" s="7"/>
      <c r="BS50" s="7"/>
      <c r="BT50" s="7"/>
      <c r="BU50" s="19"/>
      <c r="BV50" s="7">
        <v>4</v>
      </c>
      <c r="BW50" s="7">
        <v>5</v>
      </c>
      <c r="BX50" s="7">
        <v>2</v>
      </c>
      <c r="BY50" s="7">
        <v>2.5</v>
      </c>
      <c r="BZ50" s="7"/>
      <c r="CA50" s="7"/>
      <c r="CB50" s="7"/>
      <c r="CC50" s="7"/>
      <c r="CD50" s="7"/>
      <c r="CE50" s="7"/>
      <c r="CF50" s="7"/>
      <c r="CG50" s="7"/>
    </row>
    <row r="51" spans="1:85" x14ac:dyDescent="0.35">
      <c r="A51" s="1" t="str">
        <f t="shared" ref="A51:A63" si="3">CONCATENATE(B51,C51,BP51,BQ51)</f>
        <v>QUELLAVECOMANDO FINAL LHPV351</v>
      </c>
      <c r="B51" s="30" t="s">
        <v>109</v>
      </c>
      <c r="C51" s="32" t="s">
        <v>102</v>
      </c>
      <c r="D51" s="7">
        <v>22.59</v>
      </c>
      <c r="E51" s="7">
        <v>29.53</v>
      </c>
      <c r="F51" s="7"/>
      <c r="G51" s="7">
        <v>1.61</v>
      </c>
      <c r="H51" s="7">
        <v>0.88</v>
      </c>
      <c r="I51" s="7">
        <v>1.21</v>
      </c>
      <c r="J51" s="7"/>
      <c r="K51" s="7">
        <v>1</v>
      </c>
      <c r="L51" s="7"/>
      <c r="M51" s="7">
        <v>1</v>
      </c>
      <c r="N51" s="7"/>
      <c r="O51" s="7">
        <v>0.19</v>
      </c>
      <c r="P51" s="7">
        <v>0.28000000000000003</v>
      </c>
      <c r="Q51" s="7">
        <v>0.45</v>
      </c>
      <c r="R51" s="7">
        <v>12.91</v>
      </c>
      <c r="S51" s="7">
        <v>16.690000000000001</v>
      </c>
      <c r="T51" s="7">
        <v>3.41</v>
      </c>
      <c r="U51" s="7">
        <v>5.49</v>
      </c>
      <c r="V51" s="7"/>
      <c r="W51" s="7">
        <v>1</v>
      </c>
      <c r="X51" s="7"/>
      <c r="Y51" s="7"/>
      <c r="Z51" s="7"/>
      <c r="AA51" s="7"/>
      <c r="AB51" s="7">
        <v>33</v>
      </c>
      <c r="AC51" s="7">
        <v>37.92</v>
      </c>
      <c r="AD51" s="7"/>
      <c r="AE51" s="7"/>
      <c r="AF51" s="7"/>
      <c r="AG51" s="7"/>
      <c r="AH51" s="7"/>
      <c r="AI51" s="7"/>
      <c r="AJ51" s="7"/>
      <c r="AK51" s="7">
        <v>1</v>
      </c>
      <c r="AL51" s="7"/>
      <c r="AM51" s="7">
        <v>1</v>
      </c>
      <c r="AN51" s="7"/>
      <c r="AO51" s="7"/>
      <c r="AP51" s="7"/>
      <c r="AQ51" s="7"/>
      <c r="AR51" s="7">
        <v>34.409999999999997</v>
      </c>
      <c r="AS51" s="7">
        <v>44.02</v>
      </c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 t="s">
        <v>112</v>
      </c>
      <c r="BQ51" s="7"/>
      <c r="BR51" s="7"/>
      <c r="BS51" s="7"/>
      <c r="BT51" s="7"/>
      <c r="BU51" s="19"/>
      <c r="BV51" s="7"/>
      <c r="BW51" s="7"/>
      <c r="BX51" s="7"/>
      <c r="BY51" s="7"/>
      <c r="BZ51" s="7">
        <v>267.99</v>
      </c>
      <c r="CA51" s="7">
        <v>400.33</v>
      </c>
      <c r="CB51" s="7">
        <v>7.0000000000000007E-2</v>
      </c>
      <c r="CC51" s="7">
        <v>0.11</v>
      </c>
      <c r="CD51" s="7"/>
      <c r="CE51" s="7">
        <v>1</v>
      </c>
      <c r="CF51" s="7"/>
      <c r="CG51" s="7">
        <v>1</v>
      </c>
    </row>
    <row r="52" spans="1:85" x14ac:dyDescent="0.35">
      <c r="A52" s="1" t="str">
        <f t="shared" si="3"/>
        <v>QUELLAVECOMANDO FINAL RHPV351</v>
      </c>
      <c r="B52" s="30" t="s">
        <v>109</v>
      </c>
      <c r="C52" s="32" t="s">
        <v>103</v>
      </c>
      <c r="D52" s="7">
        <v>22.59</v>
      </c>
      <c r="E52" s="7">
        <v>29.53</v>
      </c>
      <c r="F52" s="7"/>
      <c r="G52" s="7">
        <v>1.61</v>
      </c>
      <c r="H52" s="7">
        <v>0.88</v>
      </c>
      <c r="I52" s="7">
        <v>1.21</v>
      </c>
      <c r="J52" s="7"/>
      <c r="K52" s="7">
        <v>1</v>
      </c>
      <c r="L52" s="7"/>
      <c r="M52" s="7">
        <v>1</v>
      </c>
      <c r="N52" s="7"/>
      <c r="O52" s="7">
        <v>0.19</v>
      </c>
      <c r="P52" s="7">
        <v>0.28000000000000003</v>
      </c>
      <c r="Q52" s="7">
        <v>0.45</v>
      </c>
      <c r="R52" s="7">
        <v>12.91</v>
      </c>
      <c r="S52" s="7">
        <v>16.690000000000001</v>
      </c>
      <c r="T52" s="7">
        <v>3.41</v>
      </c>
      <c r="U52" s="7">
        <v>5.49</v>
      </c>
      <c r="V52" s="7"/>
      <c r="W52" s="7">
        <v>1</v>
      </c>
      <c r="X52" s="7"/>
      <c r="Y52" s="7"/>
      <c r="Z52" s="7"/>
      <c r="AA52" s="7"/>
      <c r="AB52" s="7">
        <v>33</v>
      </c>
      <c r="AC52" s="7">
        <v>37.92</v>
      </c>
      <c r="AD52" s="7"/>
      <c r="AE52" s="7"/>
      <c r="AF52" s="7"/>
      <c r="AG52" s="7"/>
      <c r="AH52" s="7"/>
      <c r="AI52" s="7"/>
      <c r="AJ52" s="7"/>
      <c r="AK52" s="7">
        <v>1</v>
      </c>
      <c r="AL52" s="7"/>
      <c r="AM52" s="7">
        <v>1</v>
      </c>
      <c r="AN52" s="7"/>
      <c r="AO52" s="7"/>
      <c r="AP52" s="7"/>
      <c r="AQ52" s="7"/>
      <c r="AR52" s="7">
        <v>34.409999999999997</v>
      </c>
      <c r="AS52" s="7">
        <v>44.02</v>
      </c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 t="s">
        <v>112</v>
      </c>
      <c r="BQ52" s="7"/>
      <c r="BR52" s="7"/>
      <c r="BS52" s="7"/>
      <c r="BT52" s="7"/>
      <c r="BU52" s="19"/>
      <c r="BV52" s="7"/>
      <c r="BW52" s="7"/>
      <c r="BX52" s="7"/>
      <c r="BY52" s="7"/>
      <c r="BZ52" s="7">
        <v>267.99</v>
      </c>
      <c r="CA52" s="7">
        <v>400.33</v>
      </c>
      <c r="CB52" s="7">
        <v>7.0000000000000007E-2</v>
      </c>
      <c r="CC52" s="7">
        <v>0.11</v>
      </c>
      <c r="CD52" s="7"/>
      <c r="CE52" s="7">
        <v>1</v>
      </c>
      <c r="CF52" s="7"/>
      <c r="CG52" s="7">
        <v>1</v>
      </c>
    </row>
    <row r="53" spans="1:85" x14ac:dyDescent="0.35">
      <c r="A53" s="1" t="str">
        <f t="shared" si="3"/>
        <v>QUELLAVECOCOMPRESORPV351</v>
      </c>
      <c r="B53" s="30" t="s">
        <v>109</v>
      </c>
      <c r="C53" s="32" t="s">
        <v>111</v>
      </c>
      <c r="D53" s="7">
        <v>6.6</v>
      </c>
      <c r="E53" s="7">
        <v>9.06</v>
      </c>
      <c r="F53" s="7">
        <v>12.42</v>
      </c>
      <c r="G53" s="7">
        <v>18.34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>
        <v>22.92</v>
      </c>
      <c r="S53" s="7">
        <v>31.4</v>
      </c>
      <c r="T53" s="7">
        <v>8.1300000000000008</v>
      </c>
      <c r="U53" s="7">
        <v>11.07</v>
      </c>
      <c r="V53" s="7">
        <v>3.69</v>
      </c>
      <c r="W53" s="7">
        <v>5.05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>
        <v>9.3800000000000008</v>
      </c>
      <c r="AS53" s="7">
        <v>11.4</v>
      </c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24">
        <v>18</v>
      </c>
      <c r="BG53" s="24">
        <v>19</v>
      </c>
      <c r="BH53" s="24">
        <v>16</v>
      </c>
      <c r="BI53" s="24">
        <v>17</v>
      </c>
      <c r="BJ53" s="24">
        <v>13</v>
      </c>
      <c r="BK53" s="24">
        <v>14</v>
      </c>
      <c r="BL53" s="7"/>
      <c r="BM53" s="7"/>
      <c r="BN53" s="7">
        <v>400</v>
      </c>
      <c r="BO53" s="7">
        <v>501</v>
      </c>
      <c r="BP53" s="7" t="s">
        <v>112</v>
      </c>
      <c r="BQ53" s="7"/>
      <c r="BR53" s="7"/>
      <c r="BS53" s="7"/>
      <c r="BT53" s="7"/>
      <c r="BU53" s="19"/>
      <c r="BV53" s="7">
        <v>1.1000000000000001</v>
      </c>
      <c r="BW53" s="7">
        <v>1.91</v>
      </c>
      <c r="BX53" s="7"/>
      <c r="BY53" s="7"/>
      <c r="BZ53" s="7">
        <v>30.24</v>
      </c>
      <c r="CA53" s="7">
        <v>40.92</v>
      </c>
      <c r="CB53" s="7"/>
      <c r="CC53" s="7"/>
      <c r="CD53" s="7"/>
      <c r="CE53" s="7"/>
      <c r="CF53" s="7"/>
      <c r="CG53" s="7"/>
    </row>
    <row r="54" spans="1:85" x14ac:dyDescent="0.35">
      <c r="A54" s="21" t="str">
        <f t="shared" si="3"/>
        <v>QUELLAVECOSISTEMA HIDRAULICOPV351</v>
      </c>
      <c r="B54" s="29" t="s">
        <v>109</v>
      </c>
      <c r="C54" s="33" t="s">
        <v>91</v>
      </c>
      <c r="D54" s="7">
        <v>6.23</v>
      </c>
      <c r="E54" s="7">
        <v>8.7100000000000009</v>
      </c>
      <c r="F54" s="7">
        <v>0.48</v>
      </c>
      <c r="G54" s="7">
        <v>0.71</v>
      </c>
      <c r="H54" s="7">
        <v>2.83</v>
      </c>
      <c r="I54" s="7">
        <v>3.51</v>
      </c>
      <c r="J54" s="7">
        <v>0.17</v>
      </c>
      <c r="K54" s="7">
        <v>0.28999999999999998</v>
      </c>
      <c r="L54" s="24"/>
      <c r="M54" s="7">
        <v>1</v>
      </c>
      <c r="N54" s="7">
        <v>0.78</v>
      </c>
      <c r="O54" s="7">
        <v>1.01</v>
      </c>
      <c r="P54" s="7">
        <v>0.28999999999999998</v>
      </c>
      <c r="Q54" s="7">
        <v>0.46</v>
      </c>
      <c r="R54" s="24"/>
      <c r="S54" s="24"/>
      <c r="T54" s="7">
        <v>3.13</v>
      </c>
      <c r="U54" s="7">
        <v>4.9000000000000004</v>
      </c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>
        <v>1</v>
      </c>
      <c r="AL54" s="24"/>
      <c r="AM54" s="24"/>
      <c r="AN54" s="24"/>
      <c r="AO54" s="24"/>
      <c r="AP54" s="24"/>
      <c r="AQ54" s="24"/>
      <c r="AR54" s="7">
        <v>8.08</v>
      </c>
      <c r="AS54" s="7">
        <v>10.39</v>
      </c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>
        <v>18</v>
      </c>
      <c r="BG54" s="24">
        <v>19</v>
      </c>
      <c r="BH54" s="24">
        <v>16</v>
      </c>
      <c r="BI54" s="24">
        <v>17</v>
      </c>
      <c r="BJ54" s="24">
        <v>13</v>
      </c>
      <c r="BK54" s="24">
        <v>14</v>
      </c>
      <c r="BL54" s="24"/>
      <c r="BM54" s="24"/>
      <c r="BN54" s="7">
        <v>400</v>
      </c>
      <c r="BO54" s="7">
        <v>501</v>
      </c>
      <c r="BP54" s="7" t="s">
        <v>112</v>
      </c>
      <c r="BQ54" s="24"/>
      <c r="BR54" s="24"/>
      <c r="BS54" s="24"/>
      <c r="BT54" s="24"/>
      <c r="BU54" s="31"/>
      <c r="BV54" s="24"/>
      <c r="BW54" s="24"/>
      <c r="BX54" s="24"/>
      <c r="BY54" s="24"/>
      <c r="BZ54" s="7">
        <v>38.1</v>
      </c>
      <c r="CA54" s="7">
        <v>57.04</v>
      </c>
      <c r="CB54" s="7">
        <v>0.09</v>
      </c>
      <c r="CC54" s="7">
        <v>0.13</v>
      </c>
      <c r="CD54" s="7"/>
      <c r="CE54" s="7">
        <v>1</v>
      </c>
      <c r="CF54" s="7"/>
      <c r="CG54" s="7">
        <v>1</v>
      </c>
    </row>
    <row r="55" spans="1:85" x14ac:dyDescent="0.35">
      <c r="A55" s="21" t="str">
        <f t="shared" si="3"/>
        <v>QUELLAVECOPTOPV351</v>
      </c>
      <c r="B55" s="29" t="s">
        <v>109</v>
      </c>
      <c r="C55" s="33" t="s">
        <v>99</v>
      </c>
      <c r="D55" s="7">
        <v>392.3</v>
      </c>
      <c r="E55" s="7">
        <v>599.41999999999996</v>
      </c>
      <c r="F55" s="24"/>
      <c r="G55" s="7">
        <v>0.68</v>
      </c>
      <c r="H55" s="24"/>
      <c r="I55" s="7">
        <v>0.4</v>
      </c>
      <c r="J55" s="24"/>
      <c r="K55" s="24"/>
      <c r="L55" s="24"/>
      <c r="M55" s="24"/>
      <c r="N55" s="7">
        <v>2.27</v>
      </c>
      <c r="O55" s="7">
        <v>3.3</v>
      </c>
      <c r="P55" s="24"/>
      <c r="Q55" s="7">
        <v>0.52</v>
      </c>
      <c r="R55" s="7">
        <v>24.99</v>
      </c>
      <c r="S55" s="7">
        <v>33.72</v>
      </c>
      <c r="T55" s="7">
        <v>4.57</v>
      </c>
      <c r="U55" s="7">
        <v>6.98</v>
      </c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7">
        <v>73.709999999999994</v>
      </c>
      <c r="AS55" s="7">
        <v>98.64</v>
      </c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7"/>
      <c r="BE55" s="7">
        <v>1.58</v>
      </c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7" t="s">
        <v>112</v>
      </c>
      <c r="BQ55" s="24"/>
      <c r="BR55" s="24"/>
      <c r="BS55" s="24"/>
      <c r="BT55" s="24"/>
      <c r="BU55" s="31"/>
      <c r="BV55" s="7">
        <v>1.19</v>
      </c>
      <c r="BW55" s="7">
        <v>2</v>
      </c>
      <c r="BX55" s="24"/>
      <c r="BY55" s="24"/>
      <c r="BZ55" s="7">
        <v>267.99</v>
      </c>
      <c r="CA55" s="7">
        <v>400.33</v>
      </c>
      <c r="CB55" s="7"/>
      <c r="CC55" s="7">
        <v>0.52</v>
      </c>
      <c r="CD55" s="7"/>
      <c r="CE55" s="7"/>
      <c r="CF55" s="7"/>
      <c r="CG55" s="7"/>
    </row>
    <row r="56" spans="1:85" x14ac:dyDescent="0.35">
      <c r="A56" s="21" t="str">
        <f t="shared" si="3"/>
        <v>QUELLAVECOCABEZAL GIRATORIOPV351</v>
      </c>
      <c r="B56" s="29" t="s">
        <v>109</v>
      </c>
      <c r="C56" s="33" t="s">
        <v>113</v>
      </c>
      <c r="D56" s="7">
        <v>4.04</v>
      </c>
      <c r="E56" s="7">
        <v>6.15</v>
      </c>
      <c r="F56" s="24"/>
      <c r="G56" s="24"/>
      <c r="H56" s="24"/>
      <c r="I56" s="7">
        <v>0.16</v>
      </c>
      <c r="J56" s="24"/>
      <c r="K56" s="7">
        <v>7.0000000000000007E-2</v>
      </c>
      <c r="L56" s="24"/>
      <c r="M56" s="24"/>
      <c r="N56" s="24"/>
      <c r="O56" s="24"/>
      <c r="P56" s="7"/>
      <c r="Q56" s="7">
        <v>0.37</v>
      </c>
      <c r="R56" s="7">
        <v>4.4400000000000004</v>
      </c>
      <c r="S56" s="7">
        <v>5.84</v>
      </c>
      <c r="T56" s="24"/>
      <c r="U56" s="7">
        <v>1.21</v>
      </c>
      <c r="V56" s="24"/>
      <c r="W56" s="24"/>
      <c r="X56" s="24"/>
      <c r="Y56" s="24"/>
      <c r="Z56" s="24"/>
      <c r="AA56" s="24"/>
      <c r="AB56" s="7">
        <v>29.83</v>
      </c>
      <c r="AC56" s="7">
        <v>33.26</v>
      </c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7">
        <v>12.81</v>
      </c>
      <c r="AS56" s="7">
        <v>16</v>
      </c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7">
        <v>400</v>
      </c>
      <c r="BO56" s="7">
        <v>501</v>
      </c>
      <c r="BP56" s="7" t="s">
        <v>112</v>
      </c>
      <c r="BQ56" s="24"/>
      <c r="BR56" s="24"/>
      <c r="BS56" s="24"/>
      <c r="BT56" s="24"/>
      <c r="BU56" s="31"/>
      <c r="BV56" s="24"/>
      <c r="BW56" s="24"/>
      <c r="BX56" s="24"/>
      <c r="BY56" s="24"/>
      <c r="BZ56" s="7">
        <v>267.99</v>
      </c>
      <c r="CA56" s="7">
        <v>400.33</v>
      </c>
      <c r="CB56" s="7"/>
      <c r="CC56" s="7">
        <v>0.11</v>
      </c>
      <c r="CD56" s="7"/>
      <c r="CE56" s="7"/>
      <c r="CF56" s="7"/>
      <c r="CG56" s="7"/>
    </row>
    <row r="57" spans="1:85" x14ac:dyDescent="0.35">
      <c r="A57" s="21" t="str">
        <f t="shared" si="3"/>
        <v>QUELLAVECOBOMBA INYECCION AGUAPV351</v>
      </c>
      <c r="B57" s="29" t="s">
        <v>109</v>
      </c>
      <c r="C57" s="33" t="s">
        <v>114</v>
      </c>
      <c r="D57" s="7">
        <v>2.6</v>
      </c>
      <c r="E57" s="7">
        <v>3.27</v>
      </c>
      <c r="F57" s="7">
        <v>11.59</v>
      </c>
      <c r="G57" s="7">
        <v>17.12</v>
      </c>
      <c r="H57" s="7">
        <v>1.01</v>
      </c>
      <c r="I57" s="7">
        <v>1.57</v>
      </c>
      <c r="J57" s="24"/>
      <c r="K57" s="7">
        <v>0.78</v>
      </c>
      <c r="L57" s="24"/>
      <c r="M57" s="7">
        <v>1</v>
      </c>
      <c r="N57" s="24"/>
      <c r="O57" s="7">
        <v>0.1</v>
      </c>
      <c r="P57" s="24"/>
      <c r="Q57" s="7">
        <v>0.05</v>
      </c>
      <c r="R57" s="7">
        <v>27</v>
      </c>
      <c r="S57" s="7">
        <v>33</v>
      </c>
      <c r="T57" s="24"/>
      <c r="U57" s="24">
        <v>1</v>
      </c>
      <c r="V57" s="24"/>
      <c r="W57" s="24">
        <v>1</v>
      </c>
      <c r="X57" s="24"/>
      <c r="Y57" s="24"/>
      <c r="Z57" s="24"/>
      <c r="AA57" s="24"/>
      <c r="AB57" s="24"/>
      <c r="AC57" s="7">
        <v>355.37</v>
      </c>
      <c r="AD57" s="24"/>
      <c r="AE57" s="24"/>
      <c r="AF57" s="24"/>
      <c r="AG57" s="24"/>
      <c r="AH57" s="24"/>
      <c r="AI57" s="24"/>
      <c r="AJ57" s="24"/>
      <c r="AK57" s="24">
        <v>1</v>
      </c>
      <c r="AL57" s="24"/>
      <c r="AM57" s="24">
        <v>1</v>
      </c>
      <c r="AN57" s="24"/>
      <c r="AO57" s="24"/>
      <c r="AP57" s="24"/>
      <c r="AQ57" s="24"/>
      <c r="AR57" s="7">
        <v>9</v>
      </c>
      <c r="AS57" s="7">
        <v>11</v>
      </c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7">
        <v>45.52</v>
      </c>
      <c r="BF57" s="24"/>
      <c r="BG57" s="24"/>
      <c r="BH57" s="24"/>
      <c r="BI57" s="24"/>
      <c r="BJ57" s="24"/>
      <c r="BK57" s="24"/>
      <c r="BL57" s="24"/>
      <c r="BM57" s="24"/>
      <c r="BN57" s="7">
        <v>400</v>
      </c>
      <c r="BO57" s="7">
        <v>501</v>
      </c>
      <c r="BP57" s="7" t="s">
        <v>112</v>
      </c>
      <c r="BQ57" s="24"/>
      <c r="BR57" s="24"/>
      <c r="BS57" s="24"/>
      <c r="BT57" s="24"/>
      <c r="BU57" s="31"/>
      <c r="BV57" s="24"/>
      <c r="BW57" s="24"/>
      <c r="BX57" s="24"/>
      <c r="BY57" s="24"/>
      <c r="BZ57" s="7">
        <v>78.72</v>
      </c>
      <c r="CA57" s="7">
        <v>117.59</v>
      </c>
      <c r="CB57" s="7"/>
      <c r="CC57" s="7">
        <v>0.05</v>
      </c>
      <c r="CD57" s="7"/>
      <c r="CE57" s="7">
        <v>1</v>
      </c>
      <c r="CF57" s="7"/>
      <c r="CG57" s="7">
        <v>1</v>
      </c>
    </row>
    <row r="58" spans="1:85" x14ac:dyDescent="0.35">
      <c r="A58" s="21" t="str">
        <f t="shared" si="3"/>
        <v>QUELLAVECOMANDO FINAL DELANTERO LHWE2350</v>
      </c>
      <c r="B58" s="29" t="s">
        <v>109</v>
      </c>
      <c r="C58" s="33" t="s">
        <v>115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 t="s">
        <v>116</v>
      </c>
      <c r="BQ58" s="24"/>
      <c r="BR58" s="24"/>
      <c r="BS58" s="24"/>
      <c r="BT58" s="24"/>
      <c r="BU58" s="31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</row>
    <row r="59" spans="1:85" x14ac:dyDescent="0.35">
      <c r="A59" s="1" t="str">
        <f t="shared" si="3"/>
        <v>QUELLAVECOMANDO FINAL DELANTERO RHWE2350</v>
      </c>
      <c r="B59" s="29" t="s">
        <v>109</v>
      </c>
      <c r="C59" s="33" t="s">
        <v>117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 t="s">
        <v>116</v>
      </c>
      <c r="BQ59" s="7"/>
      <c r="BR59" s="7"/>
      <c r="BS59" s="7"/>
      <c r="BT59" s="7"/>
      <c r="BU59" s="19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</row>
    <row r="60" spans="1:85" x14ac:dyDescent="0.35">
      <c r="A60" s="1" t="str">
        <f t="shared" si="3"/>
        <v>QUELLAVECOMANDO FINAL POSTERIOR LHWE2350</v>
      </c>
      <c r="B60" s="29" t="s">
        <v>109</v>
      </c>
      <c r="C60" s="32" t="s">
        <v>118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 t="s">
        <v>116</v>
      </c>
      <c r="BQ60" s="7"/>
      <c r="BR60" s="7"/>
      <c r="BS60" s="7"/>
      <c r="BT60" s="7"/>
      <c r="BU60" s="19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</row>
    <row r="61" spans="1:85" x14ac:dyDescent="0.35">
      <c r="A61" s="1" t="str">
        <f t="shared" si="3"/>
        <v>QUELLAVECOMANDO FINAL POSTERIOR RHWE2350</v>
      </c>
      <c r="B61" s="29" t="s">
        <v>109</v>
      </c>
      <c r="C61" s="32" t="s">
        <v>119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 t="s">
        <v>116</v>
      </c>
      <c r="BQ61" s="7"/>
      <c r="BR61" s="7"/>
      <c r="BS61" s="7"/>
      <c r="BT61" s="7"/>
      <c r="BU61" s="19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</row>
    <row r="62" spans="1:85" x14ac:dyDescent="0.35">
      <c r="A62" s="1" t="str">
        <f t="shared" si="3"/>
        <v>QUELLAVECOMOTORWE2350</v>
      </c>
      <c r="B62" s="29" t="s">
        <v>109</v>
      </c>
      <c r="C62" s="32" t="s">
        <v>92</v>
      </c>
      <c r="D62" s="7">
        <v>30</v>
      </c>
      <c r="E62" s="7">
        <v>35</v>
      </c>
      <c r="F62" s="7">
        <v>2.4</v>
      </c>
      <c r="G62" s="7">
        <v>3.2</v>
      </c>
      <c r="H62" s="7">
        <v>6.5</v>
      </c>
      <c r="I62" s="7">
        <v>13</v>
      </c>
      <c r="J62" s="7">
        <v>0.8</v>
      </c>
      <c r="K62" s="7">
        <v>1.8</v>
      </c>
      <c r="L62" s="7"/>
      <c r="M62" s="7">
        <v>1</v>
      </c>
      <c r="N62" s="7">
        <v>0.9</v>
      </c>
      <c r="O62" s="7">
        <v>1.8</v>
      </c>
      <c r="P62" s="7"/>
      <c r="Q62" s="7"/>
      <c r="R62" s="5">
        <v>10</v>
      </c>
      <c r="S62" s="5">
        <v>12</v>
      </c>
      <c r="T62" s="7">
        <v>3</v>
      </c>
      <c r="U62" s="7">
        <v>6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>
        <v>13.5</v>
      </c>
      <c r="AO62" s="7">
        <v>12</v>
      </c>
      <c r="AP62" s="7">
        <v>16.5</v>
      </c>
      <c r="AQ62" s="7">
        <v>17.5</v>
      </c>
      <c r="AR62" s="7"/>
      <c r="AS62" s="7"/>
      <c r="AT62" s="7"/>
      <c r="AU62" s="7"/>
      <c r="AV62" s="7"/>
      <c r="AW62" s="7"/>
      <c r="AX62" s="7"/>
      <c r="AY62" s="7"/>
      <c r="AZ62" s="24">
        <v>9</v>
      </c>
      <c r="BA62" s="24">
        <v>6</v>
      </c>
      <c r="BB62" s="7">
        <v>2</v>
      </c>
      <c r="BC62" s="7">
        <v>2.5</v>
      </c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 t="s">
        <v>116</v>
      </c>
      <c r="BQ62" s="7"/>
      <c r="BR62" s="7"/>
      <c r="BS62" s="7"/>
      <c r="BT62" s="7"/>
      <c r="BU62" s="19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</row>
    <row r="63" spans="1:85" x14ac:dyDescent="0.35">
      <c r="A63" s="21" t="str">
        <f t="shared" si="3"/>
        <v>QUELLAVECOPTOWE2350</v>
      </c>
      <c r="B63" s="29" t="s">
        <v>109</v>
      </c>
      <c r="C63" s="33" t="s">
        <v>99</v>
      </c>
      <c r="D63" s="7">
        <v>7</v>
      </c>
      <c r="E63" s="7">
        <v>10</v>
      </c>
      <c r="F63" s="7">
        <v>3</v>
      </c>
      <c r="G63" s="7">
        <v>5</v>
      </c>
      <c r="H63" s="24"/>
      <c r="I63" s="24"/>
      <c r="J63" s="7">
        <v>3</v>
      </c>
      <c r="K63" s="7">
        <v>5</v>
      </c>
      <c r="L63" s="7">
        <v>3</v>
      </c>
      <c r="M63" s="7">
        <v>5</v>
      </c>
      <c r="N63" s="7">
        <v>3</v>
      </c>
      <c r="O63" s="7">
        <v>5</v>
      </c>
      <c r="P63" s="7">
        <v>3</v>
      </c>
      <c r="Q63" s="7">
        <v>5</v>
      </c>
      <c r="R63" s="7">
        <v>4</v>
      </c>
      <c r="S63" s="7">
        <v>7</v>
      </c>
      <c r="T63" s="7">
        <v>5</v>
      </c>
      <c r="U63" s="7">
        <v>8</v>
      </c>
      <c r="V63" s="7">
        <v>3</v>
      </c>
      <c r="W63" s="7">
        <v>5</v>
      </c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7">
        <v>17</v>
      </c>
      <c r="AS63" s="7">
        <v>31</v>
      </c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7">
        <v>400</v>
      </c>
      <c r="BO63" s="7">
        <v>501</v>
      </c>
      <c r="BP63" s="24" t="s">
        <v>116</v>
      </c>
      <c r="BQ63" s="24"/>
      <c r="BR63" s="24"/>
      <c r="BS63" s="24"/>
      <c r="BT63" s="24"/>
      <c r="BU63" s="31"/>
      <c r="BV63" s="24"/>
      <c r="BW63" s="24"/>
      <c r="BX63" s="24"/>
      <c r="BY63" s="24"/>
      <c r="BZ63" s="7">
        <v>120</v>
      </c>
      <c r="CA63" s="7">
        <v>165.85</v>
      </c>
      <c r="CB63" s="24"/>
      <c r="CC63" s="24"/>
      <c r="CD63" s="24"/>
      <c r="CE63" s="24"/>
      <c r="CF63" s="24"/>
      <c r="CG63" s="24"/>
    </row>
    <row r="64" spans="1:85" x14ac:dyDescent="0.35">
      <c r="A64" s="21" t="str">
        <f>CONCATENATE(B64,C64,BP64,BQ64)</f>
        <v>QUELLAVECOSISTEMA HIDRAULICOWE2350</v>
      </c>
      <c r="B64" s="29" t="s">
        <v>109</v>
      </c>
      <c r="C64" s="33" t="s">
        <v>91</v>
      </c>
      <c r="D64" s="7">
        <v>4</v>
      </c>
      <c r="E64" s="7">
        <v>6</v>
      </c>
      <c r="F64" s="7">
        <v>3</v>
      </c>
      <c r="G64" s="7">
        <v>5</v>
      </c>
      <c r="H64" s="7">
        <v>6</v>
      </c>
      <c r="I64" s="7">
        <v>9</v>
      </c>
      <c r="J64" s="7">
        <v>3</v>
      </c>
      <c r="K64" s="7">
        <v>5</v>
      </c>
      <c r="L64" s="7">
        <v>3</v>
      </c>
      <c r="M64" s="7">
        <v>5</v>
      </c>
      <c r="N64" s="7">
        <v>3</v>
      </c>
      <c r="O64" s="7">
        <v>5</v>
      </c>
      <c r="P64" s="7">
        <v>3</v>
      </c>
      <c r="Q64" s="7">
        <v>5</v>
      </c>
      <c r="R64" s="7">
        <v>7.9</v>
      </c>
      <c r="S64" s="7">
        <v>11</v>
      </c>
      <c r="T64" s="7">
        <v>5</v>
      </c>
      <c r="U64" s="7">
        <v>7</v>
      </c>
      <c r="V64" s="7">
        <v>3</v>
      </c>
      <c r="W64" s="7">
        <v>5</v>
      </c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7">
        <v>6</v>
      </c>
      <c r="AS64" s="7">
        <v>8</v>
      </c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>
        <v>18</v>
      </c>
      <c r="BG64" s="24">
        <v>19</v>
      </c>
      <c r="BH64" s="24">
        <v>16</v>
      </c>
      <c r="BI64" s="24">
        <v>17</v>
      </c>
      <c r="BJ64" s="24">
        <v>13</v>
      </c>
      <c r="BK64" s="24">
        <v>14</v>
      </c>
      <c r="BL64" s="24"/>
      <c r="BM64" s="24"/>
      <c r="BN64" s="7">
        <v>400</v>
      </c>
      <c r="BO64" s="7">
        <v>501</v>
      </c>
      <c r="BP64" s="24" t="s">
        <v>116</v>
      </c>
      <c r="BQ64" s="24"/>
      <c r="BR64" s="24"/>
      <c r="BS64" s="24"/>
      <c r="BT64" s="24"/>
      <c r="BU64" s="31"/>
      <c r="BV64" s="24"/>
      <c r="BW64" s="24"/>
      <c r="BX64" s="24"/>
      <c r="BY64" s="24"/>
      <c r="BZ64" s="7">
        <v>38.18</v>
      </c>
      <c r="CA64" s="7">
        <v>57.04</v>
      </c>
      <c r="CB64" s="24"/>
      <c r="CC64" s="24"/>
      <c r="CD64" s="24"/>
      <c r="CE64" s="24"/>
      <c r="CF64" s="24"/>
      <c r="CG64" s="24"/>
    </row>
    <row r="65" spans="1:85" x14ac:dyDescent="0.35">
      <c r="A65" s="21" t="str">
        <f>CONCATENATE(B65,C65,BP65,BQ65)</f>
        <v>CERRO VERDEMOTOR980E5SE</v>
      </c>
      <c r="B65" s="28" t="s">
        <v>94</v>
      </c>
      <c r="C65" s="13" t="s">
        <v>92</v>
      </c>
      <c r="D65" s="7">
        <v>10.5</v>
      </c>
      <c r="E65" s="7">
        <v>12.5</v>
      </c>
      <c r="F65" s="24">
        <v>2.5</v>
      </c>
      <c r="G65" s="24">
        <v>3.5</v>
      </c>
      <c r="H65" s="24">
        <v>2</v>
      </c>
      <c r="I65" s="24">
        <v>3</v>
      </c>
      <c r="J65" s="24">
        <v>2</v>
      </c>
      <c r="K65" s="24">
        <v>3</v>
      </c>
      <c r="L65" s="24"/>
      <c r="M65" s="24"/>
      <c r="N65" s="24">
        <v>1.5</v>
      </c>
      <c r="O65" s="24">
        <v>2.5</v>
      </c>
      <c r="P65" s="24"/>
      <c r="Q65" s="24"/>
      <c r="R65" s="24">
        <v>8.5</v>
      </c>
      <c r="S65" s="24">
        <v>9.5</v>
      </c>
      <c r="T65" s="24">
        <v>5</v>
      </c>
      <c r="U65" s="24">
        <v>8</v>
      </c>
      <c r="V65" s="24">
        <v>3</v>
      </c>
      <c r="W65" s="24">
        <v>4</v>
      </c>
      <c r="X65" s="24"/>
      <c r="Y65" s="24"/>
      <c r="Z65" s="24"/>
      <c r="AA65" s="24"/>
      <c r="AB65" s="24">
        <v>50</v>
      </c>
      <c r="AC65" s="24">
        <v>55</v>
      </c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>
        <v>13.2</v>
      </c>
      <c r="AO65" s="24">
        <v>12.9</v>
      </c>
      <c r="AP65" s="24">
        <v>15</v>
      </c>
      <c r="AQ65" s="24">
        <v>15.5</v>
      </c>
      <c r="AR65" s="24">
        <v>4</v>
      </c>
      <c r="AS65" s="24">
        <v>5</v>
      </c>
      <c r="AT65" s="24">
        <v>25.4</v>
      </c>
      <c r="AU65" s="24">
        <v>26.2</v>
      </c>
      <c r="AV65" s="24">
        <v>27</v>
      </c>
      <c r="AW65" s="24">
        <v>28</v>
      </c>
      <c r="AX65" s="24">
        <v>8</v>
      </c>
      <c r="AY65" s="24">
        <v>8.5</v>
      </c>
      <c r="AZ65" s="24"/>
      <c r="BA65" s="24"/>
      <c r="BB65" s="24">
        <v>14</v>
      </c>
      <c r="BC65" s="24">
        <v>17</v>
      </c>
      <c r="BD65" s="24"/>
      <c r="BE65" s="24"/>
      <c r="BF65" s="48"/>
      <c r="BG65" s="24"/>
      <c r="BH65" s="24"/>
      <c r="BI65" s="24"/>
      <c r="BJ65" s="24"/>
      <c r="BK65" s="24"/>
      <c r="BL65" s="48"/>
      <c r="BM65" s="48"/>
      <c r="BN65" s="48">
        <v>50</v>
      </c>
      <c r="BO65" s="48">
        <v>100</v>
      </c>
      <c r="BP65" s="24" t="s">
        <v>87</v>
      </c>
      <c r="BQ65" s="24" t="s">
        <v>96</v>
      </c>
      <c r="BR65" s="48"/>
      <c r="BS65" s="48"/>
      <c r="BT65" s="48"/>
      <c r="BU65" s="49"/>
      <c r="BV65" s="24"/>
      <c r="BW65" s="24"/>
      <c r="BX65" s="24">
        <v>0.5</v>
      </c>
      <c r="BY65" s="24">
        <v>1</v>
      </c>
      <c r="BZ65" s="24"/>
      <c r="CA65" s="24"/>
      <c r="CB65" s="48"/>
      <c r="CC65" s="48"/>
      <c r="CD65" s="48"/>
      <c r="CE65" s="48"/>
      <c r="CF65" s="48"/>
      <c r="CG65" s="48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07307b4-6a4c-4b3d-97fd-7c78330bba23}" enabled="0" method="" siteId="{807307b4-6a4c-4b3d-97fd-7c78330bba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Ortiz Yauri</dc:creator>
  <cp:lastModifiedBy>Carlos Ortiz Yauri</cp:lastModifiedBy>
  <dcterms:created xsi:type="dcterms:W3CDTF">2015-06-05T18:19:34Z</dcterms:created>
  <dcterms:modified xsi:type="dcterms:W3CDTF">2026-08-06T16:44:00Z</dcterms:modified>
</cp:coreProperties>
</file>