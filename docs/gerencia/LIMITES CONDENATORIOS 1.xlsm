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/>
  <xr:revisionPtr revIDLastSave="313" documentId="13_ncr:1_{C04A9799-6608-4395-9415-F1A2D6C6C37D}" xr6:coauthVersionLast="47" xr6:coauthVersionMax="47" xr10:uidLastSave="{511CEF13-0B3A-4AD5-B35D-EF117BE7BAC9}"/>
  <bookViews>
    <workbookView xWindow="-110" yWindow="-110" windowWidth="19420" windowHeight="11500" tabRatio="811" xr2:uid="{00000000-000D-0000-FFFF-FFFF00000000}"/>
  </bookViews>
  <sheets>
    <sheet name="BD_LC" sheetId="1" r:id="rId1"/>
    <sheet name="Hoja7" sheetId="19" state="hidden" r:id="rId2"/>
    <sheet name="Hoja2" sheetId="6" state="hidden" r:id="rId3"/>
    <sheet name="BD_LB" sheetId="11" r:id="rId4"/>
    <sheet name="BD_LC2" sheetId="12" r:id="rId5"/>
    <sheet name="LN_Antapaccay" sheetId="3" r:id="rId6"/>
    <sheet name="LN_Toromocho" sheetId="2" r:id="rId7"/>
    <sheet name="LN_Cerro Verde" sheetId="4" r:id="rId8"/>
    <sheet name="LN_Antamina" sheetId="8" r:id="rId9"/>
    <sheet name="LN_Souther" sheetId="7" r:id="rId10"/>
    <sheet name="VA" sheetId="22" r:id="rId11"/>
    <sheet name="RSM" sheetId="23" r:id="rId12"/>
    <sheet name="DCP" sheetId="24" r:id="rId13"/>
    <sheet name="DCP Limites Actuales" sheetId="25" r:id="rId14"/>
    <sheet name="Hoja9" sheetId="26" r:id="rId15"/>
    <sheet name="Hoja10" sheetId="27" r:id="rId16"/>
    <sheet name="Hoja8" sheetId="21" state="hidden" r:id="rId17"/>
    <sheet name="Hoja6" sheetId="20" state="hidden" r:id="rId18"/>
    <sheet name="Hoja5" sheetId="17" state="hidden" r:id="rId19"/>
    <sheet name="C" sheetId="5" state="hidden" r:id="rId20"/>
    <sheet name="R" sheetId="9" state="hidden" r:id="rId21"/>
    <sheet name="680" sheetId="10" state="hidden" r:id="rId22"/>
    <sheet name="Hoja4" sheetId="14" state="hidden" r:id="rId23"/>
    <sheet name="Hoja1" sheetId="15" state="hidden" r:id="rId24"/>
    <sheet name="Hoja3" sheetId="16" state="hidden" r:id="rId25"/>
  </sheets>
  <functionGroups builtInGroupCount="19"/>
  <definedNames>
    <definedName name="_xlnm._FilterDatabase" localSheetId="21" hidden="1">'680'!$A$1:$J$21</definedName>
    <definedName name="_xlnm._FilterDatabase" localSheetId="3" hidden="1">BD_LB!$A$1:$AT$683</definedName>
    <definedName name="_xlnm._FilterDatabase" localSheetId="0" hidden="1">BD_LC!$A$1:$BU$65</definedName>
    <definedName name="_xlnm._FilterDatabase" localSheetId="4" hidden="1">BD_LC2!$A$1:$J$901</definedName>
    <definedName name="_xlnm._FilterDatabase" localSheetId="8" hidden="1">LN_Antamina!$A$1:$Y$591</definedName>
    <definedName name="_xlnm._FilterDatabase" localSheetId="7" hidden="1">'LN_Cerro Verde'!$D$11:$AO$11</definedName>
    <definedName name="_xlnm._FilterDatabase" localSheetId="6" hidden="1">LN_Toromocho!$B$2:$AT$19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66" i="12" l="1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A65" i="1"/>
  <c r="AT683" i="11"/>
  <c r="AT682" i="11"/>
  <c r="AT681" i="11"/>
  <c r="A64" i="1"/>
  <c r="A59" i="1"/>
  <c r="A60" i="1"/>
  <c r="A61" i="1"/>
  <c r="A62" i="1"/>
  <c r="A63" i="1"/>
  <c r="A58" i="1"/>
  <c r="A57" i="1"/>
  <c r="A56" i="1"/>
  <c r="A55" i="1"/>
  <c r="A54" i="1"/>
  <c r="A53" i="1"/>
  <c r="A52" i="1"/>
  <c r="A51" i="1"/>
  <c r="A50" i="1"/>
  <c r="A49" i="1"/>
  <c r="A48" i="1"/>
  <c r="A46" i="1"/>
  <c r="A47" i="1"/>
  <c r="A45" i="1"/>
  <c r="A6" i="22" l="1"/>
  <c r="A5" i="22"/>
  <c r="A4" i="22"/>
  <c r="A3" i="22"/>
  <c r="A2" i="22"/>
  <c r="AT594" i="11"/>
  <c r="AT680" i="11"/>
  <c r="AT593" i="11"/>
  <c r="AT513" i="11"/>
  <c r="AT512" i="11"/>
  <c r="AT511" i="11"/>
  <c r="AT675" i="11"/>
  <c r="AT676" i="11"/>
  <c r="AT677" i="11"/>
  <c r="AT678" i="11"/>
  <c r="AT679" i="11"/>
  <c r="AT649" i="11"/>
  <c r="AT650" i="11"/>
  <c r="AT651" i="11"/>
  <c r="AT652" i="11"/>
  <c r="AT653" i="11"/>
  <c r="AT654" i="11"/>
  <c r="AT655" i="11"/>
  <c r="AT656" i="11"/>
  <c r="AT657" i="11"/>
  <c r="AT658" i="11"/>
  <c r="AT659" i="11"/>
  <c r="AT660" i="11"/>
  <c r="AT661" i="11"/>
  <c r="AT662" i="11"/>
  <c r="AT663" i="11"/>
  <c r="AT664" i="11"/>
  <c r="AT665" i="11"/>
  <c r="AT666" i="11"/>
  <c r="AT667" i="11"/>
  <c r="AT668" i="11"/>
  <c r="AT669" i="11"/>
  <c r="AT670" i="11"/>
  <c r="AT671" i="11"/>
  <c r="AT672" i="11"/>
  <c r="AT673" i="11"/>
  <c r="AT674" i="11"/>
  <c r="AT620" i="11"/>
  <c r="AT621" i="11"/>
  <c r="AT622" i="11"/>
  <c r="AT623" i="11"/>
  <c r="AT624" i="11"/>
  <c r="AT625" i="11"/>
  <c r="AT626" i="11"/>
  <c r="AT627" i="11"/>
  <c r="AT628" i="11"/>
  <c r="AT629" i="11"/>
  <c r="AT630" i="11"/>
  <c r="AT631" i="11"/>
  <c r="AT632" i="11"/>
  <c r="AT633" i="11"/>
  <c r="AT634" i="11"/>
  <c r="AT635" i="11"/>
  <c r="AT636" i="11"/>
  <c r="AT637" i="11"/>
  <c r="AT638" i="11"/>
  <c r="AT639" i="11"/>
  <c r="AT640" i="11"/>
  <c r="AT641" i="11"/>
  <c r="AT642" i="11"/>
  <c r="AT643" i="11"/>
  <c r="AT644" i="11"/>
  <c r="AT645" i="11"/>
  <c r="AT646" i="11"/>
  <c r="AT647" i="11"/>
  <c r="AT648" i="11"/>
  <c r="AT582" i="11"/>
  <c r="AT583" i="11"/>
  <c r="AT584" i="11"/>
  <c r="AT585" i="11"/>
  <c r="AT586" i="11"/>
  <c r="AT576" i="11"/>
  <c r="AT577" i="11"/>
  <c r="AT578" i="11"/>
  <c r="AT579" i="11"/>
  <c r="AT580" i="11"/>
  <c r="AT587" i="11"/>
  <c r="AT588" i="11"/>
  <c r="AT589" i="11"/>
  <c r="AT590" i="11"/>
  <c r="AT591" i="11"/>
  <c r="AT592" i="11"/>
  <c r="AT595" i="11"/>
  <c r="AT596" i="11"/>
  <c r="AT597" i="11"/>
  <c r="AT598" i="11"/>
  <c r="AT599" i="11"/>
  <c r="AT600" i="11"/>
  <c r="AT601" i="11"/>
  <c r="AT602" i="11"/>
  <c r="AT603" i="11"/>
  <c r="AT604" i="11"/>
  <c r="AT605" i="11"/>
  <c r="AT606" i="11"/>
  <c r="AT607" i="11"/>
  <c r="AT608" i="11"/>
  <c r="AT609" i="11"/>
  <c r="AT610" i="11"/>
  <c r="AT611" i="11"/>
  <c r="AT612" i="11"/>
  <c r="AT613" i="11"/>
  <c r="AT614" i="11"/>
  <c r="AT615" i="11"/>
  <c r="AT616" i="11"/>
  <c r="AT617" i="11"/>
  <c r="AT618" i="11"/>
  <c r="AT619" i="11"/>
  <c r="AT546" i="11"/>
  <c r="AT547" i="11"/>
  <c r="AT548" i="11"/>
  <c r="AT549" i="11"/>
  <c r="AT550" i="11"/>
  <c r="AT551" i="11"/>
  <c r="AT552" i="11"/>
  <c r="AT553" i="11"/>
  <c r="AT555" i="11"/>
  <c r="AT556" i="11"/>
  <c r="AT557" i="11"/>
  <c r="AT558" i="11"/>
  <c r="AT559" i="11"/>
  <c r="AT560" i="11"/>
  <c r="AT561" i="11"/>
  <c r="AT562" i="11"/>
  <c r="AT563" i="11"/>
  <c r="AT564" i="11"/>
  <c r="AT565" i="11"/>
  <c r="AT566" i="11"/>
  <c r="AT567" i="11"/>
  <c r="AT568" i="11"/>
  <c r="AT569" i="11"/>
  <c r="AT570" i="11"/>
  <c r="AT571" i="11"/>
  <c r="AT572" i="11"/>
  <c r="AT573" i="11"/>
  <c r="AT574" i="11"/>
  <c r="AT575" i="11"/>
  <c r="AT581" i="11"/>
  <c r="AT515" i="11"/>
  <c r="AT516" i="11"/>
  <c r="AT517" i="11"/>
  <c r="AT518" i="11"/>
  <c r="AT519" i="11"/>
  <c r="AT520" i="11"/>
  <c r="AT521" i="11"/>
  <c r="AT522" i="11"/>
  <c r="AT523" i="11"/>
  <c r="AT524" i="11"/>
  <c r="AT525" i="11"/>
  <c r="AT526" i="11"/>
  <c r="AT531" i="11"/>
  <c r="AT532" i="11"/>
  <c r="AT535" i="11"/>
  <c r="AT536" i="11"/>
  <c r="AT537" i="11"/>
  <c r="AT538" i="11"/>
  <c r="AT539" i="11"/>
  <c r="AT540" i="11"/>
  <c r="AT541" i="11"/>
  <c r="AT542" i="11"/>
  <c r="AT543" i="11"/>
  <c r="AT544" i="11"/>
  <c r="AT545" i="11"/>
  <c r="A40" i="1"/>
  <c r="A41" i="1"/>
  <c r="A42" i="1"/>
  <c r="A43" i="1"/>
  <c r="A44" i="1"/>
  <c r="A39" i="1"/>
  <c r="AT554" i="11"/>
  <c r="AT534" i="11"/>
  <c r="AT533" i="11"/>
  <c r="AT530" i="11"/>
  <c r="AT529" i="11"/>
  <c r="AT528" i="11"/>
  <c r="AT527" i="11"/>
  <c r="AT514" i="11"/>
  <c r="AT510" i="11"/>
  <c r="AT509" i="11"/>
  <c r="AT508" i="11"/>
  <c r="AT507" i="11"/>
  <c r="AT506" i="11"/>
  <c r="AT505" i="11"/>
  <c r="AT504" i="11"/>
  <c r="AT503" i="11"/>
  <c r="AT502" i="11"/>
  <c r="AT501" i="11"/>
  <c r="AT500" i="11"/>
  <c r="AT499" i="11"/>
  <c r="AT498" i="11"/>
  <c r="AT497" i="11"/>
  <c r="AT496" i="11"/>
  <c r="AT495" i="11"/>
  <c r="AT494" i="11"/>
  <c r="AT493" i="11"/>
  <c r="AT492" i="11"/>
  <c r="AT491" i="11"/>
  <c r="AT490" i="11"/>
  <c r="AT489" i="11"/>
  <c r="AT488" i="11"/>
  <c r="AT487" i="11"/>
  <c r="AT486" i="11"/>
  <c r="AT485" i="11"/>
  <c r="AT484" i="11"/>
  <c r="AT483" i="11"/>
  <c r="AT482" i="11"/>
  <c r="AT481" i="11"/>
  <c r="AT480" i="11"/>
  <c r="AT479" i="11"/>
  <c r="AT478" i="11"/>
  <c r="AT477" i="11"/>
  <c r="AT476" i="11"/>
  <c r="AT475" i="11"/>
  <c r="AT474" i="11"/>
  <c r="AT473" i="11"/>
  <c r="AT472" i="11"/>
  <c r="AT471" i="11"/>
  <c r="AT470" i="11"/>
  <c r="AT469" i="11"/>
  <c r="AT468" i="11"/>
  <c r="AT467" i="11"/>
  <c r="AT466" i="11"/>
  <c r="AT465" i="11"/>
  <c r="AT464" i="11"/>
  <c r="AT463" i="11"/>
  <c r="AT462" i="11"/>
  <c r="AT461" i="11"/>
  <c r="AT460" i="11"/>
  <c r="AT459" i="11"/>
  <c r="AT458" i="11"/>
  <c r="AT457" i="11"/>
  <c r="AT456" i="11"/>
  <c r="AT455" i="11"/>
  <c r="AT454" i="11"/>
  <c r="AT453" i="11"/>
  <c r="AT452" i="11"/>
  <c r="AT451" i="11"/>
  <c r="AT450" i="11"/>
  <c r="AT449" i="11"/>
  <c r="AT448" i="11"/>
  <c r="AT447" i="11"/>
  <c r="AT446" i="11"/>
  <c r="AT445" i="11"/>
  <c r="AT444" i="11"/>
  <c r="AT443" i="11"/>
  <c r="AT442" i="11"/>
  <c r="AT441" i="11"/>
  <c r="AT440" i="11"/>
  <c r="AT439" i="11"/>
  <c r="AT438" i="11"/>
  <c r="AT437" i="11"/>
  <c r="AT436" i="11"/>
  <c r="AT435" i="11"/>
  <c r="AT434" i="11"/>
  <c r="AT433" i="11"/>
  <c r="AT432" i="11"/>
  <c r="AT431" i="11"/>
  <c r="AT430" i="11"/>
  <c r="AT429" i="11"/>
  <c r="AT428" i="11"/>
  <c r="AT427" i="11"/>
  <c r="AT426" i="11"/>
  <c r="AT425" i="11"/>
  <c r="AT424" i="11"/>
  <c r="AT423" i="11"/>
  <c r="AT422" i="11"/>
  <c r="AT421" i="11"/>
  <c r="AT420" i="11"/>
  <c r="AT419" i="11"/>
  <c r="AT418" i="11"/>
  <c r="AT417" i="11"/>
  <c r="AT416" i="11"/>
  <c r="AT415" i="11"/>
  <c r="AT414" i="11"/>
  <c r="AT413" i="11"/>
  <c r="AT412" i="11"/>
  <c r="AT411" i="11"/>
  <c r="AT410" i="11"/>
  <c r="AT409" i="11"/>
  <c r="AT408" i="11"/>
  <c r="AT407" i="11"/>
  <c r="AT406" i="11"/>
  <c r="AT405" i="11"/>
  <c r="AT404" i="11"/>
  <c r="AT403" i="11"/>
  <c r="AT402" i="11"/>
  <c r="AT401" i="11"/>
  <c r="AT400" i="11"/>
  <c r="AT399" i="11"/>
  <c r="AT398" i="11"/>
  <c r="AT397" i="11"/>
  <c r="AT396" i="11"/>
  <c r="AT395" i="11"/>
  <c r="AT394" i="11"/>
  <c r="AT393" i="11"/>
  <c r="AT392" i="11"/>
  <c r="AT391" i="11"/>
  <c r="AT390" i="11"/>
  <c r="AT389" i="11"/>
  <c r="AT388" i="11"/>
  <c r="AT387" i="11"/>
  <c r="AT386" i="11"/>
  <c r="AT385" i="11"/>
  <c r="AT384" i="11"/>
  <c r="AT383" i="11"/>
  <c r="AT382" i="11"/>
  <c r="AT381" i="11"/>
  <c r="AT380" i="11"/>
  <c r="AT379" i="11"/>
  <c r="AT378" i="11"/>
  <c r="AT377" i="11"/>
  <c r="AT376" i="11"/>
  <c r="AT375" i="11"/>
  <c r="AT374" i="11"/>
  <c r="AT373" i="11"/>
  <c r="AT372" i="11"/>
  <c r="AT371" i="11"/>
  <c r="AT370" i="11"/>
  <c r="AT369" i="11"/>
  <c r="AT368" i="11"/>
  <c r="AT367" i="11"/>
  <c r="AT366" i="11"/>
  <c r="AT365" i="11"/>
  <c r="AT364" i="11"/>
  <c r="AT363" i="11"/>
  <c r="AT362" i="11"/>
  <c r="AT361" i="11"/>
  <c r="AT360" i="11"/>
  <c r="AT359" i="11"/>
  <c r="AT358" i="11"/>
  <c r="AT357" i="11"/>
  <c r="AT356" i="11"/>
  <c r="AT355" i="11"/>
  <c r="AT354" i="11"/>
  <c r="AT353" i="11"/>
  <c r="AT352" i="11"/>
  <c r="AT351" i="11"/>
  <c r="AT350" i="11"/>
  <c r="AT349" i="11"/>
  <c r="AT348" i="11"/>
  <c r="AT347" i="11"/>
  <c r="AT346" i="11"/>
  <c r="AT345" i="11"/>
  <c r="AT344" i="11"/>
  <c r="AT343" i="11"/>
  <c r="AT342" i="11"/>
  <c r="AT341" i="11"/>
  <c r="AT340" i="11"/>
  <c r="AT339" i="11"/>
  <c r="AT338" i="11"/>
  <c r="AT337" i="11"/>
  <c r="AT336" i="11"/>
  <c r="AT335" i="11"/>
  <c r="AT334" i="11"/>
  <c r="AT333" i="11"/>
  <c r="AT332" i="11"/>
  <c r="AT331" i="11"/>
  <c r="AT330" i="11"/>
  <c r="AT329" i="11"/>
  <c r="AT328" i="11"/>
  <c r="AT327" i="11"/>
  <c r="AT326" i="11"/>
  <c r="AT325" i="11"/>
  <c r="AT324" i="11"/>
  <c r="AT323" i="11"/>
  <c r="AT322" i="11"/>
  <c r="AT321" i="11"/>
  <c r="AT320" i="11"/>
  <c r="AT319" i="11"/>
  <c r="AT318" i="11"/>
  <c r="AT317" i="11"/>
  <c r="AT316" i="11"/>
  <c r="AT315" i="11"/>
  <c r="AT314" i="11"/>
  <c r="AT313" i="11"/>
  <c r="AT312" i="11"/>
  <c r="AT311" i="11"/>
  <c r="AT310" i="11"/>
  <c r="AT309" i="11"/>
  <c r="AT308" i="11"/>
  <c r="AT307" i="11"/>
  <c r="AT306" i="11"/>
  <c r="AT305" i="11"/>
  <c r="AT304" i="11"/>
  <c r="AT303" i="11"/>
  <c r="AT302" i="11"/>
  <c r="AT301" i="11"/>
  <c r="AT300" i="11"/>
  <c r="AT299" i="11"/>
  <c r="AT298" i="11"/>
  <c r="AT297" i="11"/>
  <c r="AT296" i="11"/>
  <c r="AT295" i="11"/>
  <c r="AT294" i="11"/>
  <c r="AT293" i="11"/>
  <c r="AT292" i="11"/>
  <c r="AT291" i="11"/>
  <c r="AT290" i="11"/>
  <c r="AT289" i="11"/>
  <c r="AT288" i="11"/>
  <c r="AT287" i="11"/>
  <c r="AT286" i="11"/>
  <c r="AT285" i="11"/>
  <c r="AT284" i="11"/>
  <c r="AT283" i="11"/>
  <c r="AT282" i="11"/>
  <c r="AT281" i="11"/>
  <c r="AT280" i="11"/>
  <c r="AT279" i="11"/>
  <c r="AT278" i="11"/>
  <c r="AT277" i="11"/>
  <c r="AT276" i="11"/>
  <c r="AT275" i="11"/>
  <c r="AT274" i="11"/>
  <c r="AT273" i="11"/>
  <c r="AT272" i="11"/>
  <c r="AT271" i="11"/>
  <c r="AT270" i="11"/>
  <c r="AT269" i="11"/>
  <c r="AT268" i="11"/>
  <c r="AT267" i="11"/>
  <c r="AT266" i="11"/>
  <c r="AT265" i="11"/>
  <c r="AT264" i="11"/>
  <c r="AT263" i="11"/>
  <c r="AT262" i="11"/>
  <c r="AT261" i="11"/>
  <c r="AT260" i="11"/>
  <c r="AT259" i="11"/>
  <c r="AT258" i="11"/>
  <c r="AT257" i="11"/>
  <c r="AT256" i="11"/>
  <c r="AT255" i="11"/>
  <c r="AT254" i="11"/>
  <c r="AT253" i="11"/>
  <c r="AT252" i="11"/>
  <c r="AT251" i="11"/>
  <c r="AT250" i="11"/>
  <c r="AT249" i="11"/>
  <c r="AT248" i="11"/>
  <c r="AT247" i="11"/>
  <c r="AT246" i="11"/>
  <c r="AT245" i="11"/>
  <c r="AT244" i="11"/>
  <c r="AT243" i="11"/>
  <c r="AT242" i="11"/>
  <c r="AT241" i="11"/>
  <c r="AT240" i="11"/>
  <c r="AT239" i="11"/>
  <c r="AT238" i="11"/>
  <c r="AT237" i="11"/>
  <c r="AT236" i="11"/>
  <c r="AT235" i="11"/>
  <c r="AT234" i="11"/>
  <c r="AT233" i="11"/>
  <c r="AT232" i="11"/>
  <c r="AT231" i="11"/>
  <c r="AT230" i="11"/>
  <c r="AT229" i="11"/>
  <c r="AT228" i="11"/>
  <c r="AT227" i="11"/>
  <c r="AT226" i="11"/>
  <c r="AT225" i="11"/>
  <c r="AT224" i="11"/>
  <c r="AT223" i="11"/>
  <c r="AT222" i="11"/>
  <c r="AT221" i="11"/>
  <c r="AT220" i="11"/>
  <c r="AT219" i="11"/>
  <c r="AT218" i="11"/>
  <c r="AT217" i="11"/>
  <c r="AT216" i="11"/>
  <c r="AT215" i="11"/>
  <c r="AT214" i="11"/>
  <c r="AT213" i="11"/>
  <c r="AT212" i="11"/>
  <c r="AT211" i="11"/>
  <c r="AT210" i="11"/>
  <c r="AT209" i="11"/>
  <c r="AT208" i="11"/>
  <c r="AT207" i="11"/>
  <c r="AT206" i="11"/>
  <c r="AT205" i="11"/>
  <c r="AT204" i="11"/>
  <c r="AT203" i="11"/>
  <c r="AT202" i="11"/>
  <c r="AT201" i="11"/>
  <c r="AT200" i="11"/>
  <c r="AT199" i="11"/>
  <c r="AT198" i="11"/>
  <c r="AT197" i="11"/>
  <c r="AT196" i="11"/>
  <c r="AT195" i="11"/>
  <c r="AT194" i="11"/>
  <c r="AT193" i="11"/>
  <c r="AT192" i="11"/>
  <c r="AT191" i="11"/>
  <c r="AT190" i="11"/>
  <c r="AT189" i="11"/>
  <c r="AT188" i="11"/>
  <c r="AT187" i="11"/>
  <c r="AT186" i="11"/>
  <c r="AT185" i="11"/>
  <c r="AT184" i="11"/>
  <c r="AT183" i="11"/>
  <c r="AT182" i="11"/>
  <c r="AT181" i="11"/>
  <c r="AT180" i="11"/>
  <c r="AT179" i="11"/>
  <c r="AT178" i="11"/>
  <c r="AT177" i="11"/>
  <c r="AT176" i="11"/>
  <c r="AT175" i="11"/>
  <c r="AT174" i="11"/>
  <c r="AT173" i="11"/>
  <c r="AT172" i="11"/>
  <c r="AT171" i="11"/>
  <c r="AT170" i="11"/>
  <c r="AT169" i="11"/>
  <c r="AT168" i="11"/>
  <c r="AT167" i="11"/>
  <c r="AT166" i="11"/>
  <c r="AT165" i="11"/>
  <c r="AT164" i="11"/>
  <c r="AT163" i="11"/>
  <c r="AT162" i="11"/>
  <c r="AT161" i="11"/>
  <c r="AT160" i="11"/>
  <c r="AT159" i="11"/>
  <c r="AT158" i="11"/>
  <c r="AT157" i="11"/>
  <c r="AT156" i="11"/>
  <c r="AT155" i="11"/>
  <c r="AT154" i="11"/>
  <c r="AT153" i="11"/>
  <c r="AT152" i="11"/>
  <c r="AT151" i="11"/>
  <c r="AT150" i="11"/>
  <c r="AT149" i="11"/>
  <c r="AT148" i="11"/>
  <c r="AT147" i="11"/>
  <c r="AT146" i="11"/>
  <c r="AT145" i="11"/>
  <c r="AT144" i="11"/>
  <c r="AT143" i="11"/>
  <c r="AT142" i="11"/>
  <c r="AT141" i="11"/>
  <c r="AT140" i="11"/>
  <c r="AT139" i="11"/>
  <c r="AT138" i="11"/>
  <c r="AT137" i="11"/>
  <c r="AT136" i="11"/>
  <c r="AT135" i="11"/>
  <c r="AT134" i="11"/>
  <c r="AT133" i="11"/>
  <c r="AT132" i="11"/>
  <c r="AT131" i="11"/>
  <c r="AT130" i="11"/>
  <c r="AT129" i="11"/>
  <c r="AT128" i="11"/>
  <c r="AT127" i="11"/>
  <c r="AT126" i="11"/>
  <c r="AT125" i="11"/>
  <c r="AT124" i="11"/>
  <c r="AT123" i="11"/>
  <c r="AT122" i="11"/>
  <c r="AT121" i="11"/>
  <c r="AT120" i="11"/>
  <c r="AT119" i="11"/>
  <c r="AT118" i="11"/>
  <c r="AT117" i="11"/>
  <c r="AT116" i="11"/>
  <c r="AT115" i="11"/>
  <c r="AT114" i="11"/>
  <c r="AT113" i="11"/>
  <c r="AT112" i="11"/>
  <c r="AT111" i="11"/>
  <c r="AT110" i="11"/>
  <c r="AT109" i="11"/>
  <c r="AT108" i="11"/>
  <c r="AT107" i="11"/>
  <c r="AT106" i="11"/>
  <c r="AT105" i="11"/>
  <c r="AT104" i="11"/>
  <c r="AT103" i="11"/>
  <c r="AT102" i="11"/>
  <c r="AT101" i="11"/>
  <c r="AT100" i="11"/>
  <c r="AT99" i="11"/>
  <c r="AT98" i="11"/>
  <c r="AT97" i="11"/>
  <c r="AT96" i="11"/>
  <c r="AT95" i="11"/>
  <c r="AT94" i="11"/>
  <c r="AT93" i="11"/>
  <c r="AT92" i="11"/>
  <c r="AT91" i="11"/>
  <c r="AT90" i="11"/>
  <c r="AT89" i="11"/>
  <c r="AT88" i="11"/>
  <c r="AT87" i="11"/>
  <c r="AT86" i="11"/>
  <c r="AT85" i="11"/>
  <c r="AT84" i="11"/>
  <c r="AT83" i="11"/>
  <c r="AT82" i="11"/>
  <c r="AT81" i="11"/>
  <c r="AT80" i="11"/>
  <c r="AT79" i="11"/>
  <c r="AT78" i="11"/>
  <c r="AT77" i="11"/>
  <c r="AT76" i="11"/>
  <c r="AT75" i="11"/>
  <c r="AT74" i="11"/>
  <c r="AT73" i="11"/>
  <c r="AT72" i="11"/>
  <c r="AT71" i="11"/>
  <c r="AT70" i="11"/>
  <c r="AT69" i="11"/>
  <c r="AT68" i="11"/>
  <c r="AT67" i="11"/>
  <c r="AT66" i="11"/>
  <c r="AT65" i="11"/>
  <c r="AT64" i="11"/>
  <c r="AT63" i="11"/>
  <c r="AT62" i="11"/>
  <c r="AT61" i="11"/>
  <c r="AT60" i="11"/>
  <c r="AT59" i="11"/>
  <c r="AT58" i="11"/>
  <c r="AT57" i="11"/>
  <c r="AT56" i="11"/>
  <c r="AT55" i="11"/>
  <c r="AT54" i="11"/>
  <c r="AT53" i="11"/>
  <c r="AT52" i="11"/>
  <c r="AT51" i="11"/>
  <c r="AT50" i="11"/>
  <c r="AT49" i="11"/>
  <c r="AT48" i="11"/>
  <c r="AT47" i="11"/>
  <c r="AT46" i="11"/>
  <c r="AT45" i="11"/>
  <c r="AT44" i="11"/>
  <c r="AT43" i="11"/>
  <c r="AT42" i="11"/>
  <c r="AT41" i="11"/>
  <c r="AT40" i="11"/>
  <c r="AT39" i="11"/>
  <c r="AT38" i="11"/>
  <c r="AT37" i="11"/>
  <c r="AT36" i="11"/>
  <c r="AT35" i="11"/>
  <c r="AT34" i="11"/>
  <c r="AT33" i="11"/>
  <c r="AT32" i="11"/>
  <c r="AT31" i="11"/>
  <c r="AT30" i="11"/>
  <c r="AT29" i="11"/>
  <c r="AT28" i="11"/>
  <c r="AT27" i="11"/>
  <c r="AT26" i="11"/>
  <c r="AT25" i="11"/>
  <c r="AT24" i="11"/>
  <c r="AT23" i="11"/>
  <c r="AT22" i="11"/>
  <c r="AT21" i="11"/>
  <c r="AT20" i="11"/>
  <c r="AT19" i="11"/>
  <c r="AT18" i="11"/>
  <c r="AT17" i="11"/>
  <c r="AT16" i="11"/>
  <c r="AT15" i="11"/>
  <c r="AT14" i="11"/>
  <c r="AT13" i="11"/>
  <c r="AT12" i="11"/>
  <c r="AT11" i="11"/>
  <c r="AT10" i="11"/>
  <c r="AT9" i="11"/>
  <c r="AT8" i="11"/>
  <c r="AT7" i="11"/>
  <c r="AT6" i="11"/>
  <c r="AT5" i="11"/>
  <c r="AT4" i="11"/>
  <c r="AT3" i="11"/>
  <c r="AT2" i="11"/>
  <c r="A26" i="1" l="1"/>
  <c r="A27" i="1"/>
  <c r="A28" i="1"/>
  <c r="A29" i="1"/>
  <c r="A30" i="1"/>
  <c r="A31" i="1"/>
  <c r="A32" i="1"/>
  <c r="A33" i="1"/>
  <c r="A34" i="1"/>
  <c r="A35" i="1"/>
  <c r="A36" i="1"/>
  <c r="A37" i="1"/>
  <c r="A38" i="1"/>
  <c r="F4" i="14" l="1"/>
  <c r="F3" i="14"/>
  <c r="J3" i="12" l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2" i="12"/>
  <c r="A20" i="1"/>
  <c r="A21" i="1"/>
  <c r="A22" i="1"/>
  <c r="A23" i="1"/>
  <c r="A24" i="1"/>
  <c r="A25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" i="1"/>
  <c r="I65" i="2" l="1"/>
  <c r="I64" i="2"/>
  <c r="I63" i="2"/>
  <c r="I62" i="2"/>
  <c r="I59" i="2"/>
  <c r="I56" i="2"/>
  <c r="I55" i="2"/>
  <c r="I54" i="2"/>
  <c r="I53" i="2"/>
  <c r="I50" i="2"/>
  <c r="I47" i="2"/>
  <c r="I46" i="2"/>
  <c r="I45" i="2"/>
  <c r="I44" i="2"/>
  <c r="P39" i="2"/>
  <c r="G40" i="2"/>
  <c r="G39" i="2"/>
  <c r="G37" i="2"/>
  <c r="G36" i="2"/>
  <c r="P34" i="2"/>
  <c r="P33" i="2"/>
  <c r="G34" i="2" l="1"/>
  <c r="G33" i="2"/>
  <c r="G30" i="2"/>
  <c r="G3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16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- 18.7 cST</t>
        </r>
      </text>
    </comment>
    <comment ref="G1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- 18.7 cST</t>
        </r>
      </text>
    </comment>
    <comment ref="H16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- 18.7 cST</t>
        </r>
      </text>
    </comment>
    <comment ref="I16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- 18.7 cST</t>
        </r>
      </text>
    </comment>
    <comment ref="F17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- 18.7 cST</t>
        </r>
      </text>
    </comment>
    <comment ref="G17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- 18.7 cST</t>
        </r>
      </text>
    </comment>
    <comment ref="H17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- 18.7 cST</t>
        </r>
      </text>
    </comment>
    <comment ref="I17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- 18.7 cST</t>
        </r>
      </text>
    </comment>
    <comment ref="F18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- 6.5cSt</t>
        </r>
      </text>
    </comment>
    <comment ref="G18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- 6.5cSt</t>
        </r>
      </text>
    </comment>
    <comment ref="H18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- 6.5cSt</t>
        </r>
      </text>
    </comment>
    <comment ref="I18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- 6.5cSt</t>
        </r>
      </text>
    </comment>
    <comment ref="F256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G256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H256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I256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F257" authorId="0" shapeId="0" xr:uid="{00000000-0006-0000-0400-00001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G257" authorId="0" shapeId="0" xr:uid="{00000000-0006-0000-0400-00001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H257" authorId="0" shapeId="0" xr:uid="{00000000-0006-0000-0400-00001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I257" authorId="0" shapeId="0" xr:uid="{00000000-0006-0000-0400-00001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F258" authorId="0" shapeId="0" xr:uid="{00000000-0006-0000-0400-00001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258" authorId="0" shapeId="0" xr:uid="{00000000-0006-0000-0400-00001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H258" authorId="0" shapeId="0" xr:uid="{00000000-0006-0000-0400-00001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I258" authorId="0" shapeId="0" xr:uid="{00000000-0006-0000-0400-00001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H262" authorId="0" shapeId="0" xr:uid="{16FBD8A6-B9C1-45DC-B746-5EF255560C78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I262" authorId="0" shapeId="0" xr:uid="{D3D304E3-D9FF-4B05-96CD-B708B37B521E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H263" authorId="0" shapeId="0" xr:uid="{00753F3F-9F38-47FE-B949-BEE79108889F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I263" authorId="0" shapeId="0" xr:uid="{EF10F0DA-0D69-4170-B0A3-22A99E78DA94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F376" authorId="0" shapeId="0" xr:uid="{00000000-0006-0000-0400-00001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376" authorId="0" shapeId="0" xr:uid="{00000000-0006-0000-0400-00001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H376" authorId="0" shapeId="0" xr:uid="{00000000-0006-0000-0400-00001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I376" authorId="0" shapeId="0" xr:uid="{00000000-0006-0000-0400-00001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F377" authorId="0" shapeId="0" xr:uid="{00000000-0006-0000-0400-00001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377" authorId="0" shapeId="0" xr:uid="{00000000-0006-0000-0400-00001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H377" authorId="0" shapeId="0" xr:uid="{00000000-0006-0000-0400-00001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I377" authorId="0" shapeId="0" xr:uid="{00000000-0006-0000-0400-00002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F378" authorId="0" shapeId="0" xr:uid="{00000000-0006-0000-0400-00002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G378" authorId="0" shapeId="0" xr:uid="{00000000-0006-0000-0400-00002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H378" authorId="0" shapeId="0" xr:uid="{00000000-0006-0000-0400-00002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I378" authorId="0" shapeId="0" xr:uid="{00000000-0006-0000-0400-00002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F448" authorId="0" shapeId="0" xr:uid="{00000000-0006-0000-0400-00002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- 17ppm</t>
        </r>
      </text>
    </comment>
    <comment ref="G448" authorId="0" shapeId="0" xr:uid="{00000000-0006-0000-0400-00002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- 17ppm</t>
        </r>
      </text>
    </comment>
    <comment ref="F449" authorId="0" shapeId="0" xr:uid="{00000000-0006-0000-0400-00002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- 17ppm</t>
        </r>
      </text>
    </comment>
    <comment ref="G449" authorId="0" shapeId="0" xr:uid="{00000000-0006-0000-0400-00002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- 17ppm</t>
        </r>
      </text>
    </comment>
    <comment ref="F450" authorId="0" shapeId="0" xr:uid="{00000000-0006-0000-0400-00002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- 15ppm</t>
        </r>
      </text>
    </comment>
    <comment ref="G450" authorId="0" shapeId="0" xr:uid="{00000000-0006-0000-0400-00002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- 15ppm</t>
        </r>
      </text>
    </comment>
    <comment ref="H450" authorId="0" shapeId="0" xr:uid="{00000000-0006-0000-0400-00002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- 15ppm</t>
        </r>
      </text>
    </comment>
    <comment ref="I450" authorId="0" shapeId="0" xr:uid="{00000000-0006-0000-0400-00003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- 15ppm</t>
        </r>
      </text>
    </comment>
    <comment ref="F472" authorId="0" shapeId="0" xr:uid="{00000000-0006-0000-0400-00003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G472" authorId="0" shapeId="0" xr:uid="{00000000-0006-0000-0400-00003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H472" authorId="0" shapeId="0" xr:uid="{00000000-0006-0000-0400-00003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I472" authorId="0" shapeId="0" xr:uid="{00000000-0006-0000-0400-00003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F473" authorId="0" shapeId="0" xr:uid="{00000000-0006-0000-0400-00003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G473" authorId="0" shapeId="0" xr:uid="{00000000-0006-0000-0400-00003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H473" authorId="0" shapeId="0" xr:uid="{00000000-0006-0000-0400-00003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I473" authorId="0" shapeId="0" xr:uid="{00000000-0006-0000-0400-00003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F474" authorId="0" shapeId="0" xr:uid="{00000000-0006-0000-0400-00003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G474" authorId="0" shapeId="0" xr:uid="{00000000-0006-0000-0400-00003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H474" authorId="0" shapeId="0" xr:uid="{00000000-0006-0000-0400-00003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I474" authorId="0" shapeId="0" xr:uid="{00000000-0006-0000-0400-00003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- 2ppm</t>
        </r>
      </text>
    </comment>
    <comment ref="F496" authorId="0" shapeId="0" xr:uid="{00000000-0006-0000-0400-00003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496" authorId="0" shapeId="0" xr:uid="{00000000-0006-0000-0400-00003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H496" authorId="0" shapeId="0" xr:uid="{00000000-0006-0000-0400-00003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I496" authorId="0" shapeId="0" xr:uid="{00000000-0006-0000-0400-00004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F497" authorId="0" shapeId="0" xr:uid="{00000000-0006-0000-0400-00004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497" authorId="0" shapeId="0" xr:uid="{00000000-0006-0000-0400-00004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H497" authorId="0" shapeId="0" xr:uid="{00000000-0006-0000-0400-00004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I497" authorId="0" shapeId="0" xr:uid="{00000000-0006-0000-0400-00004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F498" authorId="0" shapeId="0" xr:uid="{00000000-0006-0000-0400-00004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498" authorId="0" shapeId="0" xr:uid="{00000000-0006-0000-0400-00004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H498" authorId="0" shapeId="0" xr:uid="{00000000-0006-0000-0400-00004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I498" authorId="0" shapeId="0" xr:uid="{00000000-0006-0000-0400-00004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F520" authorId="0" shapeId="0" xr:uid="{00000000-0006-0000-0400-00005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520" authorId="0" shapeId="0" xr:uid="{00000000-0006-0000-0400-00005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F521" authorId="0" shapeId="0" xr:uid="{00000000-0006-0000-0400-00005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521" authorId="0" shapeId="0" xr:uid="{00000000-0006-0000-0400-00005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F522" authorId="0" shapeId="0" xr:uid="{00000000-0006-0000-0400-00005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522" authorId="0" shapeId="0" xr:uid="{00000000-0006-0000-0400-00005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F544" authorId="0" shapeId="0" xr:uid="{00000000-0006-0000-0400-00005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- 3240ppm</t>
        </r>
      </text>
    </comment>
    <comment ref="G544" authorId="0" shapeId="0" xr:uid="{00000000-0006-0000-0400-00005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- 3240ppm</t>
        </r>
      </text>
    </comment>
    <comment ref="F545" authorId="0" shapeId="0" xr:uid="{00000000-0006-0000-0400-00005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- 3240ppm</t>
        </r>
      </text>
    </comment>
    <comment ref="G545" authorId="0" shapeId="0" xr:uid="{00000000-0006-0000-0400-00006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- 3240ppm</t>
        </r>
      </text>
    </comment>
    <comment ref="F546" authorId="0" shapeId="0" xr:uid="{00000000-0006-0000-0400-00006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- 3401ppm</t>
        </r>
      </text>
    </comment>
    <comment ref="G546" authorId="0" shapeId="0" xr:uid="{00000000-0006-0000-0400-00006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- 3401ppm</t>
        </r>
      </text>
    </comment>
    <comment ref="F568" authorId="0" shapeId="0" xr:uid="{00000000-0006-0000-0400-00006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- 14ppm</t>
        </r>
      </text>
    </comment>
    <comment ref="G568" authorId="0" shapeId="0" xr:uid="{00000000-0006-0000-0400-00006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- 14ppm</t>
        </r>
      </text>
    </comment>
    <comment ref="F569" authorId="0" shapeId="0" xr:uid="{00000000-0006-0000-0400-00006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- 14ppm</t>
        </r>
      </text>
    </comment>
    <comment ref="G569" authorId="0" shapeId="0" xr:uid="{00000000-0006-0000-0400-000066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- 14ppm</t>
        </r>
      </text>
    </comment>
    <comment ref="F570" authorId="0" shapeId="0" xr:uid="{00000000-0006-0000-0400-00006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- 15ppm</t>
        </r>
      </text>
    </comment>
    <comment ref="G570" authorId="0" shapeId="0" xr:uid="{00000000-0006-0000-0400-00006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- 15ppm</t>
        </r>
      </text>
    </comment>
    <comment ref="F592" authorId="0" shapeId="0" xr:uid="{00000000-0006-0000-0400-00004F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- 983ppm</t>
        </r>
      </text>
    </comment>
    <comment ref="G592" authorId="0" shapeId="0" xr:uid="{00000000-0006-0000-0400-000050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- 983ppm</t>
        </r>
      </text>
    </comment>
    <comment ref="F593" authorId="0" shapeId="0" xr:uid="{00000000-0006-0000-0400-00005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- 983ppm</t>
        </r>
      </text>
    </comment>
    <comment ref="G593" authorId="0" shapeId="0" xr:uid="{00000000-0006-0000-0400-00005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- 983ppm</t>
        </r>
      </text>
    </comment>
    <comment ref="F594" authorId="0" shapeId="0" xr:uid="{00000000-0006-0000-0400-00005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- 1061ppm</t>
        </r>
      </text>
    </comment>
    <comment ref="G594" authorId="0" shapeId="0" xr:uid="{00000000-0006-0000-0400-00005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- 1061ppm</t>
        </r>
      </text>
    </comment>
    <comment ref="F616" authorId="0" shapeId="0" xr:uid="{00000000-0006-0000-0400-000049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- 1152ppm</t>
        </r>
      </text>
    </comment>
    <comment ref="G616" authorId="0" shapeId="0" xr:uid="{00000000-0006-0000-0400-00004A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- 1152ppm</t>
        </r>
      </text>
    </comment>
    <comment ref="F617" authorId="0" shapeId="0" xr:uid="{00000000-0006-0000-0400-00004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- 1152ppm</t>
        </r>
      </text>
    </comment>
    <comment ref="G617" authorId="0" shapeId="0" xr:uid="{00000000-0006-0000-0400-00004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- 1152ppm</t>
        </r>
      </text>
    </comment>
    <comment ref="F618" authorId="0" shapeId="0" xr:uid="{00000000-0006-0000-0400-00004D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- 1359ppm</t>
        </r>
      </text>
    </comment>
    <comment ref="G618" authorId="0" shapeId="0" xr:uid="{00000000-0006-0000-0400-00004E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- 1359ppm</t>
        </r>
      </text>
    </comment>
    <comment ref="F666" authorId="0" shapeId="0" xr:uid="{00000000-0006-0000-0400-00005B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  <comment ref="G666" authorId="0" shapeId="0" xr:uid="{00000000-0006-0000-0400-00005C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LN - 1ppm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Muestra analizada en SGS</t>
        </r>
      </text>
    </comment>
    <comment ref="F1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Autor:
Viscosidad 40°c - 696cSt
IV = 194</t>
        </r>
      </text>
    </comment>
    <comment ref="AT1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Numero Acido</t>
        </r>
      </text>
    </comment>
  </commentList>
</comments>
</file>

<file path=xl/sharedStrings.xml><?xml version="1.0" encoding="utf-8"?>
<sst xmlns="http://schemas.openxmlformats.org/spreadsheetml/2006/main" count="14083" uniqueCount="1488">
  <si>
    <t>CRUCE</t>
  </si>
  <si>
    <t>Proyecto</t>
  </si>
  <si>
    <t>COMPONENTE</t>
  </si>
  <si>
    <t>FIERRO - LP</t>
  </si>
  <si>
    <t>FIERRO - LC</t>
  </si>
  <si>
    <t>ALUMINIO - LP</t>
  </si>
  <si>
    <t>ALUMINIO - LC</t>
  </si>
  <si>
    <t>COBRE - LP</t>
  </si>
  <si>
    <t>COBRE - LC</t>
  </si>
  <si>
    <t>PLOMO - LP</t>
  </si>
  <si>
    <t>PLOMO - LC</t>
  </si>
  <si>
    <t xml:space="preserve">ESTAÑO - LP </t>
  </si>
  <si>
    <t>ESTAÑO - LC</t>
  </si>
  <si>
    <t>CROMO - LP</t>
  </si>
  <si>
    <t>CROMO - LC</t>
  </si>
  <si>
    <t>NIQUEL - LP</t>
  </si>
  <si>
    <t>NIQUEL - LC</t>
  </si>
  <si>
    <t>SILICIO - LP</t>
  </si>
  <si>
    <t>SILICIO - LC</t>
  </si>
  <si>
    <t>SODIO - LP</t>
  </si>
  <si>
    <t>SODIO - LC</t>
  </si>
  <si>
    <t>POTASIO - LP</t>
  </si>
  <si>
    <t>POTASIO - LC</t>
  </si>
  <si>
    <t>ZINC - LP</t>
  </si>
  <si>
    <t>ZINC - LC</t>
  </si>
  <si>
    <t>FOSFORO - LP</t>
  </si>
  <si>
    <t>FOSFORO - LC</t>
  </si>
  <si>
    <t>BORO - LP</t>
  </si>
  <si>
    <t>BORO - LC</t>
  </si>
  <si>
    <t>BARIO - LP</t>
  </si>
  <si>
    <t>BARIO - LC</t>
  </si>
  <si>
    <t>CALCIO - LP</t>
  </si>
  <si>
    <t>CALCIO - LC</t>
  </si>
  <si>
    <t>MAGNESIO - LP</t>
  </si>
  <si>
    <t>MAGNESIO - LC</t>
  </si>
  <si>
    <t>CADMIO - LP</t>
  </si>
  <si>
    <t>CADMIO - LC</t>
  </si>
  <si>
    <t>VANADIO - LP</t>
  </si>
  <si>
    <t>VANADIO - LC</t>
  </si>
  <si>
    <t>VISC - LPI</t>
  </si>
  <si>
    <t>VISC - LCI</t>
  </si>
  <si>
    <t>VISC - LPS</t>
  </si>
  <si>
    <t>VISC - LCS</t>
  </si>
  <si>
    <t>PQ - LP</t>
  </si>
  <si>
    <t>PQ - LC</t>
  </si>
  <si>
    <t>OXI - LP</t>
  </si>
  <si>
    <t>OXI - LC</t>
  </si>
  <si>
    <t>SULF - LP</t>
  </si>
  <si>
    <t>SULF - LC</t>
  </si>
  <si>
    <t>NIT - LP</t>
  </si>
  <si>
    <t>NIT - LC</t>
  </si>
  <si>
    <t>TBN - LP</t>
  </si>
  <si>
    <t>TBN - LC</t>
  </si>
  <si>
    <t>HOLLIN - LP</t>
  </si>
  <si>
    <t>HOLLIN - LC</t>
  </si>
  <si>
    <t>MOLIBDENO - LP</t>
  </si>
  <si>
    <t>MOLIBDENO - LC</t>
  </si>
  <si>
    <t>ISO 4um - LP</t>
  </si>
  <si>
    <t>ISO 4um - LC</t>
  </si>
  <si>
    <t>ISO 6um - LP</t>
  </si>
  <si>
    <t>ISO 6um - LC</t>
  </si>
  <si>
    <t>ISO 14um - LP</t>
  </si>
  <si>
    <t>ISO 14um - LC</t>
  </si>
  <si>
    <t>Glycol - LP</t>
  </si>
  <si>
    <t>Glycol - LC</t>
  </si>
  <si>
    <t>H20 - LP</t>
  </si>
  <si>
    <t>H20 - LC</t>
  </si>
  <si>
    <t>MODELO</t>
  </si>
  <si>
    <t>TIPO</t>
  </si>
  <si>
    <t>VISC40 - LPI</t>
  </si>
  <si>
    <t>VISC40 - LCI</t>
  </si>
  <si>
    <t>AW% - LPI</t>
  </si>
  <si>
    <t>AW% - LCI</t>
  </si>
  <si>
    <t>ANTAPACCAY</t>
  </si>
  <si>
    <t>MOTOR DE TRACCION RH</t>
  </si>
  <si>
    <t>980E</t>
  </si>
  <si>
    <t>MOTOR DE TRACCION LH</t>
  </si>
  <si>
    <t>RUEDA DELANTERA RH</t>
  </si>
  <si>
    <t>RUEDA DELANTERA LH</t>
  </si>
  <si>
    <t>SISTEMA HIDRAULICO</t>
  </si>
  <si>
    <t>MOTOR</t>
  </si>
  <si>
    <t>TOROMOCHO</t>
  </si>
  <si>
    <t>CERRO VERDE</t>
  </si>
  <si>
    <t>ANTAMINA</t>
  </si>
  <si>
    <t>5SE</t>
  </si>
  <si>
    <t>PC1250</t>
  </si>
  <si>
    <t>11R</t>
  </si>
  <si>
    <t>PTO</t>
  </si>
  <si>
    <t>CAJA GIRO FRONT</t>
  </si>
  <si>
    <t>CAJA GIRO REAR</t>
  </si>
  <si>
    <t>MANDO FINAL LH</t>
  </si>
  <si>
    <t>MANDO FINAL RH</t>
  </si>
  <si>
    <t>D475A</t>
  </si>
  <si>
    <t>8R</t>
  </si>
  <si>
    <t>DAMPER</t>
  </si>
  <si>
    <t>TRANSMISION</t>
  </si>
  <si>
    <t>730E-</t>
  </si>
  <si>
    <t>OXI - LP (abs/0.1mm)</t>
  </si>
  <si>
    <t>OXI - LC (abs/0.1mm)</t>
  </si>
  <si>
    <t>NIT - LP (abs/cm)</t>
  </si>
  <si>
    <t>NIT - LC (abs/cm)</t>
  </si>
  <si>
    <t>PROYECTO</t>
  </si>
  <si>
    <t>LUBRICANTE</t>
  </si>
  <si>
    <t>LABORATORIO</t>
  </si>
  <si>
    <t>FECHA DE MUESTRA</t>
  </si>
  <si>
    <t>FIERRO</t>
  </si>
  <si>
    <t>ALUMINIO</t>
  </si>
  <si>
    <t>COBRE</t>
  </si>
  <si>
    <t>PLOMO</t>
  </si>
  <si>
    <t>ESTAÑO</t>
  </si>
  <si>
    <t>CROMO</t>
  </si>
  <si>
    <t>NIQUEL</t>
  </si>
  <si>
    <t>SILICIO</t>
  </si>
  <si>
    <t>SODIO</t>
  </si>
  <si>
    <t xml:space="preserve">POTASIO </t>
  </si>
  <si>
    <t>ZINC</t>
  </si>
  <si>
    <t>FOSFORO</t>
  </si>
  <si>
    <t>BORO</t>
  </si>
  <si>
    <t>BARIO</t>
  </si>
  <si>
    <t>CALCIO</t>
  </si>
  <si>
    <t>MAGNESIO</t>
  </si>
  <si>
    <t>MANGANESO</t>
  </si>
  <si>
    <t xml:space="preserve">CADMIO </t>
  </si>
  <si>
    <t>VANADIO</t>
  </si>
  <si>
    <t>MOLIBDENO</t>
  </si>
  <si>
    <t>LITIO</t>
  </si>
  <si>
    <t>PLATA</t>
  </si>
  <si>
    <t>TITANIO</t>
  </si>
  <si>
    <t>PQ</t>
  </si>
  <si>
    <t>VISC - 100°C</t>
  </si>
  <si>
    <t>VISC - 40°C</t>
  </si>
  <si>
    <t>OXI</t>
  </si>
  <si>
    <t>SULF</t>
  </si>
  <si>
    <t>NIT</t>
  </si>
  <si>
    <t>TBN</t>
  </si>
  <si>
    <t>TAN</t>
  </si>
  <si>
    <t>HOLLIN</t>
  </si>
  <si>
    <t>ISO 4um</t>
  </si>
  <si>
    <t>ISO 6um</t>
  </si>
  <si>
    <t>ISO 14um</t>
  </si>
  <si>
    <t>GLYCOL</t>
  </si>
  <si>
    <t>H20</t>
  </si>
  <si>
    <t>FUEL</t>
  </si>
  <si>
    <t>ANTIWEAR</t>
  </si>
  <si>
    <t>OBSERVACIONES</t>
  </si>
  <si>
    <t>CRUCE2</t>
  </si>
  <si>
    <t>SPIRAX S4 CX SAE 50</t>
  </si>
  <si>
    <t>MINA SMCV</t>
  </si>
  <si>
    <t/>
  </si>
  <si>
    <t>MOBILTRANS HD50</t>
  </si>
  <si>
    <t>MINA CMA</t>
  </si>
  <si>
    <t xml:space="preserve">ACEITE MINERAL PARA LA RUEDA MOTRIZ KOMATUS </t>
  </si>
  <si>
    <t>MOBILTRANS HD10W</t>
  </si>
  <si>
    <t xml:space="preserve">ACEITE MINERAL STT3 (SURTIDOR DE LA PUERTA 4) </t>
  </si>
  <si>
    <t xml:space="preserve">MOBIL DELVAC MX 15W40 </t>
  </si>
  <si>
    <t>MOBILTRANS HD60</t>
  </si>
  <si>
    <t xml:space="preserve">aceite mineral STT3 (Surtidor de la puerta 4) </t>
  </si>
  <si>
    <t>MOBIL SHC GEAR 680 OH</t>
  </si>
  <si>
    <t xml:space="preserve">MUESTRA DEL CILINDRO USADO EN EL CAMBIO DE ACEITE. </t>
  </si>
  <si>
    <t xml:space="preserve">Muestra cilindro N°1 </t>
  </si>
  <si>
    <t>MOBIL DELVAC 1 5W40</t>
  </si>
  <si>
    <t>MINA CMA-CONFI</t>
  </si>
  <si>
    <t>ANY-998/ C-1</t>
  </si>
  <si>
    <t>ANY-998/ C-2</t>
  </si>
  <si>
    <t>ANY-998/ C-3</t>
  </si>
  <si>
    <t xml:space="preserve">MUESTRA VIRGEN A LA SALIDA DE LA BOMBA DE LLENADO. (ANTES DE INGRESAR AL COMPONENTE). </t>
  </si>
  <si>
    <t xml:space="preserve">MUESTRA VIRGEN DEL CILINDRO </t>
  </si>
  <si>
    <t xml:space="preserve">MUESTRA EXTRAIDA A LA SALIDA DE LA BOMBA DE LLENADO DE ACEITE. (ANTES DE INGRESAR A LA BOCAMASA) </t>
  </si>
  <si>
    <t xml:space="preserve">MUESTRA EXTRAIDA DEL CILINDRO DE ACEITE. </t>
  </si>
  <si>
    <t xml:space="preserve">ACEITE MINERAL STC1 (SURTIDOR CERCANO AL INGRESO DEL TALLER) </t>
  </si>
  <si>
    <t xml:space="preserve">aceite mineral STC1 (surtidor cercano al ingreso del taller) </t>
  </si>
  <si>
    <t>TK -673 / B. N/
 PUNTO PISTOLA</t>
  </si>
  <si>
    <t>TK -06/ B. A / 
PUNTO PISTOLA</t>
  </si>
  <si>
    <t>ANZ-970 / C-1</t>
  </si>
  <si>
    <t>ANZ-970 / C-2</t>
  </si>
  <si>
    <t>ANZ-970 / C-3</t>
  </si>
  <si>
    <t>TK -673/ B. N/ PUNTO PISTOLA</t>
  </si>
  <si>
    <t>TK -674/ B. N/ PUNTO PISTOLA</t>
  </si>
  <si>
    <t>ANY-998 / C-1</t>
  </si>
  <si>
    <t>ANY-998 / C-2</t>
  </si>
  <si>
    <t>ANY-998 / C-3</t>
  </si>
  <si>
    <t>ANZ-970/ C-1</t>
  </si>
  <si>
    <t>ANZ-970/ C-2</t>
  </si>
  <si>
    <t>ANZ-970/ C-3</t>
  </si>
  <si>
    <t>TK -06 / B. A / PUNTO PISTOLA</t>
  </si>
  <si>
    <t>TK -05/ B. A / PUNTO PISTOLA</t>
  </si>
  <si>
    <t>ANZ-970/C:1</t>
  </si>
  <si>
    <t>ANZ-970/C:2</t>
  </si>
  <si>
    <t>ANZ-970/C:3</t>
  </si>
  <si>
    <t>TK 06/BAP. PISTOLA</t>
  </si>
  <si>
    <t>TK 674/BAP. PISTOLA</t>
  </si>
  <si>
    <t>TK -05/ B. A / 
PUNTO PISTOLA</t>
  </si>
  <si>
    <t>TK -674 / B. N / 
PUNTO PISTOLA</t>
  </si>
  <si>
    <t>TK01</t>
  </si>
  <si>
    <t>TK671</t>
  </si>
  <si>
    <t>TK 06/BA P PISTOLA</t>
  </si>
  <si>
    <t>TK673/ BN / P.PISTOLA</t>
  </si>
  <si>
    <t>TK674/ BN / P.PISTOLA</t>
  </si>
  <si>
    <t>MOBILTRANS HD30</t>
  </si>
  <si>
    <t>TK -01 / B. A / PUNTO PISTOLA</t>
  </si>
  <si>
    <t>TK -02 / B. A / PUNTO PISTOLA</t>
  </si>
  <si>
    <t>TK -5 / B. N/ PUNTO PISTOLA</t>
  </si>
  <si>
    <t>TK -672/ B. N/ PUNTO PISTOLA</t>
  </si>
  <si>
    <t>ANZ-970/C=1</t>
  </si>
  <si>
    <t>ANZ-970/C=2</t>
  </si>
  <si>
    <t>ANZ-970/C=3</t>
  </si>
  <si>
    <t>TK 02/B/A PPISTOLA</t>
  </si>
  <si>
    <t>TK 05/B/A PPISTOLA</t>
  </si>
  <si>
    <t>TK 674/B/A PPISTOLA</t>
  </si>
  <si>
    <t>ANY-998-C=1</t>
  </si>
  <si>
    <t>ANY-998-C=2</t>
  </si>
  <si>
    <t>ANY-998-C=3</t>
  </si>
  <si>
    <t>TK05/B.A P PISTOLA</t>
  </si>
  <si>
    <t>TK06/B.A P PISTOLA</t>
  </si>
  <si>
    <t xml:space="preserve">ACEITE VIRGEN DE UN CILINDRO NUEVO. </t>
  </si>
  <si>
    <t>TK -01/ B. A / PUNTO PISTOLA</t>
  </si>
  <si>
    <t>TK -2/ B. A/ PUNTO PISTOLA</t>
  </si>
  <si>
    <t>ANZ-970 c=1</t>
  </si>
  <si>
    <t>ANZ-970 c=2</t>
  </si>
  <si>
    <t>ANZ-970 c=3</t>
  </si>
  <si>
    <t>TK -1/ B. A/ PUNTO PISTOLA</t>
  </si>
  <si>
    <t>TK -671/ B. N/ PUNTO PISTOLA</t>
  </si>
  <si>
    <t>TK02-BA-PUNTA PISTOLA</t>
  </si>
  <si>
    <t>TK05-BA-PUNTA PISTOLA</t>
  </si>
  <si>
    <t>TK 674-BA-PUNTA PISTOLA</t>
  </si>
  <si>
    <t xml:space="preserve">ACEITE MINERAL SURTIDOR DEL TALLER CAMIONES </t>
  </si>
  <si>
    <t xml:space="preserve"> </t>
  </si>
  <si>
    <t>TK -673 / B. N/ PUNTO PISTOLA</t>
  </si>
  <si>
    <t>TK-674/B.N</t>
  </si>
  <si>
    <t xml:space="preserve">MUESTRA DEL CAMION LUBRICADOR DEL TALLER  CAMIONES 1136 </t>
  </si>
  <si>
    <t>CUAJONE</t>
  </si>
  <si>
    <t>MINA SCC</t>
  </si>
  <si>
    <t>MINA MCP SGS-SKF</t>
  </si>
  <si>
    <t>ANY-998 / C=1</t>
  </si>
  <si>
    <t>ANY-998 / C=2</t>
  </si>
  <si>
    <t>ANY-998 / C=3</t>
  </si>
  <si>
    <t>TK -02/ B. A / 
PUNTO PISTOLA</t>
  </si>
  <si>
    <t>TK -01/ B. A / 
PUNTO PISTOLA</t>
  </si>
  <si>
    <t>TK -672 / B. N/
 PUNTO PISTOLA</t>
  </si>
  <si>
    <t>ANZ-971/ C-1</t>
  </si>
  <si>
    <t>ANZ-971/ C-2</t>
  </si>
  <si>
    <t>ANZ-971/ C-3</t>
  </si>
  <si>
    <t xml:space="preserve">MUESTRA DEL CILINDRO CONTAMINADO. </t>
  </si>
  <si>
    <t>SPIRAX S4 CX SAE 10W</t>
  </si>
  <si>
    <t>SHELL RIMULA R5 LE SAE 10W40</t>
  </si>
  <si>
    <t>MOBIL SHC GEAR 680</t>
  </si>
  <si>
    <t>EXT SGS</t>
  </si>
  <si>
    <t>ANALIZADO EN SGS</t>
  </si>
  <si>
    <t xml:space="preserve">CILINDRO2 </t>
  </si>
  <si>
    <t>ANZ-972 / C-1</t>
  </si>
  <si>
    <t>ANZ-972 / C-2</t>
  </si>
  <si>
    <t>ANZ-972 / C-3</t>
  </si>
  <si>
    <t>TK -02/ B. A/ PUNTO PISTOLA</t>
  </si>
  <si>
    <t>F64-984/C-1</t>
  </si>
  <si>
    <t>F64-984/C-2</t>
  </si>
  <si>
    <t>F64-984/C-3</t>
  </si>
  <si>
    <t xml:space="preserve">CILINDRO1 </t>
  </si>
  <si>
    <t>F64-984/C-4</t>
  </si>
  <si>
    <t>TK -673 / B. N / 
PUNTO PISTOLA</t>
  </si>
  <si>
    <t>TK -671 / B. N/
 PUNTO PISTOLA</t>
  </si>
  <si>
    <t>MOBILTRANS HD 10W</t>
  </si>
  <si>
    <t>MOBILTRANS HD 50</t>
  </si>
  <si>
    <t>MOBIL DELVAC MODERN 15W40 - ED</t>
  </si>
  <si>
    <t>MUESTRA SURTIDOR MTRH 302</t>
  </si>
  <si>
    <t>MUESTRA SURTIDOR MTLH 302</t>
  </si>
  <si>
    <t>SHELL RIMULA R4 X 15W-40</t>
  </si>
  <si>
    <t>15.56</t>
  </si>
  <si>
    <t>0.2</t>
  </si>
  <si>
    <t>0.0</t>
  </si>
  <si>
    <t>0.3</t>
  </si>
  <si>
    <t>24.5</t>
  </si>
  <si>
    <t>4.6</t>
  </si>
  <si>
    <t>510.9</t>
  </si>
  <si>
    <t>8.1</t>
  </si>
  <si>
    <t>1.2</t>
  </si>
  <si>
    <t>78.21</t>
  </si>
  <si>
    <t>0.1</t>
  </si>
  <si>
    <t>26.0</t>
  </si>
  <si>
    <t>6.7</t>
  </si>
  <si>
    <t>533.6</t>
  </si>
  <si>
    <t>77.41</t>
  </si>
  <si>
    <t>PARAMETRO</t>
  </si>
  <si>
    <t>LPI</t>
  </si>
  <si>
    <t>LCI</t>
  </si>
  <si>
    <t>LPS</t>
  </si>
  <si>
    <t>LCS</t>
  </si>
  <si>
    <t>SORTER</t>
  </si>
  <si>
    <t>V100</t>
  </si>
  <si>
    <t>Fe_ppm</t>
  </si>
  <si>
    <t>Al_ppm</t>
  </si>
  <si>
    <t>Cu_ppm</t>
  </si>
  <si>
    <t>Pb_ppm</t>
  </si>
  <si>
    <t>Sn_ppm</t>
  </si>
  <si>
    <t>Cr_ppm</t>
  </si>
  <si>
    <t>Ni_ppm</t>
  </si>
  <si>
    <t>Si_ppm</t>
  </si>
  <si>
    <t>Na_ppm</t>
  </si>
  <si>
    <t>K_ppm</t>
  </si>
  <si>
    <t>Zn_ppm</t>
  </si>
  <si>
    <t>P_ppm</t>
  </si>
  <si>
    <t>B_ppm</t>
  </si>
  <si>
    <t>Ba_ppm</t>
  </si>
  <si>
    <t>Ca_ppm</t>
  </si>
  <si>
    <t>Mg_ppm</t>
  </si>
  <si>
    <t>Cd_ppm</t>
  </si>
  <si>
    <t>V_ppm</t>
  </si>
  <si>
    <t>Indice_PQ</t>
  </si>
  <si>
    <t>Oxidacion</t>
  </si>
  <si>
    <t>Sulfatacion</t>
  </si>
  <si>
    <t>Nitracion</t>
  </si>
  <si>
    <t>Hollin</t>
  </si>
  <si>
    <t>Mo_ppm</t>
  </si>
  <si>
    <t>Iso4406_4</t>
  </si>
  <si>
    <t>Iso4406_6</t>
  </si>
  <si>
    <t>Iso4406_14</t>
  </si>
  <si>
    <t>Agua</t>
  </si>
  <si>
    <t>Diesel</t>
  </si>
  <si>
    <t>Ag_ppm</t>
  </si>
  <si>
    <t>Ti_ppm</t>
  </si>
  <si>
    <t>Mn_ppm</t>
  </si>
  <si>
    <t>ACEITE</t>
  </si>
  <si>
    <t>FECHA</t>
  </si>
  <si>
    <t>AGUA</t>
  </si>
  <si>
    <t>VISCOSIDAD</t>
  </si>
  <si>
    <t>FTIR</t>
  </si>
  <si>
    <t>ANÁLISIS DE METALES</t>
  </si>
  <si>
    <t>CONTADOR DE PARTÍCULAS (CP)</t>
  </si>
  <si>
    <t>OBS</t>
  </si>
  <si>
    <t>REALIZADO POR:</t>
  </si>
  <si>
    <t>BN</t>
  </si>
  <si>
    <r>
      <t>H</t>
    </r>
    <r>
      <rPr>
        <b/>
        <sz val="8"/>
        <color rgb="FF000000"/>
        <rFont val="Calibri"/>
        <family val="2"/>
        <scheme val="minor"/>
      </rPr>
      <t>2</t>
    </r>
    <r>
      <rPr>
        <b/>
        <sz val="14"/>
        <color rgb="FF000000"/>
        <rFont val="Calibri"/>
        <family val="2"/>
        <scheme val="minor"/>
      </rPr>
      <t>O</t>
    </r>
  </si>
  <si>
    <t>100 °C (cSt)</t>
  </si>
  <si>
    <t>Soot</t>
  </si>
  <si>
    <t>Oxidación</t>
  </si>
  <si>
    <t>nitracion</t>
  </si>
  <si>
    <t>Sulfatación</t>
  </si>
  <si>
    <t>Glicol(%)</t>
  </si>
  <si>
    <t>Agua(%)</t>
  </si>
  <si>
    <t>Fe</t>
  </si>
  <si>
    <t>Cr</t>
  </si>
  <si>
    <t>Pb</t>
  </si>
  <si>
    <t>Cu</t>
  </si>
  <si>
    <t>Sn</t>
  </si>
  <si>
    <t>Al</t>
  </si>
  <si>
    <t>Ni</t>
  </si>
  <si>
    <t>Ag</t>
  </si>
  <si>
    <t>Si</t>
  </si>
  <si>
    <t>B</t>
  </si>
  <si>
    <t>Na</t>
  </si>
  <si>
    <t>Mg</t>
  </si>
  <si>
    <t>Ca</t>
  </si>
  <si>
    <t>Ba</t>
  </si>
  <si>
    <t>P</t>
  </si>
  <si>
    <t>Zn</t>
  </si>
  <si>
    <t>Mo</t>
  </si>
  <si>
    <t>Ti</t>
  </si>
  <si>
    <t>V</t>
  </si>
  <si>
    <t>Mn</t>
  </si>
  <si>
    <t>Cd</t>
  </si>
  <si>
    <t>K</t>
  </si>
  <si>
    <t>ISO</t>
  </si>
  <si>
    <t>4µ</t>
  </si>
  <si>
    <t>6µ</t>
  </si>
  <si>
    <t>10µ</t>
  </si>
  <si>
    <t>14µ</t>
  </si>
  <si>
    <t>21µ</t>
  </si>
  <si>
    <t>38µ</t>
  </si>
  <si>
    <t>70µ</t>
  </si>
  <si>
    <t>18/16/11</t>
  </si>
  <si>
    <t>18/17/11</t>
  </si>
  <si>
    <t>MOBILGEAR SHC 680 OH</t>
  </si>
  <si>
    <t>Mobil Delvac 1 5W40</t>
  </si>
  <si>
    <t>MOBILGEAR SHC 680</t>
  </si>
  <si>
    <t>Negativo</t>
  </si>
  <si>
    <t>21/18/15</t>
  </si>
  <si>
    <t>24/23/15</t>
  </si>
  <si>
    <t>MOBIL DELVAC MODERN 15W40 - EXTREME DEFENSE</t>
  </si>
  <si>
    <t>Critico Superior</t>
  </si>
  <si>
    <t>Precaucion Superior</t>
  </si>
  <si>
    <t xml:space="preserve"> Linea Base</t>
  </si>
  <si>
    <t>Precaucion Inferior</t>
  </si>
  <si>
    <t>Hidraulico</t>
  </si>
  <si>
    <t>Critico Inferior</t>
  </si>
  <si>
    <t>Ruedas Delanteras</t>
  </si>
  <si>
    <t>MT</t>
  </si>
  <si>
    <t>Motor Diesel</t>
  </si>
  <si>
    <t>MOBIL SHC GEAR 680OH</t>
  </si>
  <si>
    <t>Parametro</t>
  </si>
  <si>
    <t>Linea Base (24/10/2021)</t>
  </si>
  <si>
    <t>Linea Base (02/12/2021)</t>
  </si>
  <si>
    <t>Linea Base (26/02/2022)</t>
  </si>
  <si>
    <t>Viscosidad a 100 °C (cSt)</t>
  </si>
  <si>
    <t>Silicio (mg/Kg)</t>
  </si>
  <si>
    <t>Boro (mg/Kg)</t>
  </si>
  <si>
    <t>Fosforo (mg/Kg)</t>
  </si>
  <si>
    <t>Spirax S4 CX SAE 50</t>
  </si>
  <si>
    <t>Linea Base(09/01/2022)</t>
  </si>
  <si>
    <t>Linea Base (22/11/2020)</t>
  </si>
  <si>
    <t>Sodio (mg/Kg)</t>
  </si>
  <si>
    <t>Magnesio (mg/Kg)</t>
  </si>
  <si>
    <t>Potasio (mg/Kg)</t>
  </si>
  <si>
    <t>Calcio (mg/Kg)</t>
  </si>
  <si>
    <t>Zinc (mg/Kg)</t>
  </si>
  <si>
    <t>Linea Base (27/11/2021)</t>
  </si>
  <si>
    <t>Spirax S4 CX SAE 10W</t>
  </si>
  <si>
    <t>Linea Base (07/02/2022)</t>
  </si>
  <si>
    <t>Aluminio (mg/Kg)</t>
  </si>
  <si>
    <t>Campo</t>
  </si>
  <si>
    <t>T237582</t>
  </si>
  <si>
    <t>T232813</t>
  </si>
  <si>
    <t>T229972</t>
  </si>
  <si>
    <t>T229419</t>
  </si>
  <si>
    <t>T229075</t>
  </si>
  <si>
    <t>T229028</t>
  </si>
  <si>
    <t>T227839</t>
  </si>
  <si>
    <t>T220491</t>
  </si>
  <si>
    <t>T220278</t>
  </si>
  <si>
    <t>T218593</t>
  </si>
  <si>
    <t>T217104</t>
  </si>
  <si>
    <t>T207251</t>
  </si>
  <si>
    <t>T204178</t>
  </si>
  <si>
    <t>T202564</t>
  </si>
  <si>
    <t>T202495</t>
  </si>
  <si>
    <t>T202135</t>
  </si>
  <si>
    <t>T202069</t>
  </si>
  <si>
    <t>T195117</t>
  </si>
  <si>
    <t>T194861</t>
  </si>
  <si>
    <t>T194860</t>
  </si>
  <si>
    <t>T191224</t>
  </si>
  <si>
    <t>T209462</t>
  </si>
  <si>
    <t>T207923</t>
  </si>
  <si>
    <t>T207219</t>
  </si>
  <si>
    <t>T194960</t>
  </si>
  <si>
    <t>T188594</t>
  </si>
  <si>
    <t>T218592</t>
  </si>
  <si>
    <t>T212046</t>
  </si>
  <si>
    <t>T204177</t>
  </si>
  <si>
    <t>T194839</t>
  </si>
  <si>
    <t>T194838</t>
  </si>
  <si>
    <t>T188551</t>
  </si>
  <si>
    <t>T228095</t>
  </si>
  <si>
    <t>T218591</t>
  </si>
  <si>
    <t>T208947</t>
  </si>
  <si>
    <t>T207922</t>
  </si>
  <si>
    <t>T195116</t>
  </si>
  <si>
    <t>T194963</t>
  </si>
  <si>
    <t>T188593</t>
  </si>
  <si>
    <t>Tipo</t>
  </si>
  <si>
    <t>T237542</t>
  </si>
  <si>
    <t>T235426</t>
  </si>
  <si>
    <t>T233619</t>
  </si>
  <si>
    <t>T207925</t>
  </si>
  <si>
    <t>T194962</t>
  </si>
  <si>
    <t>T192985</t>
  </si>
  <si>
    <t>T192984</t>
  </si>
  <si>
    <t>T192983</t>
  </si>
  <si>
    <t>T188596</t>
  </si>
  <si>
    <t>Fecha de muestreo</t>
  </si>
  <si>
    <t>11/03/2023</t>
  </si>
  <si>
    <t>16/12/2022</t>
  </si>
  <si>
    <t>30/10/2022</t>
  </si>
  <si>
    <t>21/10/2022</t>
  </si>
  <si>
    <t>16/10/2022</t>
  </si>
  <si>
    <t>15/10/2022</t>
  </si>
  <si>
    <t>25/09/2022</t>
  </si>
  <si>
    <t>26/05/2022</t>
  </si>
  <si>
    <t>23/05/2022</t>
  </si>
  <si>
    <t>01/09/2021</t>
  </si>
  <si>
    <t>02/08/2021</t>
  </si>
  <si>
    <t>01/08/2021</t>
  </si>
  <si>
    <t>24/07/2021</t>
  </si>
  <si>
    <t>23/07/2021</t>
  </si>
  <si>
    <t>02/03/2021</t>
  </si>
  <si>
    <t>25/02/2021</t>
  </si>
  <si>
    <t>09/12/2020</t>
  </si>
  <si>
    <t>04/11/2021</t>
  </si>
  <si>
    <t>24/10/2021</t>
  </si>
  <si>
    <t>27/02/2021</t>
  </si>
  <si>
    <t>15/10/2020</t>
  </si>
  <si>
    <t>14/10/2020</t>
  </si>
  <si>
    <t>30/09/2022</t>
  </si>
  <si>
    <t>26/04/2022</t>
  </si>
  <si>
    <t>20/11/2021</t>
  </si>
  <si>
    <t>CABECERA</t>
  </si>
  <si>
    <t>03/02/2023</t>
  </si>
  <si>
    <t>29/12/2022</t>
  </si>
  <si>
    <t>16/01/2021</t>
  </si>
  <si>
    <t>Posicion de PM</t>
  </si>
  <si>
    <t xml:space="preserve">MONI </t>
  </si>
  <si>
    <t>Tipo de Muestra</t>
  </si>
  <si>
    <t>N</t>
  </si>
  <si>
    <t>Producto Usado</t>
  </si>
  <si>
    <t xml:space="preserve">M-DELVAC MX 15W40 </t>
  </si>
  <si>
    <t>Viscosidad a 100 °C (mm2/s)</t>
  </si>
  <si>
    <t>79.8093</t>
  </si>
  <si>
    <t>80.73</t>
  </si>
  <si>
    <t>81.22</t>
  </si>
  <si>
    <t>79.72</t>
  </si>
  <si>
    <t>78.52</t>
  </si>
  <si>
    <t>63.78</t>
  </si>
  <si>
    <t>Horas del aceite</t>
  </si>
  <si>
    <t>0</t>
  </si>
  <si>
    <t>FISICO QUIMICOS SALUD</t>
  </si>
  <si>
    <t>25.1</t>
  </si>
  <si>
    <t>25.42</t>
  </si>
  <si>
    <t>25.46</t>
  </si>
  <si>
    <t>25.3</t>
  </si>
  <si>
    <t>25.58</t>
  </si>
  <si>
    <t>25.23</t>
  </si>
  <si>
    <t>24.42</t>
  </si>
  <si>
    <t>Viscosidad a 40 °C (mm2/s)</t>
  </si>
  <si>
    <t>Fierro (mg/Kg)</t>
  </si>
  <si>
    <t>Horometro del Equipo</t>
  </si>
  <si>
    <t>344.1</t>
  </si>
  <si>
    <t>1</t>
  </si>
  <si>
    <t>Cromo (mg/Kg)</t>
  </si>
  <si>
    <t>ESPECTROMETRICO DESGASTE</t>
  </si>
  <si>
    <t>2</t>
  </si>
  <si>
    <t>Plomo (mg/Kg)</t>
  </si>
  <si>
    <t>15.64</t>
  </si>
  <si>
    <t>Cobre (mg/Kg)</t>
  </si>
  <si>
    <t>INFRARROJO SALUD</t>
  </si>
  <si>
    <t>TBN (mg KOH/g)</t>
  </si>
  <si>
    <t>10.6</t>
  </si>
  <si>
    <t>Estaño (mg/Kg)</t>
  </si>
  <si>
    <t>TAN (mg KOH/g)</t>
  </si>
  <si>
    <t>Oxidación (abs/0,1mm)</t>
  </si>
  <si>
    <t>Niquel (mg/Kg)</t>
  </si>
  <si>
    <t>Nitración (abs/cm)</t>
  </si>
  <si>
    <t>Titanio (mg/Kg)</t>
  </si>
  <si>
    <t>Sulfatación (abs/0,1mm)</t>
  </si>
  <si>
    <t>Cadmio (mg/Kg)</t>
  </si>
  <si>
    <t>AW Additive (%)</t>
  </si>
  <si>
    <t>95</t>
  </si>
  <si>
    <t>INFRARROJO CONTAMINANTES</t>
  </si>
  <si>
    <t>Hollin (%Wt)</t>
  </si>
  <si>
    <t xml:space="preserve">GLYCOL (%Wt) </t>
  </si>
  <si>
    <t>ESPECTROMETRICO CONTAMINANTES</t>
  </si>
  <si>
    <t>26</t>
  </si>
  <si>
    <t>36</t>
  </si>
  <si>
    <t>23</t>
  </si>
  <si>
    <t>27</t>
  </si>
  <si>
    <t>24</t>
  </si>
  <si>
    <t>22</t>
  </si>
  <si>
    <t>21</t>
  </si>
  <si>
    <t>8</t>
  </si>
  <si>
    <t>Diesel (%Wt)</t>
  </si>
  <si>
    <t>13</t>
  </si>
  <si>
    <t>9</t>
  </si>
  <si>
    <t>Agua (mg/Kg)</t>
  </si>
  <si>
    <t>46</t>
  </si>
  <si>
    <t>45</t>
  </si>
  <si>
    <t>Molibdeno (mg/Kg)</t>
  </si>
  <si>
    <t>4</t>
  </si>
  <si>
    <t>Litio (mg/Kg)</t>
  </si>
  <si>
    <t>44</t>
  </si>
  <si>
    <t>981</t>
  </si>
  <si>
    <t>ESPECTROMETRICO SALUD</t>
  </si>
  <si>
    <t>17</t>
  </si>
  <si>
    <t>16</t>
  </si>
  <si>
    <t>1139</t>
  </si>
  <si>
    <t>Vanadio (mg/Kg)</t>
  </si>
  <si>
    <t>1755</t>
  </si>
  <si>
    <t>Bario (mg/Kg)</t>
  </si>
  <si>
    <t>415</t>
  </si>
  <si>
    <t>332</t>
  </si>
  <si>
    <t>693</t>
  </si>
  <si>
    <t>356</t>
  </si>
  <si>
    <t>394</t>
  </si>
  <si>
    <t>406</t>
  </si>
  <si>
    <t>476</t>
  </si>
  <si>
    <t>840</t>
  </si>
  <si>
    <t>584</t>
  </si>
  <si>
    <t>822</t>
  </si>
  <si>
    <t>Manganeso (mg/Kg)</t>
  </si>
  <si>
    <t>938</t>
  </si>
  <si>
    <t>395</t>
  </si>
  <si>
    <t>907</t>
  </si>
  <si>
    <t>851</t>
  </si>
  <si>
    <t>83</t>
  </si>
  <si>
    <t>92</t>
  </si>
  <si>
    <t>89</t>
  </si>
  <si>
    <t>863</t>
  </si>
  <si>
    <t>ISO 4406 &gt;  4 um</t>
  </si>
  <si>
    <t>20</t>
  </si>
  <si>
    <t>19</t>
  </si>
  <si>
    <t>ISO 4406 &gt;  6 um</t>
  </si>
  <si>
    <t>15</t>
  </si>
  <si>
    <t>CONTADOR DE PARTICULAS DESGASTE</t>
  </si>
  <si>
    <t>18</t>
  </si>
  <si>
    <t>ISO 4406 &gt; 14 um</t>
  </si>
  <si>
    <t>268</t>
  </si>
  <si>
    <t>265</t>
  </si>
  <si>
    <t>11</t>
  </si>
  <si>
    <t>12</t>
  </si>
  <si>
    <t>4 um ( c/ml )</t>
  </si>
  <si>
    <t>3</t>
  </si>
  <si>
    <t>85150</t>
  </si>
  <si>
    <t>51891</t>
  </si>
  <si>
    <t>7651</t>
  </si>
  <si>
    <t>3526</t>
  </si>
  <si>
    <t>38971</t>
  </si>
  <si>
    <t>109015</t>
  </si>
  <si>
    <t>12488</t>
  </si>
  <si>
    <t>6 um ( c/ml )</t>
  </si>
  <si>
    <t>16581</t>
  </si>
  <si>
    <t>28</t>
  </si>
  <si>
    <t>38</t>
  </si>
  <si>
    <t>27066</t>
  </si>
  <si>
    <t>13813</t>
  </si>
  <si>
    <t>10149</t>
  </si>
  <si>
    <t>22219</t>
  </si>
  <si>
    <t>14399</t>
  </si>
  <si>
    <t>1508</t>
  </si>
  <si>
    <t>1034</t>
  </si>
  <si>
    <t>11359</t>
  </si>
  <si>
    <t>43363</t>
  </si>
  <si>
    <t>1623</t>
  </si>
  <si>
    <t>14 um ( c/ml )</t>
  </si>
  <si>
    <t>5368</t>
  </si>
  <si>
    <t>2278</t>
  </si>
  <si>
    <t>2409</t>
  </si>
  <si>
    <t>2206</t>
  </si>
  <si>
    <t>939</t>
  </si>
  <si>
    <t>742</t>
  </si>
  <si>
    <t>237</t>
  </si>
  <si>
    <t>280</t>
  </si>
  <si>
    <t>37</t>
  </si>
  <si>
    <t>500</t>
  </si>
  <si>
    <t>1248</t>
  </si>
  <si>
    <t xml:space="preserve">0 </t>
  </si>
  <si>
    <t>Observaciones</t>
  </si>
  <si>
    <t xml:space="preserve">Muestra del camion Lubricador del taller  Camiones 1136 </t>
  </si>
  <si>
    <t xml:space="preserve">aceite mineral surtidor del taller camiones </t>
  </si>
  <si>
    <t>47</t>
  </si>
  <si>
    <t>1276</t>
  </si>
  <si>
    <t>1368</t>
  </si>
  <si>
    <t>CILINDRO1 - Muestra observada - Mal analisis</t>
  </si>
  <si>
    <t xml:space="preserve">aceite virgen de un cilindro nuevo. </t>
  </si>
  <si>
    <t xml:space="preserve">Muestra del cilindro usado en el cambio de aceite. </t>
  </si>
  <si>
    <t xml:space="preserve">muestra virgen a la salida de la bomba de llenado. (Antes de ingresar al componente). </t>
  </si>
  <si>
    <t xml:space="preserve">Muestra virgen del cilindro </t>
  </si>
  <si>
    <t xml:space="preserve">Muestra del cilindro contaminado. </t>
  </si>
  <si>
    <t xml:space="preserve">muestra extraida a la salida de la bomba de llenado de aceite. (antes de ingresar a la bocamasa) </t>
  </si>
  <si>
    <t xml:space="preserve">muestra extraida del cilindro de aceite. </t>
  </si>
  <si>
    <t xml:space="preserve">aceite mineral para la RUEDA MOTRIZ KOMATUS </t>
  </si>
  <si>
    <t>807</t>
  </si>
  <si>
    <t>847</t>
  </si>
  <si>
    <t>COMPLEMENTARIOS</t>
  </si>
  <si>
    <t>CODIGO</t>
  </si>
  <si>
    <t>OIL</t>
  </si>
  <si>
    <t>Crackle</t>
  </si>
  <si>
    <t>40C</t>
  </si>
  <si>
    <t>100C</t>
  </si>
  <si>
    <t>ISO4</t>
  </si>
  <si>
    <t>ISO6</t>
  </si>
  <si>
    <t>ISO14</t>
  </si>
  <si>
    <t>Water</t>
  </si>
  <si>
    <t>Glycol</t>
  </si>
  <si>
    <t>OX</t>
  </si>
  <si>
    <t>AW</t>
  </si>
  <si>
    <t>SUL</t>
  </si>
  <si>
    <t xml:space="preserve">DE22022786 </t>
  </si>
  <si>
    <t>Compartimiento 3</t>
  </si>
  <si>
    <t>No</t>
  </si>
  <si>
    <t>DE22012268</t>
  </si>
  <si>
    <t>01/31/2022</t>
  </si>
  <si>
    <t>DE22012267</t>
  </si>
  <si>
    <t>Compartimiento 1</t>
  </si>
  <si>
    <t>DE22011672</t>
  </si>
  <si>
    <t xml:space="preserve">01/24/2022 </t>
  </si>
  <si>
    <t>Fuel%</t>
  </si>
  <si>
    <t>DE22022789</t>
  </si>
  <si>
    <t>Rimula R5 LE SAE 10W40</t>
  </si>
  <si>
    <t>DE22022787</t>
  </si>
  <si>
    <t>DE22012271</t>
  </si>
  <si>
    <t>DE22012269</t>
  </si>
  <si>
    <t>DE20116282</t>
  </si>
  <si>
    <t>11/22/2020</t>
  </si>
  <si>
    <t>DE20103785</t>
  </si>
  <si>
    <t>10/22/2020</t>
  </si>
  <si>
    <t>DE20098534</t>
  </si>
  <si>
    <t>Compartimiento 2</t>
  </si>
  <si>
    <t>DE20086464</t>
  </si>
  <si>
    <t>08/13/2020</t>
  </si>
  <si>
    <t>VISC. (100°C)</t>
  </si>
  <si>
    <t>VISC. (40°C)</t>
  </si>
  <si>
    <t>Ox</t>
  </si>
  <si>
    <t>Nit</t>
  </si>
  <si>
    <t>Sulf</t>
  </si>
  <si>
    <t>DF</t>
  </si>
  <si>
    <t>Mobil Shc 680</t>
  </si>
  <si>
    <t>SHC 680</t>
  </si>
  <si>
    <t>N°   LAB</t>
  </si>
  <si>
    <t>FECHA DE MUESTREO</t>
  </si>
  <si>
    <t>CISTERNA-COMPARTIMIENTO / TANQUE</t>
  </si>
  <si>
    <t xml:space="preserve"> LUBRICANTE</t>
  </si>
  <si>
    <t>Viscosidad a 100°C</t>
  </si>
  <si>
    <t>OXIDACION</t>
  </si>
  <si>
    <t>Código ISO 4406</t>
  </si>
  <si>
    <r>
      <t xml:space="preserve"> 4</t>
    </r>
    <r>
      <rPr>
        <sz val="13"/>
        <rFont val="Symbol"/>
        <family val="1"/>
        <charset val="2"/>
      </rPr>
      <t xml:space="preserve">m </t>
    </r>
    <r>
      <rPr>
        <sz val="13"/>
        <rFont val="Arial"/>
        <family val="2"/>
      </rPr>
      <t>m</t>
    </r>
  </si>
  <si>
    <r>
      <t xml:space="preserve"> 6</t>
    </r>
    <r>
      <rPr>
        <sz val="13"/>
        <rFont val="Symbol"/>
        <family val="1"/>
        <charset val="2"/>
      </rPr>
      <t xml:space="preserve">m </t>
    </r>
    <r>
      <rPr>
        <sz val="13"/>
        <rFont val="Arial"/>
        <family val="2"/>
      </rPr>
      <t>m</t>
    </r>
  </si>
  <si>
    <r>
      <t xml:space="preserve"> 14</t>
    </r>
    <r>
      <rPr>
        <sz val="13"/>
        <rFont val="Symbol"/>
        <family val="1"/>
        <charset val="2"/>
      </rPr>
      <t xml:space="preserve">m </t>
    </r>
    <r>
      <rPr>
        <sz val="13"/>
        <rFont val="Arial"/>
        <family val="2"/>
      </rPr>
      <t>m</t>
    </r>
  </si>
  <si>
    <r>
      <t xml:space="preserve"> 38</t>
    </r>
    <r>
      <rPr>
        <sz val="13"/>
        <rFont val="Symbol"/>
        <family val="1"/>
        <charset val="2"/>
      </rPr>
      <t xml:space="preserve">m </t>
    </r>
    <r>
      <rPr>
        <sz val="13"/>
        <rFont val="Arial"/>
        <family val="2"/>
      </rPr>
      <t>m</t>
    </r>
  </si>
  <si>
    <r>
      <t xml:space="preserve"> 70</t>
    </r>
    <r>
      <rPr>
        <sz val="13"/>
        <rFont val="Symbol"/>
        <family val="1"/>
        <charset val="2"/>
      </rPr>
      <t xml:space="preserve">m </t>
    </r>
    <r>
      <rPr>
        <sz val="13"/>
        <rFont val="Arial"/>
        <family val="2"/>
      </rPr>
      <t>m</t>
    </r>
  </si>
  <si>
    <t>Elemento</t>
  </si>
  <si>
    <t>Precaución</t>
  </si>
  <si>
    <t>Crítico</t>
  </si>
  <si>
    <t>Unidad</t>
  </si>
  <si>
    <t>DELVAC</t>
  </si>
  <si>
    <t>23/22/16</t>
  </si>
  <si>
    <t>Hierro</t>
  </si>
  <si>
    <t>ppm</t>
  </si>
  <si>
    <t>23/22/15</t>
  </si>
  <si>
    <t>Cobre</t>
  </si>
  <si>
    <t>Aluminio</t>
  </si>
  <si>
    <t>24/22/14</t>
  </si>
  <si>
    <t>Silicio</t>
  </si>
  <si>
    <t>23/22/14</t>
  </si>
  <si>
    <t>Plomo</t>
  </si>
  <si>
    <t>HD10</t>
  </si>
  <si>
    <t>19/17/11</t>
  </si>
  <si>
    <t>Cromo</t>
  </si>
  <si>
    <t>DELVAC1</t>
  </si>
  <si>
    <t>Potasio</t>
  </si>
  <si>
    <t>19/18/13</t>
  </si>
  <si>
    <t>Sodio</t>
  </si>
  <si>
    <t>23/22/13</t>
  </si>
  <si>
    <t>Viscosidad alta a 100 Cº</t>
  </si>
  <si>
    <t>cSt</t>
  </si>
  <si>
    <t>19/17/12</t>
  </si>
  <si>
    <t>Viscosidad baja a 100 Cº</t>
  </si>
  <si>
    <t>mg KOH/g</t>
  </si>
  <si>
    <t>HD10W</t>
  </si>
  <si>
    <t>abs/cm</t>
  </si>
  <si>
    <t>HD30</t>
  </si>
  <si>
    <t>19/18/12</t>
  </si>
  <si>
    <t>19/16/9</t>
  </si>
  <si>
    <t>Nitración</t>
  </si>
  <si>
    <t>Hollín</t>
  </si>
  <si>
    <t>20/19/12</t>
  </si>
  <si>
    <t>Índice PQ</t>
  </si>
  <si>
    <t>Adimensional</t>
  </si>
  <si>
    <t>19/17/13</t>
  </si>
  <si>
    <t>18/16/12</t>
  </si>
  <si>
    <t>20/18/12</t>
  </si>
  <si>
    <t>HD 10 W</t>
  </si>
  <si>
    <t>20/18/13</t>
  </si>
  <si>
    <t>24/22/15</t>
  </si>
  <si>
    <t>HD 60</t>
  </si>
  <si>
    <t>21/19/14</t>
  </si>
  <si>
    <t>24/22/13</t>
  </si>
  <si>
    <t>20/18/11</t>
  </si>
  <si>
    <t>20/19/14</t>
  </si>
  <si>
    <t>21/21/16</t>
  </si>
  <si>
    <t>19/16/12</t>
  </si>
  <si>
    <t>21/18/14</t>
  </si>
  <si>
    <t>HD60</t>
  </si>
  <si>
    <t>21/19/15</t>
  </si>
  <si>
    <t xml:space="preserve">HD 30 </t>
  </si>
  <si>
    <t>19/16/8</t>
  </si>
  <si>
    <t>20/18/14</t>
  </si>
  <si>
    <t>23/21/15</t>
  </si>
  <si>
    <t>19/16/11</t>
  </si>
  <si>
    <t>24/22/16</t>
  </si>
  <si>
    <t>23/22/19</t>
  </si>
  <si>
    <t>17/16/8</t>
  </si>
  <si>
    <t>23/21/13</t>
  </si>
  <si>
    <t>18/17/12</t>
  </si>
  <si>
    <t>17/15/13</t>
  </si>
  <si>
    <t>28/26/20</t>
  </si>
  <si>
    <t>19/18/11</t>
  </si>
  <si>
    <t>18/16/9</t>
  </si>
  <si>
    <t>19/17/14</t>
  </si>
  <si>
    <t>25/23/17</t>
  </si>
  <si>
    <t>18/16/8</t>
  </si>
  <si>
    <t>20/17/13</t>
  </si>
  <si>
    <t>21/21/20</t>
  </si>
  <si>
    <t>18/16/13</t>
  </si>
  <si>
    <t>16/13/10</t>
  </si>
  <si>
    <t>22/21/18</t>
  </si>
  <si>
    <t>21/18/11</t>
  </si>
  <si>
    <t>SHC680</t>
  </si>
  <si>
    <t>20/20/17</t>
  </si>
  <si>
    <t>19/17/8</t>
  </si>
  <si>
    <t>24/23/17</t>
  </si>
  <si>
    <t>18/15/13</t>
  </si>
  <si>
    <t>20/18/10</t>
  </si>
  <si>
    <t>21/19/16</t>
  </si>
  <si>
    <t>19/17/10</t>
  </si>
  <si>
    <t>21/20/14</t>
  </si>
  <si>
    <t>23/23/22</t>
  </si>
  <si>
    <t>23/21/16</t>
  </si>
  <si>
    <t>21/20/18</t>
  </si>
  <si>
    <t>22/20/15</t>
  </si>
  <si>
    <t>21/20/19</t>
  </si>
  <si>
    <t>21/19/13</t>
  </si>
  <si>
    <t>24/23/16</t>
  </si>
  <si>
    <t>HD 30 W</t>
  </si>
  <si>
    <t>20/19/18</t>
  </si>
  <si>
    <t>18/16/10</t>
  </si>
  <si>
    <t>22/21/16</t>
  </si>
  <si>
    <t>20/19/16</t>
  </si>
  <si>
    <t>19/18/14</t>
  </si>
  <si>
    <t>21/19/12</t>
  </si>
  <si>
    <t>26/24/20</t>
  </si>
  <si>
    <t>25/23/18</t>
  </si>
  <si>
    <t>27/25/22</t>
  </si>
  <si>
    <t>20/18/17</t>
  </si>
  <si>
    <t>23/22/17</t>
  </si>
  <si>
    <t>22/20/16</t>
  </si>
  <si>
    <t>22/21/14</t>
  </si>
  <si>
    <t>22/21/15</t>
  </si>
  <si>
    <t>22/21/13</t>
  </si>
  <si>
    <t>22/20/14</t>
  </si>
  <si>
    <t>23/21/14</t>
  </si>
  <si>
    <t>23/20/14</t>
  </si>
  <si>
    <t>23/22/18</t>
  </si>
  <si>
    <t>23/21/17</t>
  </si>
  <si>
    <t>0.0.</t>
  </si>
  <si>
    <t>21/20/15</t>
  </si>
  <si>
    <t>22/20/13</t>
  </si>
  <si>
    <t xml:space="preserve">MOBIL GEAR 680 </t>
  </si>
  <si>
    <t>MOBIL GEAR 680</t>
  </si>
  <si>
    <t>25/24/18</t>
  </si>
  <si>
    <t>24/23/13</t>
  </si>
  <si>
    <t>EQUIPO</t>
  </si>
  <si>
    <t>Componente</t>
  </si>
  <si>
    <t>Fecha de Muestreo</t>
  </si>
  <si>
    <t>Tipo de Servicio</t>
  </si>
  <si>
    <t>Horas Componente</t>
  </si>
  <si>
    <t>Horas   Aceite</t>
  </si>
  <si>
    <t>Visc</t>
  </si>
  <si>
    <t>PQI</t>
  </si>
  <si>
    <t>Sb</t>
  </si>
  <si>
    <t>Li</t>
  </si>
  <si>
    <t>NUEVO</t>
  </si>
  <si>
    <t>N Item</t>
  </si>
  <si>
    <t>Fecha de Ingreso</t>
  </si>
  <si>
    <t>Código lab.</t>
  </si>
  <si>
    <t>ACEITE NUEVO</t>
  </si>
  <si>
    <t>SEGUI</t>
  </si>
  <si>
    <t>LINEA BASE DE LUBRICANTE</t>
  </si>
  <si>
    <t>Viscosidad40</t>
  </si>
  <si>
    <t>Antapaccay</t>
  </si>
  <si>
    <t>Toromocho</t>
  </si>
  <si>
    <t>Cerro Verde</t>
  </si>
  <si>
    <t>Intervalo seteado(h)</t>
  </si>
  <si>
    <t>Intervalo cambio(h)</t>
  </si>
  <si>
    <t>Cambio aceite avg(h)</t>
  </si>
  <si>
    <t>Aceite en uso avg(h)</t>
  </si>
  <si>
    <t>Intervalo de dializado(h)</t>
  </si>
  <si>
    <t>No dializa</t>
  </si>
  <si>
    <t>y/o después de una vuelta completa del inventario a
granel (ciclo)</t>
  </si>
  <si>
    <t>Micro4</t>
  </si>
  <si>
    <t>Micro6</t>
  </si>
  <si>
    <t>Micro14</t>
  </si>
  <si>
    <t>Micro21</t>
  </si>
  <si>
    <t>Micro38</t>
  </si>
  <si>
    <t>Micro70</t>
  </si>
  <si>
    <t>Soporte</t>
  </si>
  <si>
    <t>Antamina</t>
  </si>
  <si>
    <t>Lubricante</t>
  </si>
  <si>
    <t>Fecha Toma de Muestra</t>
  </si>
  <si>
    <t>Linea Base (02/04/2022)</t>
  </si>
  <si>
    <t>Linea Base (26/03/2022)</t>
  </si>
  <si>
    <t>Linea Base (6/06/2021)</t>
  </si>
  <si>
    <t>No reportado</t>
  </si>
  <si>
    <t>Fecha Muestra</t>
  </si>
  <si>
    <t>Viscosidad (cSt)</t>
  </si>
  <si>
    <t>Si(ppm)</t>
  </si>
  <si>
    <t>B(ppm)</t>
  </si>
  <si>
    <t>P(ppm)</t>
  </si>
  <si>
    <t>ISO Code 4um</t>
  </si>
  <si>
    <t>ISO Code 6um</t>
  </si>
  <si>
    <t>ISO Code 14um</t>
  </si>
  <si>
    <t>LIMITES ACTUALES</t>
  </si>
  <si>
    <t>Southern</t>
  </si>
  <si>
    <t>Orden</t>
  </si>
  <si>
    <t>Valos Visc. Linea Base</t>
  </si>
  <si>
    <t>Decaimiento -10%</t>
  </si>
  <si>
    <t>Decaimiento -20%</t>
  </si>
  <si>
    <t>Valos Si. Linea Base</t>
  </si>
  <si>
    <t>Acumulado Fe</t>
  </si>
  <si>
    <t>Acumulado Cr</t>
  </si>
  <si>
    <t>Acumulado Pb</t>
  </si>
  <si>
    <t>Acumulado Cu</t>
  </si>
  <si>
    <t>Acumulado Sn</t>
  </si>
  <si>
    <t>Acumulado Al</t>
  </si>
  <si>
    <t>Acumulado Si</t>
  </si>
  <si>
    <t>SPENCE</t>
  </si>
  <si>
    <t>Limites Condenatorios para MT´s</t>
  </si>
  <si>
    <t>MOTORES DE TRACCION - ANTAMINA - 980E-5SE</t>
  </si>
  <si>
    <t>ENSAYO</t>
  </si>
  <si>
    <t>UNIDADES</t>
  </si>
  <si>
    <t>Motivo</t>
  </si>
  <si>
    <t>PRECAUCIÓN</t>
  </si>
  <si>
    <t>CRÍTICO</t>
  </si>
  <si>
    <t>DESGASTE</t>
  </si>
  <si>
    <t>PRECAUCION</t>
  </si>
  <si>
    <t>CRITICO</t>
  </si>
  <si>
    <t xml:space="preserve">Monitoreo y cuantificacion de elementos de desgastes generados </t>
  </si>
  <si>
    <t>&gt;35</t>
  </si>
  <si>
    <t>&gt;45</t>
  </si>
  <si>
    <t>&gt;200</t>
  </si>
  <si>
    <t>&gt;233</t>
  </si>
  <si>
    <t>&gt;10</t>
  </si>
  <si>
    <t>&gt;12</t>
  </si>
  <si>
    <t>&gt;24</t>
  </si>
  <si>
    <t>&gt;20</t>
  </si>
  <si>
    <t>&gt;1</t>
  </si>
  <si>
    <t>&gt;2</t>
  </si>
  <si>
    <t>Visc.</t>
  </si>
  <si>
    <t>&lt;74.5</t>
  </si>
  <si>
    <t>&gt;76.5</t>
  </si>
  <si>
    <t>ISO 6</t>
  </si>
  <si>
    <t>&gt;19</t>
  </si>
  <si>
    <t>ZINC*</t>
  </si>
  <si>
    <t>Monitoreo y cuantificacion de contaminantes ingresados</t>
  </si>
  <si>
    <t>CONTAMINANTES</t>
  </si>
  <si>
    <t>Adim</t>
  </si>
  <si>
    <t>POTASIO</t>
  </si>
  <si>
    <t>- 30% de LB</t>
  </si>
  <si>
    <t>ppm/%</t>
  </si>
  <si>
    <t>Monitoreo y cuantificacion de agotamiento de aditivos y posibles pases internos</t>
  </si>
  <si>
    <t>Visc Sup. 100°c</t>
  </si>
  <si>
    <t>+10% de LB</t>
  </si>
  <si>
    <t>ADITIVOS</t>
  </si>
  <si>
    <t>ISO 14</t>
  </si>
  <si>
    <t>&gt;13</t>
  </si>
  <si>
    <t>&gt;16</t>
  </si>
  <si>
    <t>Visc Inf. 100°c</t>
  </si>
  <si>
    <t>-10% de LB</t>
  </si>
  <si>
    <t>- 30% LB</t>
  </si>
  <si>
    <t>ISO 6 µm</t>
  </si>
  <si>
    <t>&gt;18</t>
  </si>
  <si>
    <t>ISO 14 µm</t>
  </si>
  <si>
    <t xml:space="preserve">Monitoreo y cuantificacion  de la salud de lubricante e inicios de la degradacion </t>
  </si>
  <si>
    <t>SALUD</t>
  </si>
  <si>
    <t>VISC. 100°C SUPER</t>
  </si>
  <si>
    <t>+ 10% LB</t>
  </si>
  <si>
    <t>VISC. 100°C INFE</t>
  </si>
  <si>
    <t>- 10% LB</t>
  </si>
  <si>
    <t>VISC. 40°C SUPER</t>
  </si>
  <si>
    <t>VISC. 40°C INFE</t>
  </si>
  <si>
    <t>Monitoreo y cuantificacion particulado generado e ingresado</t>
  </si>
  <si>
    <t>PARTICULADO</t>
  </si>
  <si>
    <t>ISO CODE</t>
  </si>
  <si>
    <t>-/6um/14um</t>
  </si>
  <si>
    <t>-/18/-14</t>
  </si>
  <si>
    <t>-/20/-16</t>
  </si>
  <si>
    <t>*Elemento Zn podria indicar desgaste o contaminacion con otro lubricante</t>
  </si>
  <si>
    <t>LB = Linea base</t>
  </si>
  <si>
    <t>SGS - Lima</t>
  </si>
  <si>
    <t>MCP</t>
  </si>
  <si>
    <t>Movil Delvac Modern 15W40 - ED Semi sintetico</t>
  </si>
  <si>
    <t>T245659</t>
  </si>
  <si>
    <t>14/07/2023</t>
  </si>
  <si>
    <t>69.0785</t>
  </si>
  <si>
    <t>29</t>
  </si>
  <si>
    <t>402</t>
  </si>
  <si>
    <t xml:space="preserve">camion 3192 </t>
  </si>
  <si>
    <t>Parámetro</t>
  </si>
  <si>
    <t>Min. Sup.</t>
  </si>
  <si>
    <t>Max. Sup</t>
  </si>
  <si>
    <t>Min. Inf.</t>
  </si>
  <si>
    <t>Max. Inf.</t>
  </si>
  <si>
    <t>ABS/cm</t>
  </si>
  <si>
    <t>%</t>
  </si>
  <si>
    <t>Estaño</t>
  </si>
  <si>
    <t>HD 10W</t>
  </si>
  <si>
    <t>HD 30W</t>
  </si>
  <si>
    <t>22/21/17</t>
  </si>
  <si>
    <t>DELVAC 1</t>
  </si>
  <si>
    <t>ANZ-998/ C-1</t>
  </si>
  <si>
    <t>ANZ-998/ C-2</t>
  </si>
  <si>
    <t>ANZ-998/ C-3</t>
  </si>
  <si>
    <t>22/20/17</t>
  </si>
  <si>
    <t>22/21/19</t>
  </si>
  <si>
    <t>22/21/20</t>
  </si>
  <si>
    <t>23/20/15</t>
  </si>
  <si>
    <t>ANZ-972/ C-1</t>
  </si>
  <si>
    <t>ANZ-972/ C-2</t>
  </si>
  <si>
    <t>ANZ-972/ C-3</t>
  </si>
  <si>
    <t>TK -673 / B. N / PUNTO PISTOLA</t>
  </si>
  <si>
    <t>BEN - 984 / C-1</t>
  </si>
  <si>
    <t>BEN - 984 / C-2</t>
  </si>
  <si>
    <t>BEN - 984 / C-3</t>
  </si>
  <si>
    <t>TK 02 / B.A / PUNTO PISTOLA</t>
  </si>
  <si>
    <t>TK 05 / B.A / PUNTO PISTOLA</t>
  </si>
  <si>
    <t>TK 06 / B.A / PUNTO PISTOLA</t>
  </si>
  <si>
    <t>24/23/18</t>
  </si>
  <si>
    <t>14.5</t>
  </si>
  <si>
    <t>2.9</t>
  </si>
  <si>
    <t>1.3</t>
  </si>
  <si>
    <t>0.4</t>
  </si>
  <si>
    <t>0.5</t>
  </si>
  <si>
    <t>1.5</t>
  </si>
  <si>
    <t>1071.8</t>
  </si>
  <si>
    <t>10.9</t>
  </si>
  <si>
    <t>1018.3</t>
  </si>
  <si>
    <t>3517.1</t>
  </si>
  <si>
    <t>14.7</t>
  </si>
  <si>
    <t>2.5</t>
  </si>
  <si>
    <t>1.6</t>
  </si>
  <si>
    <t>1074.1</t>
  </si>
  <si>
    <t>10.8</t>
  </si>
  <si>
    <t>1014.6</t>
  </si>
  <si>
    <t>14.2</t>
  </si>
  <si>
    <t>1.1</t>
  </si>
  <si>
    <t>1.4</t>
  </si>
  <si>
    <t>10.4</t>
  </si>
  <si>
    <t>979.8</t>
  </si>
  <si>
    <t>6.1</t>
  </si>
  <si>
    <t>1093.6</t>
  </si>
  <si>
    <t>11.9</t>
  </si>
  <si>
    <t>1047.3</t>
  </si>
  <si>
    <t>3596.5</t>
  </si>
  <si>
    <t>11.8</t>
  </si>
  <si>
    <t>1114.7</t>
  </si>
  <si>
    <t>13.8</t>
  </si>
  <si>
    <t>1052.4</t>
  </si>
  <si>
    <t>3598.7</t>
  </si>
  <si>
    <t>6.3</t>
  </si>
  <si>
    <t>1.7</t>
  </si>
  <si>
    <t>1.9</t>
  </si>
  <si>
    <t>1330.9</t>
  </si>
  <si>
    <t>1205.8</t>
  </si>
  <si>
    <t>2426.9</t>
  </si>
  <si>
    <t>11244.31</t>
  </si>
  <si>
    <t>5.8</t>
  </si>
  <si>
    <t>1.8</t>
  </si>
  <si>
    <t>1353.5</t>
  </si>
  <si>
    <t>501.5</t>
  </si>
  <si>
    <t>1227.2</t>
  </si>
  <si>
    <t>2468.9</t>
  </si>
  <si>
    <t>13.9</t>
  </si>
  <si>
    <t>1009.6</t>
  </si>
  <si>
    <t>1003.4</t>
  </si>
  <si>
    <t>3436.3</t>
  </si>
  <si>
    <t>5.4</t>
  </si>
  <si>
    <t>1366.4</t>
  </si>
  <si>
    <t>496.5</t>
  </si>
  <si>
    <t>1220.3</t>
  </si>
  <si>
    <t>2449.2</t>
  </si>
  <si>
    <t>1023.2</t>
  </si>
  <si>
    <t>1004.5</t>
  </si>
  <si>
    <t>5.97</t>
  </si>
  <si>
    <t>11.1</t>
  </si>
  <si>
    <t>2.0</t>
  </si>
  <si>
    <t>0.9</t>
  </si>
  <si>
    <t>0.6</t>
  </si>
  <si>
    <t>0.8</t>
  </si>
  <si>
    <t>1053.3</t>
  </si>
  <si>
    <t>3428.2</t>
  </si>
  <si>
    <t>63598.59</t>
  </si>
  <si>
    <t>28190.21</t>
  </si>
  <si>
    <t>450.85</t>
  </si>
  <si>
    <t>15.54</t>
  </si>
  <si>
    <t>5.5</t>
  </si>
  <si>
    <t>1365.6</t>
  </si>
  <si>
    <t>496.7</t>
  </si>
  <si>
    <t>1239.0</t>
  </si>
  <si>
    <t>2437.5</t>
  </si>
  <si>
    <t>38711.09</t>
  </si>
  <si>
    <t>8510.22</t>
  </si>
  <si>
    <t>190.99</t>
  </si>
  <si>
    <t>10849.52</t>
  </si>
  <si>
    <t>3401.58</t>
  </si>
  <si>
    <t>409.57</t>
  </si>
  <si>
    <t>12.32</t>
  </si>
  <si>
    <t>6.04</t>
  </si>
  <si>
    <t>13.5</t>
  </si>
  <si>
    <t>1.0</t>
  </si>
  <si>
    <t>1066.8</t>
  </si>
  <si>
    <t>11.0</t>
  </si>
  <si>
    <t>1018.6</t>
  </si>
  <si>
    <t>3515.3</t>
  </si>
  <si>
    <t>67804.62</t>
  </si>
  <si>
    <t>31552.87</t>
  </si>
  <si>
    <t>681.66</t>
  </si>
  <si>
    <t>4949.84</t>
  </si>
  <si>
    <t>1544.75</t>
  </si>
  <si>
    <t>101.56</t>
  </si>
  <si>
    <t>15.47</t>
  </si>
  <si>
    <t>2.8</t>
  </si>
  <si>
    <t>1448.0</t>
  </si>
  <si>
    <t>514.0</t>
  </si>
  <si>
    <t>1290.0</t>
  </si>
  <si>
    <t>2549.0</t>
  </si>
  <si>
    <t>38530.29</t>
  </si>
  <si>
    <t>8356.2</t>
  </si>
  <si>
    <t>72.32</t>
  </si>
  <si>
    <t>LUGAR</t>
  </si>
  <si>
    <t>NOMBRE</t>
  </si>
  <si>
    <r>
      <rPr>
        <b/>
        <sz val="10"/>
        <color theme="1"/>
        <rFont val="Calibri"/>
        <family val="2"/>
      </rPr>
      <t>H</t>
    </r>
    <r>
      <rPr>
        <b/>
        <sz val="10"/>
        <color theme="1"/>
        <rFont val="Calibri"/>
        <family val="2"/>
      </rPr>
      <t>2O</t>
    </r>
  </si>
  <si>
    <t xml:space="preserve">Soot </t>
  </si>
  <si>
    <t>BAHÍA 4</t>
  </si>
  <si>
    <t>MOBIL DELVAC MODERN 15W40 ADVANCE PROTECTION MINE</t>
  </si>
  <si>
    <t>Viscosidad baja y Nivel de limpieza elevado.</t>
  </si>
  <si>
    <t>T215268</t>
  </si>
  <si>
    <t>T213112</t>
  </si>
  <si>
    <t>04/03/2022</t>
  </si>
  <si>
    <t>24/01/2022</t>
  </si>
  <si>
    <t>M-DELVAC MODERN 15W40</t>
  </si>
  <si>
    <t>7</t>
  </si>
  <si>
    <t>6</t>
  </si>
  <si>
    <t>115</t>
  </si>
  <si>
    <t>104</t>
  </si>
  <si>
    <t>63</t>
  </si>
  <si>
    <t>1974</t>
  </si>
  <si>
    <t>1734</t>
  </si>
  <si>
    <t>1706</t>
  </si>
  <si>
    <t>1528</t>
  </si>
  <si>
    <t>920</t>
  </si>
  <si>
    <t>T249599</t>
  </si>
  <si>
    <t>T249238</t>
  </si>
  <si>
    <t>10/09/2023</t>
  </si>
  <si>
    <t>05/09/2023</t>
  </si>
  <si>
    <t>16.2699</t>
  </si>
  <si>
    <t>5</t>
  </si>
  <si>
    <t>90</t>
  </si>
  <si>
    <t>68</t>
  </si>
  <si>
    <t>1747</t>
  </si>
  <si>
    <t>1712</t>
  </si>
  <si>
    <t>1574</t>
  </si>
  <si>
    <t>955</t>
  </si>
  <si>
    <t>1071</t>
  </si>
  <si>
    <t>IV</t>
  </si>
  <si>
    <t>Linea Base</t>
  </si>
  <si>
    <t>Ficha Tecnica</t>
  </si>
  <si>
    <t>Semisintetico</t>
  </si>
  <si>
    <t>Mineral</t>
  </si>
  <si>
    <t>Base</t>
  </si>
  <si>
    <t>T255556</t>
  </si>
  <si>
    <t>T254755</t>
  </si>
  <si>
    <t>T254754</t>
  </si>
  <si>
    <t>T254753</t>
  </si>
  <si>
    <t>08/12/2023</t>
  </si>
  <si>
    <t>24/11/2023</t>
  </si>
  <si>
    <t>96</t>
  </si>
  <si>
    <t>110</t>
  </si>
  <si>
    <t>99</t>
  </si>
  <si>
    <t>62</t>
  </si>
  <si>
    <t>76</t>
  </si>
  <si>
    <t>73</t>
  </si>
  <si>
    <t>314</t>
  </si>
  <si>
    <t>293</t>
  </si>
  <si>
    <t>303</t>
  </si>
  <si>
    <t>1550</t>
  </si>
  <si>
    <t>1793</t>
  </si>
  <si>
    <t>1842</t>
  </si>
  <si>
    <t>1762</t>
  </si>
  <si>
    <t>1573</t>
  </si>
  <si>
    <t>1751</t>
  </si>
  <si>
    <t>1833</t>
  </si>
  <si>
    <t>1657</t>
  </si>
  <si>
    <t>924</t>
  </si>
  <si>
    <t>961</t>
  </si>
  <si>
    <t>946</t>
  </si>
  <si>
    <t xml:space="preserve">Aceite virgen de la bahia 1 Camiones </t>
  </si>
  <si>
    <t xml:space="preserve">Aceite virgen de la bahia 3 </t>
  </si>
  <si>
    <t xml:space="preserve">Aceite virgen del tanque </t>
  </si>
  <si>
    <t xml:space="preserve">Aceite virgen del cilindro </t>
  </si>
  <si>
    <t>238</t>
  </si>
  <si>
    <t>252</t>
  </si>
  <si>
    <t>439</t>
  </si>
  <si>
    <t>453</t>
  </si>
  <si>
    <t xml:space="preserve">Aceite virgen del taller de camiones </t>
  </si>
  <si>
    <t xml:space="preserve">CILINDRO </t>
  </si>
  <si>
    <t>Mobiltrans HD 10W</t>
  </si>
  <si>
    <t xml:space="preserve">DE23057555 </t>
  </si>
  <si>
    <t xml:space="preserve">DE23056768 </t>
  </si>
  <si>
    <t>DE23056767</t>
  </si>
  <si>
    <t>DE23056766</t>
  </si>
  <si>
    <t>Tank SAE 10W</t>
  </si>
  <si>
    <t>Tank SAE 15W40</t>
  </si>
  <si>
    <t xml:space="preserve">DE23057557 </t>
  </si>
  <si>
    <t>DE23056770</t>
  </si>
  <si>
    <t xml:space="preserve">DE23045885 </t>
  </si>
  <si>
    <t>DE23045883</t>
  </si>
  <si>
    <t>04/24/2023</t>
  </si>
  <si>
    <t>Mobil Delvac Extreme 15W-40 CK-4 Semisintético</t>
  </si>
  <si>
    <t>Tank SAE 50</t>
  </si>
  <si>
    <t>Mobiltrans HD 50</t>
  </si>
  <si>
    <t xml:space="preserve">11/23/2022 </t>
  </si>
  <si>
    <t>DE22110194</t>
  </si>
  <si>
    <t>DE22105073</t>
  </si>
  <si>
    <t>T249578</t>
  </si>
  <si>
    <t>78.0811</t>
  </si>
  <si>
    <t>3435</t>
  </si>
  <si>
    <t>530</t>
  </si>
  <si>
    <t xml:space="preserve">camion 3178 </t>
  </si>
  <si>
    <t>T253000</t>
  </si>
  <si>
    <t>T236062</t>
  </si>
  <si>
    <t>30/10/2023</t>
  </si>
  <si>
    <t>14/02/2023</t>
  </si>
  <si>
    <t>6.55427</t>
  </si>
  <si>
    <t>6.646</t>
  </si>
  <si>
    <t>4029</t>
  </si>
  <si>
    <t>2444</t>
  </si>
  <si>
    <t>1517</t>
  </si>
  <si>
    <t>1117</t>
  </si>
  <si>
    <t>492</t>
  </si>
  <si>
    <t>499</t>
  </si>
  <si>
    <t>24494</t>
  </si>
  <si>
    <t>66360</t>
  </si>
  <si>
    <t>15351</t>
  </si>
  <si>
    <t>16265</t>
  </si>
  <si>
    <t>165</t>
  </si>
  <si>
    <t>77</t>
  </si>
  <si>
    <t xml:space="preserve">Aceite del dializador.Se recomienda cambio de filtros. </t>
  </si>
  <si>
    <t xml:space="preserve">Muestra Tanque auxiliar </t>
  </si>
  <si>
    <t>T253002</t>
  </si>
  <si>
    <t>25.0212</t>
  </si>
  <si>
    <t>438</t>
  </si>
  <si>
    <t>6609</t>
  </si>
  <si>
    <t>1094</t>
  </si>
  <si>
    <t>T265575</t>
  </si>
  <si>
    <t>08/05/2024</t>
  </si>
  <si>
    <t xml:space="preserve">M-SHC GEAR 680 </t>
  </si>
  <si>
    <t>81.8468</t>
  </si>
  <si>
    <t>30</t>
  </si>
  <si>
    <t>41</t>
  </si>
  <si>
    <t>624</t>
  </si>
  <si>
    <t>14</t>
  </si>
  <si>
    <t>16919</t>
  </si>
  <si>
    <t>2995</t>
  </si>
  <si>
    <t>91</t>
  </si>
  <si>
    <t xml:space="preserve">Aceite Virgen MOBIL SHC GEAR 680 OH </t>
  </si>
  <si>
    <t>T265574</t>
  </si>
  <si>
    <t>M-MOBILTRANS HD 60</t>
  </si>
  <si>
    <t>24.9892</t>
  </si>
  <si>
    <t>496</t>
  </si>
  <si>
    <t>73273</t>
  </si>
  <si>
    <t>9515</t>
  </si>
  <si>
    <t>86</t>
  </si>
  <si>
    <t xml:space="preserve">Aceite Virgen: MOBILTRANS HD 60 </t>
  </si>
  <si>
    <t>T259431</t>
  </si>
  <si>
    <t>06/02/2024</t>
  </si>
  <si>
    <t>15.1427</t>
  </si>
  <si>
    <t>267</t>
  </si>
  <si>
    <t>1246</t>
  </si>
  <si>
    <t>1306</t>
  </si>
  <si>
    <t>986</t>
  </si>
  <si>
    <t xml:space="preserve">Aceite virgen pistola gifo formula 1 </t>
  </si>
  <si>
    <t>Viscosidad 100 °C (mm2/s)</t>
  </si>
  <si>
    <t>MOTOR DIESEL</t>
  </si>
  <si>
    <t>RUEDA DELANTERA</t>
  </si>
  <si>
    <t>MOTOR DE TRACCION</t>
  </si>
  <si>
    <t>T274768</t>
  </si>
  <si>
    <t>T265686</t>
  </si>
  <si>
    <t>T265678</t>
  </si>
  <si>
    <t>03/09/2024</t>
  </si>
  <si>
    <t>10/05/2024</t>
  </si>
  <si>
    <t>15.8319</t>
  </si>
  <si>
    <t>15.9318</t>
  </si>
  <si>
    <t>12.4681</t>
  </si>
  <si>
    <t>105</t>
  </si>
  <si>
    <t>53</t>
  </si>
  <si>
    <t>69</t>
  </si>
  <si>
    <t>66</t>
  </si>
  <si>
    <t>251</t>
  </si>
  <si>
    <t>294</t>
  </si>
  <si>
    <t>263</t>
  </si>
  <si>
    <t>1468</t>
  </si>
  <si>
    <t>1898</t>
  </si>
  <si>
    <t>1700</t>
  </si>
  <si>
    <t>1569</t>
  </si>
  <si>
    <t>1729</t>
  </si>
  <si>
    <t>1651</t>
  </si>
  <si>
    <t>998</t>
  </si>
  <si>
    <t>1036</t>
  </si>
  <si>
    <t>1007</t>
  </si>
  <si>
    <t xml:space="preserve">Aceite virgen </t>
  </si>
  <si>
    <t xml:space="preserve">Aceite virgen punto pistola taller camiones </t>
  </si>
  <si>
    <t>T274839</t>
  </si>
  <si>
    <t>T268723</t>
  </si>
  <si>
    <t>04/09/2024</t>
  </si>
  <si>
    <t>18/06/2024</t>
  </si>
  <si>
    <t>6.1239</t>
  </si>
  <si>
    <t>5.9</t>
  </si>
  <si>
    <t>3510</t>
  </si>
  <si>
    <t>3824</t>
  </si>
  <si>
    <t>1448</t>
  </si>
  <si>
    <t>1379</t>
  </si>
  <si>
    <t>748</t>
  </si>
  <si>
    <t>46118</t>
  </si>
  <si>
    <t>2867</t>
  </si>
  <si>
    <t>10806</t>
  </si>
  <si>
    <t>593</t>
  </si>
  <si>
    <t>126</t>
  </si>
  <si>
    <t>QUELLAVECO</t>
  </si>
  <si>
    <t>COMPRESOR</t>
  </si>
  <si>
    <t>TAN - LP</t>
  </si>
  <si>
    <t>TAN - LC</t>
  </si>
  <si>
    <t>Diesel - LP</t>
  </si>
  <si>
    <t>Diesel - LC</t>
  </si>
  <si>
    <t>D65ROC</t>
  </si>
  <si>
    <t>VISC40 - LPS</t>
  </si>
  <si>
    <t>VISC40 - LCS</t>
  </si>
  <si>
    <t>PV351</t>
  </si>
  <si>
    <t>CABEZAL GIRATORIO</t>
  </si>
  <si>
    <t>BOMBA INYECCION AGUA</t>
  </si>
  <si>
    <t>PLATA- LP</t>
  </si>
  <si>
    <t>PLATA - LC</t>
  </si>
  <si>
    <t>ANTIMONIO - LP</t>
  </si>
  <si>
    <t>ANTIMONIO - LC</t>
  </si>
  <si>
    <t>LITIO - LP</t>
  </si>
  <si>
    <t>LITIO - LC</t>
  </si>
  <si>
    <t>WE2350</t>
  </si>
  <si>
    <t>MANDO FINAL DELANTERO LH</t>
  </si>
  <si>
    <t>MANDO FINAL DELANTERO RH</t>
  </si>
  <si>
    <t>MANDO FINAL POSTERIOR LH</t>
  </si>
  <si>
    <t>MANDO FINAL POSTERIOR RH</t>
  </si>
  <si>
    <t>T277176</t>
  </si>
  <si>
    <t>04/10/2024</t>
  </si>
  <si>
    <t>76.8954</t>
  </si>
  <si>
    <t>317</t>
  </si>
  <si>
    <t>28179</t>
  </si>
  <si>
    <t>6412</t>
  </si>
  <si>
    <t>54</t>
  </si>
  <si>
    <t>T277175</t>
  </si>
  <si>
    <t>24.7194</t>
  </si>
  <si>
    <t>3779</t>
  </si>
  <si>
    <t>1406</t>
  </si>
  <si>
    <t>346</t>
  </si>
  <si>
    <t>54849</t>
  </si>
  <si>
    <t>10552</t>
  </si>
  <si>
    <t>|</t>
  </si>
  <si>
    <t>Límites Condenatorios Aceite Mobil Delvac Modern 15W-40 (APM)
FLOTA 980E-5 (ANTAPACCAY)</t>
  </si>
  <si>
    <t>PARÁMETROS</t>
  </si>
  <si>
    <t>UNIDAD</t>
  </si>
  <si>
    <t>VISCOSIDAD ALTA A 100°C</t>
  </si>
  <si>
    <t>VISCOSIDAD BAJA A  100°C</t>
  </si>
  <si>
    <t>SULFATACIÓN</t>
  </si>
  <si>
    <t>ABS/0.1 mm</t>
  </si>
  <si>
    <t>OXIDACIÓN</t>
  </si>
  <si>
    <t>NITRACIÓN</t>
  </si>
  <si>
    <t>ABS/1 cm</t>
  </si>
  <si>
    <t>(mg KOH/g)</t>
  </si>
  <si>
    <t>%wt</t>
  </si>
  <si>
    <t>HIERRO</t>
  </si>
  <si>
    <t>H2O</t>
  </si>
  <si>
    <t>28/07/2025</t>
  </si>
  <si>
    <t>MONI</t>
  </si>
  <si>
    <t>81.52</t>
  </si>
  <si>
    <t>Indice PQ (PQ)</t>
  </si>
  <si>
    <t>0.40</t>
  </si>
  <si>
    <t>0.00</t>
  </si>
  <si>
    <t>2.58</t>
  </si>
  <si>
    <t>0.05</t>
  </si>
  <si>
    <t>0.26</t>
  </si>
  <si>
    <t>0.15</t>
  </si>
  <si>
    <t>0.18</t>
  </si>
  <si>
    <t>0.17</t>
  </si>
  <si>
    <t>26.81</t>
  </si>
  <si>
    <t>1.36</t>
  </si>
  <si>
    <t>0.07</t>
  </si>
  <si>
    <t>52.79</t>
  </si>
  <si>
    <t>1.00</t>
  </si>
  <si>
    <t>0.01</t>
  </si>
  <si>
    <t>576.70</t>
  </si>
  <si>
    <t>0.60</t>
  </si>
  <si>
    <t>T298988</t>
  </si>
  <si>
    <t>27/07/2025</t>
  </si>
  <si>
    <t>6.22</t>
  </si>
  <si>
    <t>1.75</t>
  </si>
  <si>
    <t>1.63</t>
  </si>
  <si>
    <t>0.20</t>
  </si>
  <si>
    <t>0.23</t>
  </si>
  <si>
    <t>0.47</t>
  </si>
  <si>
    <t>0.51</t>
  </si>
  <si>
    <t>0.14</t>
  </si>
  <si>
    <t>15.79</t>
  </si>
  <si>
    <t>1.02</t>
  </si>
  <si>
    <t>15.38</t>
  </si>
  <si>
    <t>2643.00</t>
  </si>
  <si>
    <t>1187.00</t>
  </si>
  <si>
    <t>0.63</t>
  </si>
  <si>
    <t>0.08</t>
  </si>
  <si>
    <t>798.15</t>
  </si>
  <si>
    <t>T298964</t>
  </si>
  <si>
    <t>ID</t>
  </si>
  <si>
    <t>t300472</t>
  </si>
  <si>
    <t>Fecha</t>
  </si>
  <si>
    <t>17/08/2025</t>
  </si>
  <si>
    <t>equNombre</t>
  </si>
  <si>
    <t>Aceite Nuevo</t>
  </si>
  <si>
    <t>comNombre</t>
  </si>
  <si>
    <t>SHELL  RIMULA R4 MV SAE 15W40</t>
  </si>
  <si>
    <t>Estado Aceite</t>
  </si>
  <si>
    <t>SEG</t>
  </si>
  <si>
    <t>Tipo de Mantto</t>
  </si>
  <si>
    <t>Tipo Muestra</t>
  </si>
  <si>
    <t>Horómetro Total</t>
  </si>
  <si>
    <t>15.93</t>
  </si>
  <si>
    <t>101</t>
  </si>
  <si>
    <t>GLYCOL (%Wt)</t>
  </si>
  <si>
    <t>9.8</t>
  </si>
  <si>
    <t>0.72</t>
  </si>
  <si>
    <t>0.77</t>
  </si>
  <si>
    <t>1.15</t>
  </si>
  <si>
    <t>2.31</t>
  </si>
  <si>
    <t>98.16</t>
  </si>
  <si>
    <t>4.59</t>
  </si>
  <si>
    <t>58.72</t>
  </si>
  <si>
    <t>292.62</t>
  </si>
  <si>
    <t>1489</t>
  </si>
  <si>
    <t>1262</t>
  </si>
  <si>
    <t>966.87</t>
  </si>
  <si>
    <t>Índice</t>
  </si>
  <si>
    <t>43335</t>
  </si>
  <si>
    <t>&lt;&lt;</t>
  </si>
  <si>
    <t>ANTAPACCAYMOTOR980E5</t>
  </si>
  <si>
    <t>Unidad_Minera</t>
  </si>
  <si>
    <t>Flota</t>
  </si>
  <si>
    <t>Prom</t>
  </si>
  <si>
    <t>Inferior 1</t>
  </si>
  <si>
    <t>Inferior 2</t>
  </si>
  <si>
    <t>Superior 1</t>
  </si>
  <si>
    <t>Superior 2</t>
  </si>
  <si>
    <t>QSK95</t>
  </si>
  <si>
    <t>Aditivo</t>
  </si>
  <si>
    <t>BoroPPM</t>
  </si>
  <si>
    <t>CalcioPPM</t>
  </si>
  <si>
    <t>FosforoPPM</t>
  </si>
  <si>
    <t>MagnesioPPM</t>
  </si>
  <si>
    <t>ZincPPM</t>
  </si>
  <si>
    <t>Nitración ABS/0.1mm</t>
  </si>
  <si>
    <t>Oxidación ABS/0.1mm</t>
  </si>
  <si>
    <t>Sulfatación ABS/0.1 mm</t>
  </si>
  <si>
    <t>Viscosidad a 100 °C cSt</t>
  </si>
  <si>
    <t>Contaminación</t>
  </si>
  <si>
    <t>Hollin ABS/0.1 mm</t>
  </si>
  <si>
    <t>Potasio ppm</t>
  </si>
  <si>
    <t>Silicio ppm</t>
  </si>
  <si>
    <t>Sodio ppm</t>
  </si>
  <si>
    <t>Desgaste</t>
  </si>
  <si>
    <t>Aluminio ppm</t>
  </si>
  <si>
    <t>Cobre ppm</t>
  </si>
  <si>
    <t>Cromo ppm</t>
  </si>
  <si>
    <t>Estaño ppm</t>
  </si>
  <si>
    <t>Fierro ppm</t>
  </si>
  <si>
    <t>Plomo ppm</t>
  </si>
  <si>
    <t>Aceite</t>
  </si>
  <si>
    <t>Fecha Entrega</t>
  </si>
  <si>
    <t>Visc100°C, cSt</t>
  </si>
  <si>
    <t>Visc40°C, cSt</t>
  </si>
  <si>
    <t>Oxi</t>
  </si>
  <si>
    <t xml:space="preserve">Cod.ISO </t>
  </si>
  <si>
    <t>Fe, ppm</t>
  </si>
  <si>
    <t>Cr, ppm</t>
  </si>
  <si>
    <t>Pb, ppm</t>
  </si>
  <si>
    <t>Cu, ppm</t>
  </si>
  <si>
    <t>Sn, ppm</t>
  </si>
  <si>
    <t>Al, ppm</t>
  </si>
  <si>
    <t>Ni, ppm</t>
  </si>
  <si>
    <t>Ag, ppm</t>
  </si>
  <si>
    <t>Si, ppm</t>
  </si>
  <si>
    <t>B, ppm</t>
  </si>
  <si>
    <t>Na, ppm</t>
  </si>
  <si>
    <t>Mg, ppm</t>
  </si>
  <si>
    <t>Ca, ppm</t>
  </si>
  <si>
    <t>Ba, ppm</t>
  </si>
  <si>
    <t>P,     ppm</t>
  </si>
  <si>
    <t>Zn, ppm</t>
  </si>
  <si>
    <t>Mo, ppm</t>
  </si>
  <si>
    <t>Ti, ppm</t>
  </si>
  <si>
    <t>V, ppm</t>
  </si>
  <si>
    <t>Mn, ppm</t>
  </si>
  <si>
    <t>K, ppm</t>
  </si>
  <si>
    <t>Cd, ppm</t>
  </si>
  <si>
    <t>DF, ppm</t>
  </si>
  <si>
    <t>Mobil Delvac Modern 15W40</t>
  </si>
  <si>
    <t>Semisentetico</t>
  </si>
  <si>
    <t>Boro ppm</t>
  </si>
  <si>
    <t>Molibdeno ppm</t>
  </si>
  <si>
    <t>Zinc ppm</t>
  </si>
  <si>
    <t>Fosforo ppm</t>
  </si>
  <si>
    <t>TBN mg/KOH</t>
  </si>
  <si>
    <t xml:space="preserve">Tipo Base </t>
  </si>
  <si>
    <t>V100 (cSt)</t>
  </si>
  <si>
    <t>Grupo</t>
  </si>
  <si>
    <t>Grupo 2 con % Grupo 3 y 4</t>
  </si>
  <si>
    <t>Grupo 1 con % Grupo 2</t>
  </si>
  <si>
    <t>Grupo 2</t>
  </si>
  <si>
    <t xml:space="preserve">S-RIMULA R4 MV 15W40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</si>
</sst>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 * #,##0.00_ ;_ * \-#,##0.00_ ;_ * &quot;-&quot;??_ ;_ @_ "/>
    <numFmt numFmtId="165" formatCode="0.0"/>
    <numFmt numFmtId="166" formatCode="d/m/yyyy"/>
  </numFmts>
  <fonts count="6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0"/>
      <name val="Calibri"/>
      <family val="2"/>
      <charset val="1"/>
    </font>
    <font>
      <b/>
      <sz val="16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sz val="12"/>
      <name val="Verdana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9"/>
      <name val="Arial"/>
      <family val="2"/>
    </font>
    <font>
      <sz val="13"/>
      <name val="Symbol"/>
      <family val="1"/>
      <charset val="2"/>
    </font>
    <font>
      <sz val="13"/>
      <name val="Arial"/>
      <family val="2"/>
    </font>
    <font>
      <sz val="9"/>
      <name val="Arial"/>
      <family val="2"/>
    </font>
    <font>
      <sz val="10"/>
      <color theme="1"/>
      <name val="Times New Roman"/>
      <family val="1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10"/>
      <color theme="1"/>
      <name val="Calibri"/>
      <family val="2"/>
      <scheme val="minor"/>
    </font>
    <font>
      <sz val="8.4"/>
      <color theme="1"/>
      <name val="Courier New"/>
      <family val="3"/>
    </font>
    <font>
      <sz val="8.4"/>
      <color theme="1"/>
      <name val="Verdana"/>
      <family val="2"/>
    </font>
    <font>
      <sz val="11"/>
      <name val="Calibri"/>
      <family val="2"/>
      <scheme val="minor"/>
    </font>
    <font>
      <b/>
      <sz val="12"/>
      <color theme="0"/>
      <name val="Calibri"/>
      <family val="2"/>
    </font>
    <font>
      <sz val="11"/>
      <color indexed="8"/>
      <name val="Calibri"/>
      <family val="2"/>
    </font>
    <font>
      <sz val="8"/>
      <color rgb="FF242424"/>
      <name val="Segoe UI"/>
      <family val="2"/>
    </font>
    <font>
      <sz val="9"/>
      <color rgb="FF242424"/>
      <name val="Segoe UI"/>
      <family val="2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theme="1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9"/>
      <color theme="0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name val="Arial"/>
      <family val="2"/>
    </font>
    <font>
      <b/>
      <sz val="10"/>
      <color theme="0"/>
      <name val="Calibri"/>
      <family val="2"/>
    </font>
    <font>
      <sz val="10"/>
      <color theme="1"/>
      <name val="Arial"/>
      <family val="2"/>
    </font>
    <font>
      <sz val="8.25"/>
      <color theme="1"/>
      <name val="Verdana"/>
      <family val="2"/>
    </font>
    <font>
      <b/>
      <sz val="8.25"/>
      <color theme="1"/>
      <name val="Courier New"/>
      <family val="3"/>
    </font>
    <font>
      <sz val="8.25"/>
      <color theme="1"/>
      <name val="Courier New"/>
      <family val="3"/>
    </font>
    <font>
      <sz val="10"/>
      <name val="Arial"/>
      <family val="2"/>
    </font>
    <font>
      <sz val="11"/>
      <name val="Calibri"/>
      <scheme val="minor"/>
    </font>
    <font>
      <sz val="10"/>
      <name val="Arial"/>
    </font>
    <font>
      <sz val="8"/>
      <color rgb="FFFFFFFF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333FF"/>
        <bgColor rgb="FF3333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rgb="FF7F7F7F"/>
        <bgColor rgb="FF7F7F7F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0">
    <xf numFmtId="0" fontId="0" fillId="0" borderId="0"/>
    <xf numFmtId="0" fontId="1" fillId="0" borderId="0"/>
    <xf numFmtId="0" fontId="2" fillId="0" borderId="0"/>
    <xf numFmtId="164" fontId="3" fillId="0" borderId="0"/>
    <xf numFmtId="43" fontId="3" fillId="0" borderId="0" applyFont="0" applyFill="0" applyBorder="0" applyAlignment="0" applyProtection="0"/>
    <xf numFmtId="0" fontId="17" fillId="0" borderId="0"/>
    <xf numFmtId="0" fontId="17" fillId="0" borderId="0"/>
    <xf numFmtId="0" fontId="49" fillId="0" borderId="0"/>
    <xf numFmtId="0" fontId="49" fillId="0" borderId="0"/>
    <xf numFmtId="0" fontId="51" fillId="0" borderId="0"/>
    <xf numFmtId="0" fontId="51" fillId="0" borderId="0"/>
    <xf numFmtId="0" fontId="52" fillId="0" borderId="0"/>
    <xf numFmtId="0" fontId="52" fillId="0" borderId="0"/>
    <xf numFmtId="0" fontId="57" fillId="0" borderId="0"/>
    <xf numFmtId="0" fontId="55" fillId="0" borderId="0"/>
    <xf numFmtId="0" fontId="55" fillId="0" borderId="0"/>
    <xf numFmtId="0" fontId="65" fillId="0" borderId="0"/>
    <xf numFmtId="0" fontId="65" fillId="0" borderId="0"/>
    <xf numFmtId="0" fontId="67" fillId="0" borderId="0"/>
    <xf numFmtId="0" fontId="67" fillId="0" borderId="0"/>
  </cellStyleXfs>
  <cellXfs count="440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vertical="center" textRotation="255"/>
    </xf>
    <xf numFmtId="0" fontId="5" fillId="0" borderId="1" xfId="0" applyFont="1" applyBorder="1" applyAlignment="1">
      <alignment horizontal="center"/>
    </xf>
    <xf numFmtId="0" fontId="6" fillId="3" borderId="1" xfId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/>
    </xf>
    <xf numFmtId="0" fontId="0" fillId="2" borderId="0" xfId="0" applyFill="1"/>
    <xf numFmtId="1" fontId="0" fillId="0" borderId="2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7" borderId="0" xfId="0" applyFont="1" applyFill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right"/>
    </xf>
    <xf numFmtId="0" fontId="0" fillId="9" borderId="1" xfId="0" applyFill="1" applyBorder="1" applyAlignment="1">
      <alignment horizontal="center"/>
    </xf>
    <xf numFmtId="165" fontId="0" fillId="9" borderId="1" xfId="0" applyNumberFormat="1" applyFill="1" applyBorder="1" applyAlignment="1">
      <alignment horizontal="center"/>
    </xf>
    <xf numFmtId="1" fontId="0" fillId="9" borderId="1" xfId="0" applyNumberFormat="1" applyFill="1" applyBorder="1" applyAlignment="1">
      <alignment horizontal="center"/>
    </xf>
    <xf numFmtId="1" fontId="0" fillId="8" borderId="1" xfId="0" applyNumberForma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 textRotation="90" wrapText="1"/>
    </xf>
    <xf numFmtId="0" fontId="4" fillId="8" borderId="1" xfId="0" applyFont="1" applyFill="1" applyBorder="1" applyAlignment="1">
      <alignment horizontal="center" vertical="center" textRotation="90" wrapText="1"/>
    </xf>
    <xf numFmtId="0" fontId="16" fillId="12" borderId="6" xfId="0" applyFont="1" applyFill="1" applyBorder="1" applyAlignment="1">
      <alignment horizontal="center" vertical="center"/>
    </xf>
    <xf numFmtId="1" fontId="18" fillId="13" borderId="5" xfId="5" applyNumberFormat="1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0" fillId="0" borderId="0" xfId="0" applyAlignment="1">
      <alignment wrapText="1"/>
    </xf>
    <xf numFmtId="0" fontId="19" fillId="2" borderId="1" xfId="4" applyNumberFormat="1" applyFont="1" applyFill="1" applyBorder="1" applyAlignment="1">
      <alignment horizontal="center" vertical="center" wrapText="1"/>
    </xf>
    <xf numFmtId="165" fontId="16" fillId="12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20" fillId="17" borderId="9" xfId="0" applyFont="1" applyFill="1" applyBorder="1" applyAlignment="1">
      <alignment horizontal="center" vertical="center"/>
    </xf>
    <xf numFmtId="0" fontId="20" fillId="17" borderId="10" xfId="0" applyFont="1" applyFill="1" applyBorder="1" applyAlignment="1">
      <alignment horizontal="center" vertical="center"/>
    </xf>
    <xf numFmtId="0" fontId="21" fillId="17" borderId="10" xfId="0" applyFont="1" applyFill="1" applyBorder="1" applyAlignment="1">
      <alignment horizontal="center" vertical="center"/>
    </xf>
    <xf numFmtId="0" fontId="20" fillId="17" borderId="12" xfId="0" applyFont="1" applyFill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3" fillId="18" borderId="2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2" fontId="26" fillId="2" borderId="1" xfId="0" applyNumberFormat="1" applyFont="1" applyFill="1" applyBorder="1" applyAlignment="1">
      <alignment horizontal="center" vertical="center"/>
    </xf>
    <xf numFmtId="165" fontId="26" fillId="2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43" fontId="17" fillId="16" borderId="1" xfId="4" applyFont="1" applyFill="1" applyBorder="1" applyAlignment="1">
      <alignment horizontal="center" vertical="center" wrapText="1"/>
    </xf>
    <xf numFmtId="14" fontId="17" fillId="16" borderId="1" xfId="4" applyNumberFormat="1" applyFont="1" applyFill="1" applyBorder="1" applyAlignment="1">
      <alignment horizontal="center" vertical="center" wrapText="1"/>
    </xf>
    <xf numFmtId="43" fontId="17" fillId="2" borderId="1" xfId="4" applyFont="1" applyFill="1" applyBorder="1" applyAlignment="1">
      <alignment horizontal="center" vertical="center" wrapText="1"/>
    </xf>
    <xf numFmtId="0" fontId="17" fillId="2" borderId="1" xfId="4" applyNumberFormat="1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27" fillId="20" borderId="0" xfId="0" applyFont="1" applyFill="1" applyAlignment="1">
      <alignment vertical="center" wrapText="1"/>
    </xf>
    <xf numFmtId="0" fontId="22" fillId="20" borderId="15" xfId="0" applyFont="1" applyFill="1" applyBorder="1" applyAlignment="1">
      <alignment horizontal="center" vertical="center" wrapText="1"/>
    </xf>
    <xf numFmtId="0" fontId="20" fillId="17" borderId="16" xfId="0" applyFont="1" applyFill="1" applyBorder="1" applyAlignment="1">
      <alignment horizontal="center" vertical="center" wrapText="1"/>
    </xf>
    <xf numFmtId="0" fontId="21" fillId="21" borderId="9" xfId="0" applyFont="1" applyFill="1" applyBorder="1" applyAlignment="1">
      <alignment horizontal="center" vertical="center" wrapText="1"/>
    </xf>
    <xf numFmtId="0" fontId="20" fillId="21" borderId="10" xfId="0" applyFont="1" applyFill="1" applyBorder="1" applyAlignment="1">
      <alignment horizontal="center" vertical="center" wrapText="1"/>
    </xf>
    <xf numFmtId="0" fontId="21" fillId="21" borderId="10" xfId="0" applyFont="1" applyFill="1" applyBorder="1" applyAlignment="1">
      <alignment horizontal="center" vertical="center" wrapText="1"/>
    </xf>
    <xf numFmtId="0" fontId="20" fillId="17" borderId="10" xfId="0" applyFont="1" applyFill="1" applyBorder="1" applyAlignment="1">
      <alignment horizontal="center" vertical="center" wrapText="1"/>
    </xf>
    <xf numFmtId="0" fontId="28" fillId="17" borderId="10" xfId="0" applyFont="1" applyFill="1" applyBorder="1" applyAlignment="1">
      <alignment horizontal="center" vertical="center" wrapText="1"/>
    </xf>
    <xf numFmtId="0" fontId="20" fillId="17" borderId="12" xfId="0" applyFont="1" applyFill="1" applyBorder="1" applyAlignment="1">
      <alignment horizontal="center" vertical="center" wrapText="1"/>
    </xf>
    <xf numFmtId="0" fontId="22" fillId="20" borderId="11" xfId="0" applyFont="1" applyFill="1" applyBorder="1" applyAlignment="1">
      <alignment horizontal="center" vertical="center" wrapText="1"/>
    </xf>
    <xf numFmtId="0" fontId="29" fillId="20" borderId="12" xfId="0" applyFont="1" applyFill="1" applyBorder="1" applyAlignment="1">
      <alignment horizontal="center" vertical="center" wrapText="1"/>
    </xf>
    <xf numFmtId="0" fontId="22" fillId="20" borderId="12" xfId="0" applyFont="1" applyFill="1" applyBorder="1" applyAlignment="1">
      <alignment vertical="center" wrapText="1"/>
    </xf>
    <xf numFmtId="14" fontId="22" fillId="20" borderId="12" xfId="0" applyNumberFormat="1" applyFont="1" applyFill="1" applyBorder="1" applyAlignment="1">
      <alignment horizontal="center" vertical="center" wrapText="1"/>
    </xf>
    <xf numFmtId="0" fontId="22" fillId="20" borderId="12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/>
    </xf>
    <xf numFmtId="0" fontId="0" fillId="2" borderId="1" xfId="0" applyFill="1" applyBorder="1"/>
    <xf numFmtId="0" fontId="4" fillId="9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5" fillId="16" borderId="1" xfId="0" applyFont="1" applyFill="1" applyBorder="1" applyAlignment="1">
      <alignment horizontal="center"/>
    </xf>
    <xf numFmtId="0" fontId="5" fillId="22" borderId="1" xfId="0" applyFont="1" applyFill="1" applyBorder="1" applyAlignment="1">
      <alignment horizontal="center"/>
    </xf>
    <xf numFmtId="43" fontId="17" fillId="8" borderId="1" xfId="4" applyFont="1" applyFill="1" applyBorder="1" applyAlignment="1">
      <alignment horizontal="center" vertical="center" wrapText="1"/>
    </xf>
    <xf numFmtId="14" fontId="17" fillId="8" borderId="1" xfId="4" applyNumberFormat="1" applyFont="1" applyFill="1" applyBorder="1" applyAlignment="1">
      <alignment horizontal="center" vertical="center" wrapText="1"/>
    </xf>
    <xf numFmtId="0" fontId="31" fillId="8" borderId="9" xfId="0" applyFont="1" applyFill="1" applyBorder="1" applyAlignment="1">
      <alignment horizontal="center" vertical="center" wrapText="1"/>
    </xf>
    <xf numFmtId="0" fontId="31" fillId="8" borderId="10" xfId="0" applyFont="1" applyFill="1" applyBorder="1" applyAlignment="1">
      <alignment horizontal="center" vertical="center" wrapText="1"/>
    </xf>
    <xf numFmtId="1" fontId="0" fillId="0" borderId="8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0" fillId="2" borderId="8" xfId="0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0" fontId="0" fillId="2" borderId="8" xfId="0" applyFill="1" applyBorder="1"/>
    <xf numFmtId="0" fontId="6" fillId="3" borderId="2" xfId="1" applyFont="1" applyFill="1" applyBorder="1" applyAlignment="1">
      <alignment horizontal="center" vertical="center" wrapText="1"/>
    </xf>
    <xf numFmtId="0" fontId="33" fillId="5" borderId="2" xfId="0" applyFont="1" applyFill="1" applyBorder="1" applyAlignment="1">
      <alignment horizontal="center" vertical="center" textRotation="90" wrapText="1"/>
    </xf>
    <xf numFmtId="0" fontId="35" fillId="2" borderId="1" xfId="6" applyFont="1" applyFill="1" applyBorder="1" applyAlignment="1">
      <alignment horizontal="center" vertical="top" wrapText="1"/>
    </xf>
    <xf numFmtId="0" fontId="34" fillId="16" borderId="1" xfId="6" applyFont="1" applyFill="1" applyBorder="1" applyAlignment="1">
      <alignment horizontal="center" vertical="top" wrapText="1"/>
    </xf>
    <xf numFmtId="0" fontId="35" fillId="16" borderId="1" xfId="6" applyFont="1" applyFill="1" applyBorder="1" applyAlignment="1">
      <alignment horizontal="center" vertical="top"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33" fillId="5" borderId="1" xfId="0" applyFont="1" applyFill="1" applyBorder="1" applyAlignment="1">
      <alignment horizontal="center" vertical="center" textRotation="90"/>
    </xf>
    <xf numFmtId="1" fontId="36" fillId="0" borderId="1" xfId="0" applyNumberFormat="1" applyFont="1" applyBorder="1" applyAlignment="1">
      <alignment horizontal="center"/>
    </xf>
    <xf numFmtId="0" fontId="32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1" fontId="36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 textRotation="90" wrapText="1"/>
    </xf>
    <xf numFmtId="0" fontId="38" fillId="0" borderId="0" xfId="0" applyFont="1"/>
    <xf numFmtId="1" fontId="38" fillId="0" borderId="0" xfId="0" applyNumberFormat="1" applyFont="1"/>
    <xf numFmtId="0" fontId="0" fillId="0" borderId="2" xfId="0" applyBorder="1"/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8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2" fontId="26" fillId="2" borderId="2" xfId="0" applyNumberFormat="1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/>
    </xf>
    <xf numFmtId="2" fontId="26" fillId="2" borderId="8" xfId="0" applyNumberFormat="1" applyFont="1" applyFill="1" applyBorder="1" applyAlignment="1">
      <alignment horizontal="center" vertical="center"/>
    </xf>
    <xf numFmtId="0" fontId="23" fillId="18" borderId="1" xfId="0" applyFont="1" applyFill="1" applyBorder="1" applyAlignment="1">
      <alignment horizontal="center" vertical="center"/>
    </xf>
    <xf numFmtId="0" fontId="23" fillId="18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9" fontId="0" fillId="0" borderId="3" xfId="0" applyNumberFormat="1" applyBorder="1" applyAlignment="1">
      <alignment horizontal="center"/>
    </xf>
    <xf numFmtId="9" fontId="0" fillId="24" borderId="4" xfId="0" applyNumberFormat="1" applyFill="1" applyBorder="1" applyAlignment="1">
      <alignment horizontal="center"/>
    </xf>
    <xf numFmtId="9" fontId="0" fillId="9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24" borderId="3" xfId="0" applyFill="1" applyBorder="1" applyAlignment="1">
      <alignment horizontal="right"/>
    </xf>
    <xf numFmtId="0" fontId="0" fillId="9" borderId="3" xfId="0" applyFill="1" applyBorder="1" applyAlignment="1">
      <alignment horizontal="right"/>
    </xf>
    <xf numFmtId="0" fontId="0" fillId="23" borderId="3" xfId="0" applyFill="1" applyBorder="1" applyAlignment="1">
      <alignment horizontal="right"/>
    </xf>
    <xf numFmtId="0" fontId="39" fillId="20" borderId="1" xfId="0" applyFont="1" applyFill="1" applyBorder="1" applyAlignment="1">
      <alignment horizontal="center" vertical="center" wrapText="1"/>
    </xf>
    <xf numFmtId="2" fontId="39" fillId="20" borderId="1" xfId="0" applyNumberFormat="1" applyFont="1" applyFill="1" applyBorder="1" applyAlignment="1">
      <alignment horizontal="center" vertical="center" wrapText="1"/>
    </xf>
    <xf numFmtId="0" fontId="39" fillId="20" borderId="0" xfId="0" applyFont="1" applyFill="1" applyAlignment="1">
      <alignment horizontal="center" vertical="center" wrapText="1"/>
    </xf>
    <xf numFmtId="0" fontId="39" fillId="9" borderId="1" xfId="0" applyFont="1" applyFill="1" applyBorder="1" applyAlignment="1">
      <alignment horizontal="center" vertical="center" wrapText="1"/>
    </xf>
    <xf numFmtId="0" fontId="39" fillId="8" borderId="1" xfId="0" applyFont="1" applyFill="1" applyBorder="1" applyAlignment="1">
      <alignment horizontal="center" vertical="center" wrapText="1"/>
    </xf>
    <xf numFmtId="0" fontId="31" fillId="8" borderId="14" xfId="0" applyFont="1" applyFill="1" applyBorder="1" applyAlignment="1">
      <alignment horizontal="center" vertical="center" wrapText="1"/>
    </xf>
    <xf numFmtId="0" fontId="31" fillId="8" borderId="16" xfId="0" applyFont="1" applyFill="1" applyBorder="1" applyAlignment="1">
      <alignment horizontal="center" vertical="center" wrapText="1"/>
    </xf>
    <xf numFmtId="0" fontId="40" fillId="20" borderId="1" xfId="0" applyFont="1" applyFill="1" applyBorder="1" applyAlignment="1">
      <alignment horizontal="center" vertical="center" wrapText="1"/>
    </xf>
    <xf numFmtId="2" fontId="40" fillId="20" borderId="1" xfId="0" applyNumberFormat="1" applyFont="1" applyFill="1" applyBorder="1" applyAlignment="1">
      <alignment horizontal="center" vertical="center" wrapText="1"/>
    </xf>
    <xf numFmtId="2" fontId="40" fillId="20" borderId="1" xfId="0" quotePrefix="1" applyNumberFormat="1" applyFont="1" applyFill="1" applyBorder="1" applyAlignment="1">
      <alignment horizontal="center" vertical="center" wrapText="1"/>
    </xf>
    <xf numFmtId="0" fontId="41" fillId="0" borderId="1" xfId="0" applyFont="1" applyBorder="1"/>
    <xf numFmtId="0" fontId="40" fillId="20" borderId="0" xfId="0" applyFont="1" applyFill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9" borderId="8" xfId="0" applyFill="1" applyBorder="1" applyAlignment="1">
      <alignment horizontal="center"/>
    </xf>
    <xf numFmtId="0" fontId="44" fillId="0" borderId="1" xfId="0" applyFont="1" applyBorder="1" applyAlignment="1">
      <alignment horizontal="center"/>
    </xf>
    <xf numFmtId="1" fontId="44" fillId="2" borderId="1" xfId="0" applyNumberFormat="1" applyFont="1" applyFill="1" applyBorder="1" applyAlignment="1">
      <alignment horizontal="center"/>
    </xf>
    <xf numFmtId="0" fontId="44" fillId="0" borderId="3" xfId="0" applyFont="1" applyBorder="1" applyAlignment="1">
      <alignment horizontal="center"/>
    </xf>
    <xf numFmtId="1" fontId="44" fillId="0" borderId="1" xfId="0" applyNumberFormat="1" applyFont="1" applyBorder="1" applyAlignment="1">
      <alignment horizontal="center"/>
    </xf>
    <xf numFmtId="165" fontId="44" fillId="0" borderId="1" xfId="0" quotePrefix="1" applyNumberFormat="1" applyFont="1" applyBorder="1" applyAlignment="1">
      <alignment horizontal="center"/>
    </xf>
    <xf numFmtId="165" fontId="44" fillId="0" borderId="1" xfId="0" applyNumberFormat="1" applyFont="1" applyBorder="1" applyAlignment="1">
      <alignment horizontal="center"/>
    </xf>
    <xf numFmtId="0" fontId="44" fillId="0" borderId="1" xfId="0" quotePrefix="1" applyFon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1" fontId="44" fillId="2" borderId="7" xfId="0" applyNumberFormat="1" applyFont="1" applyFill="1" applyBorder="1" applyAlignment="1">
      <alignment horizontal="center"/>
    </xf>
    <xf numFmtId="1" fontId="44" fillId="2" borderId="8" xfId="0" applyNumberFormat="1" applyFont="1" applyFill="1" applyBorder="1" applyAlignment="1">
      <alignment horizontal="center"/>
    </xf>
    <xf numFmtId="1" fontId="44" fillId="0" borderId="2" xfId="0" applyNumberFormat="1" applyFont="1" applyBorder="1" applyAlignment="1">
      <alignment horizontal="center"/>
    </xf>
    <xf numFmtId="1" fontId="44" fillId="0" borderId="7" xfId="0" applyNumberFormat="1" applyFont="1" applyBorder="1" applyAlignment="1">
      <alignment horizontal="center"/>
    </xf>
    <xf numFmtId="165" fontId="44" fillId="0" borderId="7" xfId="0" quotePrefix="1" applyNumberFormat="1" applyFont="1" applyBorder="1" applyAlignment="1">
      <alignment horizontal="center"/>
    </xf>
    <xf numFmtId="165" fontId="44" fillId="0" borderId="8" xfId="0" quotePrefix="1" applyNumberFormat="1" applyFont="1" applyBorder="1" applyAlignment="1">
      <alignment horizontal="center"/>
    </xf>
    <xf numFmtId="1" fontId="44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43" fillId="12" borderId="1" xfId="0" applyFont="1" applyFill="1" applyBorder="1"/>
    <xf numFmtId="0" fontId="44" fillId="0" borderId="0" xfId="0" applyFont="1"/>
    <xf numFmtId="0" fontId="40" fillId="20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2" fontId="47" fillId="26" borderId="1" xfId="0" applyNumberFormat="1" applyFont="1" applyFill="1" applyBorder="1" applyAlignment="1">
      <alignment horizontal="center" vertical="center"/>
    </xf>
    <xf numFmtId="0" fontId="46" fillId="26" borderId="1" xfId="0" applyFont="1" applyFill="1" applyBorder="1"/>
    <xf numFmtId="0" fontId="47" fillId="26" borderId="1" xfId="0" applyFont="1" applyFill="1" applyBorder="1" applyAlignment="1">
      <alignment horizontal="center"/>
    </xf>
    <xf numFmtId="2" fontId="45" fillId="26" borderId="1" xfId="0" applyNumberFormat="1" applyFont="1" applyFill="1" applyBorder="1" applyAlignment="1">
      <alignment horizontal="center"/>
    </xf>
    <xf numFmtId="0" fontId="45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/>
    </xf>
    <xf numFmtId="0" fontId="48" fillId="26" borderId="1" xfId="0" applyFont="1" applyFill="1" applyBorder="1"/>
    <xf numFmtId="2" fontId="48" fillId="26" borderId="1" xfId="0" applyNumberFormat="1" applyFont="1" applyFill="1" applyBorder="1" applyAlignment="1">
      <alignment horizontal="center"/>
    </xf>
    <xf numFmtId="1" fontId="48" fillId="26" borderId="1" xfId="0" applyNumberFormat="1" applyFont="1" applyFill="1" applyBorder="1" applyAlignment="1">
      <alignment horizontal="center"/>
    </xf>
    <xf numFmtId="1" fontId="0" fillId="26" borderId="1" xfId="0" applyNumberFormat="1" applyFill="1" applyBorder="1" applyAlignment="1">
      <alignment horizontal="center"/>
    </xf>
    <xf numFmtId="2" fontId="0" fillId="26" borderId="1" xfId="0" applyNumberFormat="1" applyFill="1" applyBorder="1" applyAlignment="1">
      <alignment horizontal="center"/>
    </xf>
    <xf numFmtId="0" fontId="47" fillId="27" borderId="1" xfId="0" applyFont="1" applyFill="1" applyBorder="1" applyAlignment="1">
      <alignment horizontal="center" vertical="center"/>
    </xf>
    <xf numFmtId="2" fontId="47" fillId="27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14" fontId="0" fillId="18" borderId="1" xfId="0" applyNumberFormat="1" applyFill="1" applyBorder="1" applyAlignment="1">
      <alignment horizontal="center"/>
    </xf>
    <xf numFmtId="0" fontId="0" fillId="18" borderId="1" xfId="0" applyFill="1" applyBorder="1"/>
    <xf numFmtId="14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18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14" fontId="0" fillId="9" borderId="1" xfId="0" applyNumberFormat="1" applyFill="1" applyBorder="1" applyAlignment="1">
      <alignment horizontal="center"/>
    </xf>
    <xf numFmtId="0" fontId="0" fillId="25" borderId="1" xfId="0" applyFill="1" applyBorder="1" applyAlignment="1">
      <alignment horizontal="center" vertical="top"/>
    </xf>
    <xf numFmtId="14" fontId="0" fillId="25" borderId="1" xfId="0" applyNumberFormat="1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1" xfId="0" applyFill="1" applyBorder="1"/>
    <xf numFmtId="165" fontId="0" fillId="25" borderId="1" xfId="0" applyNumberFormat="1" applyFill="1" applyBorder="1" applyAlignment="1">
      <alignment horizontal="center"/>
    </xf>
    <xf numFmtId="0" fontId="50" fillId="3" borderId="1" xfId="1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 textRotation="90" wrapText="1"/>
    </xf>
    <xf numFmtId="0" fontId="16" fillId="8" borderId="1" xfId="0" applyFont="1" applyFill="1" applyBorder="1" applyAlignment="1">
      <alignment horizontal="center" vertical="center" textRotation="90" wrapText="1"/>
    </xf>
    <xf numFmtId="2" fontId="17" fillId="2" borderId="1" xfId="4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/>
    </xf>
    <xf numFmtId="0" fontId="6" fillId="3" borderId="17" xfId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3" fillId="5" borderId="20" xfId="0" applyFont="1" applyFill="1" applyBorder="1" applyAlignment="1">
      <alignment horizontal="center" vertical="center" textRotation="90" wrapText="1"/>
    </xf>
    <xf numFmtId="0" fontId="0" fillId="2" borderId="3" xfId="0" applyFill="1" applyBorder="1" applyAlignment="1">
      <alignment horizontal="center"/>
    </xf>
    <xf numFmtId="0" fontId="0" fillId="0" borderId="3" xfId="0" applyBorder="1"/>
    <xf numFmtId="0" fontId="0" fillId="0" borderId="17" xfId="0" applyBorder="1" applyAlignment="1">
      <alignment horizontal="center"/>
    </xf>
    <xf numFmtId="0" fontId="0" fillId="2" borderId="3" xfId="0" applyFill="1" applyBorder="1"/>
    <xf numFmtId="0" fontId="6" fillId="3" borderId="18" xfId="1" applyFont="1" applyFill="1" applyBorder="1" applyAlignment="1">
      <alignment horizontal="center" vertical="center" wrapText="1"/>
    </xf>
    <xf numFmtId="0" fontId="6" fillId="3" borderId="8" xfId="1" applyFont="1" applyFill="1" applyBorder="1" applyAlignment="1">
      <alignment horizontal="center" vertical="center" wrapText="1"/>
    </xf>
    <xf numFmtId="0" fontId="4" fillId="9" borderId="8" xfId="0" applyFont="1" applyFill="1" applyBorder="1" applyAlignment="1">
      <alignment horizontal="center" vertical="center" textRotation="90" wrapText="1"/>
    </xf>
    <xf numFmtId="0" fontId="4" fillId="8" borderId="8" xfId="0" applyFont="1" applyFill="1" applyBorder="1" applyAlignment="1">
      <alignment horizontal="center" vertical="center" textRotation="90" wrapText="1"/>
    </xf>
    <xf numFmtId="0" fontId="4" fillId="8" borderId="22" xfId="0" applyFont="1" applyFill="1" applyBorder="1" applyAlignment="1">
      <alignment horizontal="center" vertical="center" textRotation="90" wrapText="1"/>
    </xf>
    <xf numFmtId="0" fontId="5" fillId="2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21" xfId="0" applyBorder="1"/>
    <xf numFmtId="0" fontId="5" fillId="0" borderId="4" xfId="0" applyFont="1" applyBorder="1" applyAlignment="1">
      <alignment horizontal="center"/>
    </xf>
    <xf numFmtId="0" fontId="37" fillId="3" borderId="18" xfId="1" applyFont="1" applyFill="1" applyBorder="1" applyAlignment="1">
      <alignment horizontal="center" vertical="center" wrapText="1"/>
    </xf>
    <xf numFmtId="0" fontId="37" fillId="3" borderId="8" xfId="1" applyFont="1" applyFill="1" applyBorder="1" applyAlignment="1">
      <alignment horizontal="center" vertical="center" wrapText="1"/>
    </xf>
    <xf numFmtId="0" fontId="10" fillId="9" borderId="8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37" fillId="3" borderId="22" xfId="1" applyFont="1" applyFill="1" applyBorder="1" applyAlignment="1">
      <alignment horizontal="center" vertical="center" wrapText="1"/>
    </xf>
    <xf numFmtId="0" fontId="5" fillId="2" borderId="17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29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36" fillId="2" borderId="2" xfId="0" applyFont="1" applyFill="1" applyBorder="1" applyAlignment="1">
      <alignment horizontal="center"/>
    </xf>
    <xf numFmtId="11" fontId="0" fillId="0" borderId="2" xfId="0" applyNumberFormat="1" applyBorder="1" applyAlignment="1">
      <alignment horizontal="center"/>
    </xf>
    <xf numFmtId="0" fontId="0" fillId="9" borderId="2" xfId="0" applyFill="1" applyBorder="1" applyAlignment="1">
      <alignment horizontal="center"/>
    </xf>
    <xf numFmtId="2" fontId="17" fillId="2" borderId="2" xfId="4" applyNumberFormat="1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2" fontId="0" fillId="24" borderId="1" xfId="0" applyNumberFormat="1" applyFill="1" applyBorder="1" applyAlignment="1">
      <alignment horizontal="center" vertical="center"/>
    </xf>
    <xf numFmtId="0" fontId="3" fillId="24" borderId="1" xfId="0" applyFont="1" applyFill="1" applyBorder="1" applyAlignment="1">
      <alignment horizontal="center" vertical="center" wrapText="1"/>
    </xf>
    <xf numFmtId="166" fontId="3" fillId="24" borderId="1" xfId="0" applyNumberFormat="1" applyFont="1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47" fillId="24" borderId="1" xfId="0" applyFont="1" applyFill="1" applyBorder="1" applyAlignment="1">
      <alignment horizontal="center" vertical="center"/>
    </xf>
    <xf numFmtId="1" fontId="48" fillId="24" borderId="1" xfId="0" applyNumberFormat="1" applyFont="1" applyFill="1" applyBorder="1" applyAlignment="1">
      <alignment horizontal="center"/>
    </xf>
    <xf numFmtId="0" fontId="47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53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/>
    </xf>
    <xf numFmtId="0" fontId="0" fillId="4" borderId="1" xfId="0" applyFill="1" applyBorder="1"/>
    <xf numFmtId="0" fontId="0" fillId="0" borderId="18" xfId="0" applyBorder="1" applyAlignment="1">
      <alignment horizontal="center"/>
    </xf>
    <xf numFmtId="14" fontId="26" fillId="2" borderId="1" xfId="0" applyNumberFormat="1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0" fontId="32" fillId="20" borderId="11" xfId="0" applyFont="1" applyFill="1" applyBorder="1" applyAlignment="1">
      <alignment horizontal="center" vertical="center"/>
    </xf>
    <xf numFmtId="0" fontId="32" fillId="20" borderId="12" xfId="0" applyFont="1" applyFill="1" applyBorder="1" applyAlignment="1">
      <alignment horizontal="center" vertical="center"/>
    </xf>
    <xf numFmtId="165" fontId="0" fillId="0" borderId="1" xfId="0" applyNumberFormat="1" applyBorder="1"/>
    <xf numFmtId="0" fontId="54" fillId="0" borderId="1" xfId="0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165" fontId="54" fillId="0" borderId="1" xfId="0" applyNumberFormat="1" applyFont="1" applyBorder="1" applyAlignment="1">
      <alignment horizontal="center" vertical="center"/>
    </xf>
    <xf numFmtId="2" fontId="55" fillId="2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0" fontId="54" fillId="0" borderId="17" xfId="0" applyFont="1" applyBorder="1" applyAlignment="1">
      <alignment horizontal="center" vertical="center"/>
    </xf>
    <xf numFmtId="165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/>
    </xf>
    <xf numFmtId="165" fontId="54" fillId="0" borderId="1" xfId="0" applyNumberFormat="1" applyFont="1" applyBorder="1" applyAlignment="1">
      <alignment horizontal="center"/>
    </xf>
    <xf numFmtId="1" fontId="54" fillId="0" borderId="1" xfId="0" applyNumberFormat="1" applyFont="1" applyBorder="1" applyAlignment="1">
      <alignment horizontal="center"/>
    </xf>
    <xf numFmtId="0" fontId="54" fillId="0" borderId="23" xfId="0" applyFont="1" applyBorder="1" applyAlignment="1">
      <alignment horizontal="center" vertical="center"/>
    </xf>
    <xf numFmtId="0" fontId="54" fillId="0" borderId="25" xfId="0" applyFont="1" applyBorder="1" applyAlignment="1">
      <alignment horizontal="center" vertical="center"/>
    </xf>
    <xf numFmtId="0" fontId="54" fillId="0" borderId="2" xfId="0" applyFont="1" applyBorder="1" applyAlignment="1">
      <alignment horizontal="center"/>
    </xf>
    <xf numFmtId="165" fontId="54" fillId="0" borderId="2" xfId="0" applyNumberFormat="1" applyFont="1" applyBorder="1" applyAlignment="1">
      <alignment horizontal="center"/>
    </xf>
    <xf numFmtId="0" fontId="54" fillId="0" borderId="23" xfId="0" applyFont="1" applyBorder="1" applyAlignment="1">
      <alignment horizontal="center"/>
    </xf>
    <xf numFmtId="14" fontId="54" fillId="0" borderId="23" xfId="0" applyNumberFormat="1" applyFont="1" applyBorder="1" applyAlignment="1">
      <alignment horizontal="center"/>
    </xf>
    <xf numFmtId="0" fontId="54" fillId="0" borderId="25" xfId="0" applyFont="1" applyBorder="1" applyAlignment="1">
      <alignment horizontal="center"/>
    </xf>
    <xf numFmtId="14" fontId="54" fillId="0" borderId="25" xfId="0" applyNumberFormat="1" applyFont="1" applyBorder="1" applyAlignment="1">
      <alignment horizontal="center"/>
    </xf>
    <xf numFmtId="1" fontId="54" fillId="0" borderId="2" xfId="0" applyNumberFormat="1" applyFont="1" applyBorder="1" applyAlignment="1">
      <alignment horizontal="center"/>
    </xf>
    <xf numFmtId="1" fontId="54" fillId="0" borderId="23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4" fontId="0" fillId="0" borderId="23" xfId="0" applyNumberFormat="1" applyBorder="1" applyAlignment="1">
      <alignment horizontal="center"/>
    </xf>
    <xf numFmtId="0" fontId="54" fillId="0" borderId="23" xfId="0" applyFont="1" applyBorder="1" applyAlignment="1">
      <alignment horizontal="left"/>
    </xf>
    <xf numFmtId="14" fontId="0" fillId="0" borderId="26" xfId="0" applyNumberFormat="1" applyBorder="1" applyAlignment="1">
      <alignment horizontal="center"/>
    </xf>
    <xf numFmtId="0" fontId="54" fillId="0" borderId="27" xfId="0" applyFont="1" applyBorder="1" applyAlignment="1">
      <alignment horizontal="left"/>
    </xf>
    <xf numFmtId="0" fontId="54" fillId="0" borderId="25" xfId="0" applyFont="1" applyBorder="1" applyAlignment="1">
      <alignment horizontal="left"/>
    </xf>
    <xf numFmtId="14" fontId="0" fillId="0" borderId="28" xfId="0" applyNumberFormat="1" applyBorder="1" applyAlignment="1">
      <alignment horizontal="center"/>
    </xf>
    <xf numFmtId="2" fontId="55" fillId="2" borderId="1" xfId="4" applyNumberFormat="1" applyFont="1" applyFill="1" applyBorder="1" applyAlignment="1">
      <alignment horizontal="center" vertical="center" wrapText="1"/>
    </xf>
    <xf numFmtId="43" fontId="55" fillId="2" borderId="1" xfId="4" applyFont="1" applyFill="1" applyBorder="1" applyAlignment="1">
      <alignment horizontal="left"/>
    </xf>
    <xf numFmtId="2" fontId="55" fillId="2" borderId="2" xfId="4" applyNumberFormat="1" applyFont="1" applyFill="1" applyBorder="1" applyAlignment="1">
      <alignment horizontal="center" vertical="center" wrapText="1"/>
    </xf>
    <xf numFmtId="43" fontId="55" fillId="2" borderId="2" xfId="4" applyFont="1" applyFill="1" applyBorder="1" applyAlignment="1">
      <alignment horizontal="left"/>
    </xf>
    <xf numFmtId="0" fontId="55" fillId="2" borderId="1" xfId="4" applyNumberFormat="1" applyFont="1" applyFill="1" applyBorder="1" applyAlignment="1">
      <alignment horizontal="center" vertical="center" wrapText="1"/>
    </xf>
    <xf numFmtId="0" fontId="55" fillId="2" borderId="2" xfId="4" applyNumberFormat="1" applyFont="1" applyFill="1" applyBorder="1" applyAlignment="1">
      <alignment horizontal="center" vertical="center" wrapText="1"/>
    </xf>
    <xf numFmtId="43" fontId="17" fillId="9" borderId="1" xfId="4" applyFont="1" applyFill="1" applyBorder="1" applyAlignment="1">
      <alignment horizontal="center" vertical="center" wrapText="1"/>
    </xf>
    <xf numFmtId="14" fontId="17" fillId="9" borderId="1" xfId="4" applyNumberFormat="1" applyFont="1" applyFill="1" applyBorder="1" applyAlignment="1">
      <alignment horizontal="center" vertical="center" wrapText="1"/>
    </xf>
    <xf numFmtId="0" fontId="17" fillId="2" borderId="2" xfId="4" applyNumberFormat="1" applyFont="1" applyFill="1" applyBorder="1" applyAlignment="1">
      <alignment horizontal="center" vertical="center" wrapText="1"/>
    </xf>
    <xf numFmtId="43" fontId="17" fillId="2" borderId="2" xfId="4" applyFont="1" applyFill="1" applyBorder="1" applyAlignment="1">
      <alignment horizontal="center" vertical="center" wrapText="1"/>
    </xf>
    <xf numFmtId="166" fontId="58" fillId="0" borderId="0" xfId="13" applyNumberFormat="1" applyFont="1"/>
    <xf numFmtId="0" fontId="45" fillId="28" borderId="23" xfId="13" applyFont="1" applyFill="1" applyBorder="1" applyAlignment="1">
      <alignment horizontal="center" vertical="center"/>
    </xf>
    <xf numFmtId="2" fontId="45" fillId="28" borderId="23" xfId="13" applyNumberFormat="1" applyFont="1" applyFill="1" applyBorder="1" applyAlignment="1">
      <alignment horizontal="center" vertical="center" wrapText="1"/>
    </xf>
    <xf numFmtId="2" fontId="47" fillId="28" borderId="28" xfId="13" applyNumberFormat="1" applyFont="1" applyFill="1" applyBorder="1" applyAlignment="1">
      <alignment horizontal="center" vertical="center"/>
    </xf>
    <xf numFmtId="0" fontId="45" fillId="28" borderId="25" xfId="13" applyFont="1" applyFill="1" applyBorder="1" applyAlignment="1">
      <alignment horizontal="center" vertical="center"/>
    </xf>
    <xf numFmtId="2" fontId="45" fillId="28" borderId="25" xfId="13" applyNumberFormat="1" applyFont="1" applyFill="1" applyBorder="1" applyAlignment="1">
      <alignment horizontal="center" vertical="center"/>
    </xf>
    <xf numFmtId="2" fontId="45" fillId="28" borderId="26" xfId="13" applyNumberFormat="1" applyFont="1" applyFill="1" applyBorder="1" applyAlignment="1">
      <alignment horizontal="center" vertical="center"/>
    </xf>
    <xf numFmtId="166" fontId="3" fillId="30" borderId="1" xfId="13" applyNumberFormat="1" applyFont="1" applyFill="1" applyBorder="1" applyAlignment="1">
      <alignment horizontal="center"/>
    </xf>
    <xf numFmtId="0" fontId="61" fillId="30" borderId="1" xfId="13" applyFont="1" applyFill="1" applyBorder="1" applyAlignment="1">
      <alignment horizontal="left"/>
    </xf>
    <xf numFmtId="0" fontId="57" fillId="30" borderId="1" xfId="13" applyFill="1" applyBorder="1" applyAlignment="1">
      <alignment horizontal="center"/>
    </xf>
    <xf numFmtId="0" fontId="57" fillId="9" borderId="1" xfId="13" applyFill="1" applyBorder="1" applyAlignment="1">
      <alignment horizontal="center"/>
    </xf>
    <xf numFmtId="2" fontId="57" fillId="30" borderId="1" xfId="13" applyNumberFormat="1" applyFill="1" applyBorder="1" applyAlignment="1">
      <alignment horizontal="center"/>
    </xf>
    <xf numFmtId="1" fontId="57" fillId="30" borderId="1" xfId="13" applyNumberFormat="1" applyFill="1" applyBorder="1" applyAlignment="1">
      <alignment horizontal="center"/>
    </xf>
    <xf numFmtId="0" fontId="57" fillId="8" borderId="1" xfId="13" applyFill="1" applyBorder="1" applyAlignment="1">
      <alignment horizontal="center"/>
    </xf>
    <xf numFmtId="0" fontId="57" fillId="30" borderId="1" xfId="13" applyFill="1" applyBorder="1" applyAlignment="1">
      <alignment horizontal="left"/>
    </xf>
    <xf numFmtId="0" fontId="62" fillId="0" borderId="1" xfId="15" applyFont="1" applyBorder="1" applyAlignment="1">
      <alignment horizontal="center" vertical="top" wrapText="1"/>
    </xf>
    <xf numFmtId="0" fontId="62" fillId="16" borderId="1" xfId="15" applyFont="1" applyFill="1" applyBorder="1" applyAlignment="1">
      <alignment horizontal="center" vertical="top" wrapText="1"/>
    </xf>
    <xf numFmtId="0" fontId="17" fillId="2" borderId="0" xfId="0" applyFont="1" applyFill="1" applyAlignment="1">
      <alignment horizontal="center" vertical="center" wrapText="1"/>
    </xf>
    <xf numFmtId="0" fontId="64" fillId="16" borderId="1" xfId="15" applyFont="1" applyFill="1" applyBorder="1" applyAlignment="1">
      <alignment horizontal="center" vertical="center" wrapText="1"/>
    </xf>
    <xf numFmtId="0" fontId="62" fillId="16" borderId="1" xfId="15" applyFont="1" applyFill="1" applyBorder="1" applyAlignment="1">
      <alignment horizontal="center" vertical="center" wrapText="1"/>
    </xf>
    <xf numFmtId="0" fontId="35" fillId="16" borderId="1" xfId="6" applyFont="1" applyFill="1" applyBorder="1" applyAlignment="1">
      <alignment horizontal="center" vertical="center" wrapText="1"/>
    </xf>
    <xf numFmtId="0" fontId="62" fillId="0" borderId="1" xfId="15" applyFont="1" applyBorder="1" applyAlignment="1">
      <alignment horizontal="center" vertical="center" wrapText="1"/>
    </xf>
    <xf numFmtId="0" fontId="35" fillId="2" borderId="1" xfId="6" applyFont="1" applyFill="1" applyBorder="1" applyAlignment="1">
      <alignment horizontal="center" vertical="center" wrapText="1"/>
    </xf>
    <xf numFmtId="0" fontId="62" fillId="9" borderId="1" xfId="15" applyFont="1" applyFill="1" applyBorder="1" applyAlignment="1">
      <alignment horizontal="center" vertical="center" wrapText="1"/>
    </xf>
    <xf numFmtId="0" fontId="35" fillId="9" borderId="1" xfId="6" applyFont="1" applyFill="1" applyBorder="1" applyAlignment="1">
      <alignment horizontal="center" vertical="center" wrapText="1"/>
    </xf>
    <xf numFmtId="0" fontId="63" fillId="16" borderId="1" xfId="15" applyFont="1" applyFill="1" applyBorder="1" applyAlignment="1">
      <alignment horizontal="center" vertical="top" wrapText="1"/>
    </xf>
    <xf numFmtId="0" fontId="64" fillId="16" borderId="1" xfId="15" applyFont="1" applyFill="1" applyBorder="1" applyAlignment="1">
      <alignment horizontal="center" vertical="top" wrapText="1"/>
    </xf>
    <xf numFmtId="0" fontId="16" fillId="12" borderId="1" xfId="0" applyFont="1" applyFill="1" applyBorder="1" applyAlignment="1">
      <alignment horizontal="center" vertical="center"/>
    </xf>
    <xf numFmtId="165" fontId="16" fillId="12" borderId="1" xfId="0" applyNumberFormat="1" applyFont="1" applyFill="1" applyBorder="1" applyAlignment="1">
      <alignment horizontal="center" vertical="center"/>
    </xf>
    <xf numFmtId="1" fontId="18" fillId="13" borderId="1" xfId="5" applyNumberFormat="1" applyFont="1" applyFill="1" applyBorder="1" applyAlignment="1">
      <alignment horizontal="center" vertical="center"/>
    </xf>
    <xf numFmtId="165" fontId="16" fillId="12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43" fontId="17" fillId="16" borderId="1" xfId="4" applyFont="1" applyFill="1" applyBorder="1" applyAlignment="1">
      <alignment horizontal="center" vertical="center"/>
    </xf>
    <xf numFmtId="0" fontId="17" fillId="2" borderId="1" xfId="4" applyNumberFormat="1" applyFont="1" applyFill="1" applyBorder="1" applyAlignment="1">
      <alignment horizontal="center" vertical="center"/>
    </xf>
    <xf numFmtId="43" fontId="17" fillId="2" borderId="1" xfId="4" applyFont="1" applyFill="1" applyBorder="1" applyAlignment="1">
      <alignment horizontal="center" vertical="center"/>
    </xf>
    <xf numFmtId="43" fontId="17" fillId="22" borderId="1" xfId="4" applyFont="1" applyFill="1" applyBorder="1" applyAlignment="1">
      <alignment horizontal="center" vertical="center"/>
    </xf>
    <xf numFmtId="43" fontId="17" fillId="22" borderId="1" xfId="4" applyFont="1" applyFill="1" applyBorder="1" applyAlignment="1">
      <alignment horizontal="center" vertical="center" wrapText="1"/>
    </xf>
    <xf numFmtId="43" fontId="17" fillId="31" borderId="1" xfId="4" applyFont="1" applyFill="1" applyBorder="1" applyAlignment="1">
      <alignment horizontal="center" vertical="center"/>
    </xf>
    <xf numFmtId="43" fontId="17" fillId="31" borderId="1" xfId="4" applyFont="1" applyFill="1" applyBorder="1" applyAlignment="1">
      <alignment horizontal="center" vertical="center" wrapText="1"/>
    </xf>
    <xf numFmtId="43" fontId="17" fillId="32" borderId="1" xfId="4" applyFont="1" applyFill="1" applyBorder="1" applyAlignment="1">
      <alignment horizontal="center" vertical="center"/>
    </xf>
    <xf numFmtId="43" fontId="17" fillId="32" borderId="1" xfId="4" applyFont="1" applyFill="1" applyBorder="1" applyAlignment="1">
      <alignment horizontal="center" vertical="center" wrapText="1"/>
    </xf>
    <xf numFmtId="43" fontId="17" fillId="15" borderId="1" xfId="4" applyFont="1" applyFill="1" applyBorder="1" applyAlignment="1">
      <alignment horizontal="center" vertical="center"/>
    </xf>
    <xf numFmtId="43" fontId="17" fillId="15" borderId="1" xfId="4" applyFont="1" applyFill="1" applyBorder="1" applyAlignment="1">
      <alignment horizontal="center" vertical="center" wrapText="1"/>
    </xf>
    <xf numFmtId="14" fontId="17" fillId="22" borderId="1" xfId="4" applyNumberFormat="1" applyFont="1" applyFill="1" applyBorder="1" applyAlignment="1">
      <alignment horizontal="center" vertical="center"/>
    </xf>
    <xf numFmtId="14" fontId="17" fillId="32" borderId="1" xfId="4" applyNumberFormat="1" applyFont="1" applyFill="1" applyBorder="1" applyAlignment="1">
      <alignment horizontal="center" vertical="center"/>
    </xf>
    <xf numFmtId="0" fontId="54" fillId="0" borderId="1" xfId="15" applyFont="1" applyBorder="1" applyAlignment="1">
      <alignment horizontal="center" vertical="top"/>
    </xf>
    <xf numFmtId="0" fontId="54" fillId="0" borderId="0" xfId="0" applyFont="1"/>
    <xf numFmtId="0" fontId="54" fillId="16" borderId="1" xfId="15" applyFont="1" applyFill="1" applyBorder="1" applyAlignment="1">
      <alignment horizontal="center" vertical="top" wrapText="1"/>
    </xf>
    <xf numFmtId="0" fontId="54" fillId="0" borderId="0" xfId="0" applyFont="1" applyAlignment="1">
      <alignment horizontal="center" vertical="center" wrapText="1"/>
    </xf>
    <xf numFmtId="0" fontId="54" fillId="0" borderId="1" xfId="15" applyFont="1" applyBorder="1" applyAlignment="1">
      <alignment horizontal="center" vertical="top" wrapText="1"/>
    </xf>
    <xf numFmtId="0" fontId="66" fillId="2" borderId="1" xfId="0" applyFont="1" applyFill="1" applyBorder="1" applyAlignment="1">
      <alignment horizontal="center"/>
    </xf>
    <xf numFmtId="0" fontId="66" fillId="2" borderId="2" xfId="0" applyFont="1" applyFill="1" applyBorder="1" applyAlignment="1">
      <alignment horizontal="center"/>
    </xf>
    <xf numFmtId="0" fontId="4" fillId="9" borderId="30" xfId="0" applyFont="1" applyFill="1" applyBorder="1" applyAlignment="1">
      <alignment horizontal="center" vertical="center" textRotation="90" wrapText="1"/>
    </xf>
    <xf numFmtId="0" fontId="4" fillId="8" borderId="18" xfId="0" applyFont="1" applyFill="1" applyBorder="1" applyAlignment="1">
      <alignment horizontal="center" vertical="center" textRotation="90" wrapText="1"/>
    </xf>
    <xf numFmtId="0" fontId="66" fillId="0" borderId="1" xfId="0" applyFont="1" applyBorder="1" applyAlignment="1">
      <alignment horizontal="center"/>
    </xf>
    <xf numFmtId="0" fontId="66" fillId="0" borderId="2" xfId="0" applyFont="1" applyBorder="1" applyAlignment="1">
      <alignment horizontal="center"/>
    </xf>
    <xf numFmtId="2" fontId="67" fillId="2" borderId="1" xfId="4" applyNumberFormat="1" applyFont="1" applyFill="1" applyBorder="1" applyAlignment="1">
      <alignment horizontal="center" vertical="center" wrapText="1"/>
    </xf>
    <xf numFmtId="2" fontId="67" fillId="2" borderId="2" xfId="4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67" fillId="2" borderId="2" xfId="4" applyNumberFormat="1" applyFont="1" applyFill="1" applyBorder="1" applyAlignment="1">
      <alignment horizontal="center" vertical="center" wrapText="1"/>
    </xf>
    <xf numFmtId="0" fontId="30" fillId="34" borderId="1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 wrapText="1"/>
    </xf>
    <xf numFmtId="1" fontId="0" fillId="2" borderId="1" xfId="0" applyNumberForma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16" borderId="1" xfId="0" applyNumberFormat="1" applyFill="1" applyBorder="1" applyAlignment="1">
      <alignment horizontal="center"/>
    </xf>
    <xf numFmtId="0" fontId="17" fillId="2" borderId="1" xfId="0" applyFont="1" applyFill="1" applyBorder="1" applyAlignment="1">
      <alignment horizontal="center" vertical="center"/>
    </xf>
    <xf numFmtId="0" fontId="54" fillId="0" borderId="1" xfId="15" applyFont="1" applyBorder="1" applyAlignment="1">
      <alignment horizontal="center" vertical="center" wrapText="1"/>
    </xf>
    <xf numFmtId="0" fontId="54" fillId="0" borderId="0" xfId="0" applyFont="1" applyAlignment="1">
      <alignment vertical="center" wrapText="1"/>
    </xf>
    <xf numFmtId="0" fontId="54" fillId="16" borderId="1" xfId="15" applyFont="1" applyFill="1" applyBorder="1" applyAlignment="1">
      <alignment horizontal="center" vertical="center" wrapText="1"/>
    </xf>
    <xf numFmtId="0" fontId="66" fillId="2" borderId="4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66" fillId="2" borderId="17" xfId="0" applyFont="1" applyFill="1" applyBorder="1" applyAlignment="1">
      <alignment horizontal="center"/>
    </xf>
    <xf numFmtId="0" fontId="4" fillId="8" borderId="3" xfId="0" applyFont="1" applyFill="1" applyBorder="1" applyAlignment="1">
      <alignment horizontal="center" vertical="center" textRotation="90" wrapText="1"/>
    </xf>
    <xf numFmtId="0" fontId="4" fillId="9" borderId="19" xfId="0" applyFont="1" applyFill="1" applyBorder="1" applyAlignment="1">
      <alignment horizontal="center" vertical="center" textRotation="90" wrapText="1"/>
    </xf>
    <xf numFmtId="0" fontId="4" fillId="8" borderId="4" xfId="0" applyFont="1" applyFill="1" applyBorder="1" applyAlignment="1">
      <alignment horizontal="center" vertical="center" textRotation="90" wrapText="1"/>
    </xf>
    <xf numFmtId="0" fontId="45" fillId="27" borderId="31" xfId="0" applyFont="1" applyFill="1" applyBorder="1" applyAlignment="1">
      <alignment horizontal="center" vertical="center"/>
    </xf>
    <xf numFmtId="0" fontId="60" fillId="35" borderId="31" xfId="0" applyFont="1" applyFill="1" applyBorder="1" applyAlignment="1">
      <alignment horizontal="center" vertical="center"/>
    </xf>
    <xf numFmtId="0" fontId="47" fillId="0" borderId="31" xfId="0" applyFont="1" applyBorder="1"/>
    <xf numFmtId="11" fontId="47" fillId="0" borderId="31" xfId="0" quotePrefix="1" applyNumberFormat="1" applyFont="1" applyBorder="1"/>
    <xf numFmtId="0" fontId="47" fillId="36" borderId="31" xfId="0" applyFont="1" applyFill="1" applyBorder="1" applyAlignment="1">
      <alignment horizontal="center" vertical="center"/>
    </xf>
    <xf numFmtId="0" fontId="68" fillId="37" borderId="10" xfId="0" applyFont="1" applyFill="1" applyBorder="1" applyAlignment="1">
      <alignment horizontal="center" vertical="center" wrapText="1"/>
    </xf>
    <xf numFmtId="0" fontId="29" fillId="38" borderId="11" xfId="0" applyFont="1" applyFill="1" applyBorder="1" applyAlignment="1">
      <alignment horizontal="center" vertical="center" wrapText="1"/>
    </xf>
    <xf numFmtId="16" fontId="29" fillId="39" borderId="12" xfId="0" applyNumberFormat="1" applyFont="1" applyFill="1" applyBorder="1" applyAlignment="1">
      <alignment horizontal="center" vertical="center" wrapText="1"/>
    </xf>
    <xf numFmtId="0" fontId="29" fillId="39" borderId="12" xfId="0" applyFont="1" applyFill="1" applyBorder="1" applyAlignment="1">
      <alignment horizontal="center" vertical="center" wrapText="1"/>
    </xf>
    <xf numFmtId="0" fontId="29" fillId="40" borderId="12" xfId="0" applyFont="1" applyFill="1" applyBorder="1" applyAlignment="1">
      <alignment horizontal="center" vertical="center" wrapText="1"/>
    </xf>
    <xf numFmtId="0" fontId="0" fillId="41" borderId="8" xfId="0" applyFill="1" applyBorder="1" applyAlignment="1">
      <alignment horizontal="center"/>
    </xf>
    <xf numFmtId="0" fontId="57" fillId="12" borderId="1" xfId="0" applyFont="1" applyFill="1" applyBorder="1" applyAlignment="1">
      <alignment horizontal="center" vertical="center" wrapText="1"/>
    </xf>
    <xf numFmtId="0" fontId="57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45" fillId="28" borderId="28" xfId="13" applyFont="1" applyFill="1" applyBorder="1" applyAlignment="1">
      <alignment horizontal="center" vertical="center" wrapText="1"/>
    </xf>
    <xf numFmtId="0" fontId="59" fillId="0" borderId="29" xfId="13" applyFont="1" applyBorder="1" applyAlignment="1">
      <alignment horizontal="center" vertical="center"/>
    </xf>
    <xf numFmtId="0" fontId="59" fillId="0" borderId="24" xfId="13" applyFont="1" applyBorder="1" applyAlignment="1">
      <alignment horizontal="center" vertical="center"/>
    </xf>
    <xf numFmtId="0" fontId="45" fillId="28" borderId="28" xfId="13" applyFont="1" applyFill="1" applyBorder="1" applyAlignment="1">
      <alignment horizontal="center" vertical="center"/>
    </xf>
    <xf numFmtId="0" fontId="60" fillId="29" borderId="1" xfId="13" applyFont="1" applyFill="1" applyBorder="1" applyAlignment="1">
      <alignment horizontal="center" vertical="center"/>
    </xf>
    <xf numFmtId="0" fontId="59" fillId="0" borderId="2" xfId="13" applyFont="1" applyBorder="1" applyAlignment="1">
      <alignment horizontal="center" vertical="center"/>
    </xf>
    <xf numFmtId="166" fontId="33" fillId="30" borderId="1" xfId="13" applyNumberFormat="1" applyFont="1" applyFill="1" applyBorder="1" applyAlignment="1">
      <alignment horizontal="center" vertical="center" wrapText="1"/>
    </xf>
    <xf numFmtId="166" fontId="33" fillId="30" borderId="1" xfId="13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54" fillId="32" borderId="1" xfId="0" applyFont="1" applyFill="1" applyBorder="1" applyAlignment="1">
      <alignment horizontal="center"/>
    </xf>
    <xf numFmtId="0" fontId="54" fillId="22" borderId="3" xfId="0" applyFont="1" applyFill="1" applyBorder="1" applyAlignment="1">
      <alignment horizontal="center"/>
    </xf>
    <xf numFmtId="0" fontId="54" fillId="22" borderId="19" xfId="0" applyFont="1" applyFill="1" applyBorder="1" applyAlignment="1">
      <alignment horizontal="center"/>
    </xf>
    <xf numFmtId="0" fontId="54" fillId="22" borderId="4" xfId="0" applyFont="1" applyFill="1" applyBorder="1" applyAlignment="1">
      <alignment horizontal="center"/>
    </xf>
    <xf numFmtId="0" fontId="54" fillId="31" borderId="3" xfId="0" applyFont="1" applyFill="1" applyBorder="1" applyAlignment="1">
      <alignment horizontal="center"/>
    </xf>
    <xf numFmtId="0" fontId="54" fillId="31" borderId="19" xfId="0" applyFont="1" applyFill="1" applyBorder="1" applyAlignment="1">
      <alignment horizontal="center"/>
    </xf>
    <xf numFmtId="0" fontId="54" fillId="31" borderId="4" xfId="0" applyFont="1" applyFill="1" applyBorder="1" applyAlignment="1">
      <alignment horizontal="center"/>
    </xf>
    <xf numFmtId="0" fontId="54" fillId="16" borderId="1" xfId="0" applyFont="1" applyFill="1" applyBorder="1" applyAlignment="1">
      <alignment horizontal="center"/>
    </xf>
    <xf numFmtId="0" fontId="30" fillId="33" borderId="0" xfId="0" applyFont="1" applyFill="1" applyAlignment="1">
      <alignment horizontal="center" vertical="center" wrapText="1"/>
    </xf>
    <xf numFmtId="0" fontId="0" fillId="16" borderId="1" xfId="0" applyFill="1" applyBorder="1" applyAlignment="1">
      <alignment horizontal="center" vertical="center" textRotation="90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/>
    </xf>
    <xf numFmtId="0" fontId="0" fillId="15" borderId="2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43" fillId="12" borderId="3" xfId="0" applyFont="1" applyFill="1" applyBorder="1" applyAlignment="1">
      <alignment horizontal="center"/>
    </xf>
    <xf numFmtId="0" fontId="43" fillId="12" borderId="19" xfId="0" applyFont="1" applyFill="1" applyBorder="1" applyAlignment="1">
      <alignment horizontal="center"/>
    </xf>
    <xf numFmtId="0" fontId="43" fillId="12" borderId="4" xfId="0" applyFon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2" borderId="8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2" borderId="4" xfId="0" applyFill="1" applyBorder="1" applyAlignment="1">
      <alignment horizontal="center"/>
    </xf>
  </cellXfs>
  <cellStyles count="20">
    <cellStyle name="Millares" xfId="4" builtinId="3"/>
    <cellStyle name="Millares 11 2" xfId="3" xr:uid="{00000000-0005-0000-0000-000001000000}"/>
    <cellStyle name="Millares 2" xfId="6" xr:uid="{00000000-0005-0000-0000-000002000000}"/>
    <cellStyle name="Millares 3" xfId="8" xr:uid="{00000000-0005-0000-0000-000003000000}"/>
    <cellStyle name="Millares 4" xfId="10" xr:uid="{00000000-0005-0000-0000-000004000000}"/>
    <cellStyle name="Millares 5" xfId="12" xr:uid="{2146C3FF-3B1B-4FC4-8EBD-102C62B4A00B}"/>
    <cellStyle name="Millares 6" xfId="15" xr:uid="{15389ECB-E993-4BB7-BBB6-EEBA303B6720}"/>
    <cellStyle name="Millares 7" xfId="17" xr:uid="{1A323B91-FF9C-4ABC-ABC6-3F248A07640C}"/>
    <cellStyle name="Millares 8" xfId="19" xr:uid="{676968F6-B3A7-47F6-AEE5-9369FA8ECD0F}"/>
    <cellStyle name="Normal" xfId="0" builtinId="0"/>
    <cellStyle name="Normal 10" xfId="13" xr:uid="{79796AFC-476E-4B82-B45E-A5325A5CF9E9}"/>
    <cellStyle name="Normal 2" xfId="5" xr:uid="{00000000-0005-0000-0000-000006000000}"/>
    <cellStyle name="Normal 2 2 2" xfId="2" xr:uid="{00000000-0005-0000-0000-000007000000}"/>
    <cellStyle name="Normal 3" xfId="7" xr:uid="{00000000-0005-0000-0000-000008000000}"/>
    <cellStyle name="Normal 4" xfId="1" xr:uid="{00000000-0005-0000-0000-000009000000}"/>
    <cellStyle name="Normal 5" xfId="9" xr:uid="{00000000-0005-0000-0000-00000A000000}"/>
    <cellStyle name="Normal 6" xfId="11" xr:uid="{4DE54E02-E8B8-49CE-8C49-D7B0381CC99D}"/>
    <cellStyle name="Normal 7" xfId="14" xr:uid="{5B468730-D8C1-4660-9FE2-82A16E1C2358}"/>
    <cellStyle name="Normal 8" xfId="16" xr:uid="{53A83B46-2450-4A40-ABA2-5B6F4B245AE3}"/>
    <cellStyle name="Normal 9" xfId="18" xr:uid="{45D0C872-581A-4EE0-A3C1-59ED9A25445E}"/>
  </cellStyles>
  <dxfs count="158">
    <dxf>
      <font>
        <b/>
        <i val="0"/>
        <color rgb="FF8A0000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3300"/>
      <color rgb="FF3333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png"/><Relationship Id="rId1" Type="http://schemas.openxmlformats.org/officeDocument/2006/relationships/image" Target="../media/image10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653142</xdr:colOff>
      <xdr:row>1</xdr:row>
      <xdr:rowOff>54428</xdr:rowOff>
    </xdr:from>
    <xdr:to>
      <xdr:col>13</xdr:col>
      <xdr:colOff>476250</xdr:colOff>
      <xdr:row>5</xdr:row>
      <xdr:rowOff>40821</xdr:rowOff>
    </xdr:to>
    <xdr:sp macro="[0]!insertarLimites2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2042321" y="299357"/>
          <a:ext cx="2109108" cy="74839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SUBIR</a:t>
          </a:r>
          <a:r>
            <a:rPr lang="es-PE" sz="1400" b="1" baseline="0"/>
            <a:t> LIMITES CONDENATORIOS A SQL</a:t>
          </a:r>
          <a:endParaRPr lang="es-PE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219652</xdr:colOff>
      <xdr:row>36</xdr:row>
      <xdr:rowOff>540327</xdr:rowOff>
    </xdr:from>
    <xdr:to>
      <xdr:col>5</xdr:col>
      <xdr:colOff>571500</xdr:colOff>
      <xdr:row>79</xdr:row>
      <xdr:rowOff>86606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2DF130-F3E5-A34B-B892-1E12E8F6B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652" y="18326100"/>
          <a:ext cx="6707621" cy="8413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661266</xdr:colOff>
      <xdr:row>36</xdr:row>
      <xdr:rowOff>488084</xdr:rowOff>
    </xdr:from>
    <xdr:to>
      <xdr:col>12</xdr:col>
      <xdr:colOff>138545</xdr:colOff>
      <xdr:row>79</xdr:row>
      <xdr:rowOff>103909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27EA6C2-DC0F-A3BC-E486-23DDA7DC78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7039" y="18273857"/>
          <a:ext cx="6439188" cy="84827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216477</xdr:colOff>
      <xdr:row>36</xdr:row>
      <xdr:rowOff>444789</xdr:rowOff>
    </xdr:from>
    <xdr:to>
      <xdr:col>20</xdr:col>
      <xdr:colOff>138545</xdr:colOff>
      <xdr:row>79</xdr:row>
      <xdr:rowOff>107084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7ABAAAD-9322-A224-090C-3430968D7E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34159" y="18230562"/>
          <a:ext cx="6987886" cy="85292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20</xdr:col>
      <xdr:colOff>221961</xdr:colOff>
      <xdr:row>36</xdr:row>
      <xdr:rowOff>464416</xdr:rowOff>
    </xdr:from>
    <xdr:to>
      <xdr:col>24</xdr:col>
      <xdr:colOff>398318</xdr:colOff>
      <xdr:row>79</xdr:row>
      <xdr:rowOff>121227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43CB6D4-C309-2452-F098-B4BB2EBA5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05461" y="18250189"/>
          <a:ext cx="3709266" cy="85237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222249</xdr:colOff>
      <xdr:row>80</xdr:row>
      <xdr:rowOff>47624</xdr:rowOff>
    </xdr:from>
    <xdr:to>
      <xdr:col>5</xdr:col>
      <xdr:colOff>603249</xdr:colOff>
      <xdr:row>147</xdr:row>
      <xdr:rowOff>125005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E68C81E2-8C16-96F3-86E7-F4FA0E1A7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2249" y="27162124"/>
          <a:ext cx="6746875" cy="1071363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714374</xdr:colOff>
      <xdr:row>80</xdr:row>
      <xdr:rowOff>63500</xdr:rowOff>
    </xdr:from>
    <xdr:to>
      <xdr:col>12</xdr:col>
      <xdr:colOff>126999</xdr:colOff>
      <xdr:row>144</xdr:row>
      <xdr:rowOff>40524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5F35B2DD-1D80-F110-D42B-49961B654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0249" y="27178000"/>
          <a:ext cx="6365875" cy="1013702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222249</xdr:colOff>
      <xdr:row>80</xdr:row>
      <xdr:rowOff>95250</xdr:rowOff>
    </xdr:from>
    <xdr:to>
      <xdr:col>20</xdr:col>
      <xdr:colOff>111124</xdr:colOff>
      <xdr:row>151</xdr:row>
      <xdr:rowOff>30262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16F0643-41D7-BAF7-A368-E05B75013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41374" y="27209750"/>
          <a:ext cx="7000875" cy="112062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20</xdr:col>
      <xdr:colOff>206375</xdr:colOff>
      <xdr:row>80</xdr:row>
      <xdr:rowOff>126999</xdr:rowOff>
    </xdr:from>
    <xdr:to>
      <xdr:col>27</xdr:col>
      <xdr:colOff>705951</xdr:colOff>
      <xdr:row>139</xdr:row>
      <xdr:rowOff>79374</xdr:rowOff>
    </xdr:to>
    <xdr:pic>
      <xdr:nvPicPr>
        <xdr:cNvPr id="10" name="Picture 1">
          <a:extLst>
            <a:ext uri="{FF2B5EF4-FFF2-40B4-BE49-F238E27FC236}">
              <a16:creationId xmlns:a16="http://schemas.microsoft.com/office/drawing/2014/main" id="{BD0DA830-0874-B381-4180-4EB3DBFE3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37500" y="27241499"/>
          <a:ext cx="6627326" cy="93186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161636</xdr:colOff>
      <xdr:row>148</xdr:row>
      <xdr:rowOff>92364</xdr:rowOff>
    </xdr:from>
    <xdr:to>
      <xdr:col>3</xdr:col>
      <xdr:colOff>981364</xdr:colOff>
      <xdr:row>200</xdr:row>
      <xdr:rowOff>80818</xdr:rowOff>
    </xdr:to>
    <xdr:pic>
      <xdr:nvPicPr>
        <xdr:cNvPr id="6" name="x_Picture 1">
          <a:extLst>
            <a:ext uri="{FF2B5EF4-FFF2-40B4-BE49-F238E27FC236}">
              <a16:creationId xmlns:a16="http://schemas.microsoft.com/office/drawing/2014/main" id="{A6333EDE-7AA9-6A57-1AF9-314C518608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36" y="38215455"/>
          <a:ext cx="5045364" cy="8393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556603</xdr:colOff>
      <xdr:row>2</xdr:row>
      <xdr:rowOff>22412</xdr:rowOff>
    </xdr:from>
    <xdr:to>
      <xdr:col>27</xdr:col>
      <xdr:colOff>623487</xdr:colOff>
      <xdr:row>13</xdr:row>
      <xdr:rowOff>380492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479241F-9A28-471F-990D-8C76E4539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82603" y="500530"/>
          <a:ext cx="3114884" cy="427266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28</xdr:col>
      <xdr:colOff>84913</xdr:colOff>
      <xdr:row>1</xdr:row>
      <xdr:rowOff>239059</xdr:rowOff>
    </xdr:from>
    <xdr:to>
      <xdr:col>32</xdr:col>
      <xdr:colOff>51703</xdr:colOff>
      <xdr:row>17</xdr:row>
      <xdr:rowOff>242684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493EB2-9DBB-4014-A285-2E4099C01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20913" y="425824"/>
          <a:ext cx="3014790" cy="5972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62876</xdr:colOff>
      <xdr:row>1</xdr:row>
      <xdr:rowOff>8901</xdr:rowOff>
    </xdr:from>
    <xdr:to>
      <xdr:col>10</xdr:col>
      <xdr:colOff>439428</xdr:colOff>
      <xdr:row>11</xdr:row>
      <xdr:rowOff>117418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5661779-D506-BA09-5E07-C60AC3AFB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9720" y="187495"/>
          <a:ext cx="3424552" cy="1716655"/>
        </a:xfrm>
        <a:prstGeom prst="rect">
          <a:avLst/>
        </a:prstGeom>
      </xdr:spPr>
    </xdr:pic>
    <xdr:clientData/>
  </xdr:twoCellAnchor>
  <xdr:twoCellAnchor editAs="oneCell">
    <xdr:from>
      <xdr:col>4</xdr:col>
      <xdr:colOff>216824</xdr:colOff>
      <xdr:row>12</xdr:row>
      <xdr:rowOff>95248</xdr:rowOff>
    </xdr:from>
    <xdr:to>
      <xdr:col>7</xdr:col>
      <xdr:colOff>534700</xdr:colOff>
      <xdr:row>31</xdr:row>
      <xdr:rowOff>92276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6A737EF-CCF1-4B16-AE10-7705F1598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06274" y="2292348"/>
          <a:ext cx="2603876" cy="349587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524605</xdr:colOff>
      <xdr:row>15</xdr:row>
      <xdr:rowOff>91342</xdr:rowOff>
    </xdr:from>
    <xdr:to>
      <xdr:col>4</xdr:col>
      <xdr:colOff>134813</xdr:colOff>
      <xdr:row>29</xdr:row>
      <xdr:rowOff>133838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5CE4D75-0A44-1976-1EAA-7C82F62786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0105" y="2840892"/>
          <a:ext cx="2004158" cy="26205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349250</xdr:colOff>
      <xdr:row>0</xdr:row>
      <xdr:rowOff>127000</xdr:rowOff>
    </xdr:from>
    <xdr:to>
      <xdr:col>14</xdr:col>
      <xdr:colOff>469352</xdr:colOff>
      <xdr:row>16</xdr:row>
      <xdr:rowOff>89039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518BB04-FBFA-2ACA-735E-B38A4EA2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5250" y="127000"/>
          <a:ext cx="8502102" cy="290843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_BD_LC" displayName="tabla_BD_LC" ref="A1:CG65" totalsRowShown="0" headerRowBorderDxfId="157" tableBorderDxfId="156">
  <autoFilter ref="A1:CG65" xr:uid="{00000000-000C-0000-FFFF-FFFF00000000}"/>
  <tableColumns count="85">
    <tableColumn id="1" xr3:uid="{00000000-0010-0000-0000-000001000000}" name="CRUCE" dataDxfId="155">
      <calculatedColumnFormula>CONCATENATE(B2,C2,BP2,BQ2)</calculatedColumnFormula>
    </tableColumn>
    <tableColumn id="2" xr3:uid="{00000000-0010-0000-0000-000002000000}" name="Proyecto" dataDxfId="154"/>
    <tableColumn id="3" xr3:uid="{00000000-0010-0000-0000-000003000000}" name="COMPONENTE" dataDxfId="153"/>
    <tableColumn id="4" xr3:uid="{00000000-0010-0000-0000-000004000000}" name="FIERRO - LP" dataDxfId="152"/>
    <tableColumn id="5" xr3:uid="{00000000-0010-0000-0000-000005000000}" name="FIERRO - LC" dataDxfId="151"/>
    <tableColumn id="6" xr3:uid="{00000000-0010-0000-0000-000006000000}" name="ALUMINIO - LP" dataDxfId="150"/>
    <tableColumn id="7" xr3:uid="{00000000-0010-0000-0000-000007000000}" name="ALUMINIO - LC" dataDxfId="149"/>
    <tableColumn id="8" xr3:uid="{00000000-0010-0000-0000-000008000000}" name="COBRE - LP" dataDxfId="148"/>
    <tableColumn id="9" xr3:uid="{00000000-0010-0000-0000-000009000000}" name="COBRE - LC" dataDxfId="147"/>
    <tableColumn id="10" xr3:uid="{00000000-0010-0000-0000-00000A000000}" name="PLOMO - LP" dataDxfId="146"/>
    <tableColumn id="11" xr3:uid="{00000000-0010-0000-0000-00000B000000}" name="PLOMO - LC" dataDxfId="145"/>
    <tableColumn id="12" xr3:uid="{00000000-0010-0000-0000-00000C000000}" name="ESTAÑO - LP " dataDxfId="144"/>
    <tableColumn id="13" xr3:uid="{00000000-0010-0000-0000-00000D000000}" name="ESTAÑO - LC" dataDxfId="143"/>
    <tableColumn id="14" xr3:uid="{00000000-0010-0000-0000-00000E000000}" name="CROMO - LP" dataDxfId="142"/>
    <tableColumn id="15" xr3:uid="{00000000-0010-0000-0000-00000F000000}" name="CROMO - LC" dataDxfId="141"/>
    <tableColumn id="16" xr3:uid="{00000000-0010-0000-0000-000010000000}" name="NIQUEL - LP" dataDxfId="140"/>
    <tableColumn id="17" xr3:uid="{00000000-0010-0000-0000-000011000000}" name="NIQUEL - LC" dataDxfId="139"/>
    <tableColumn id="18" xr3:uid="{00000000-0010-0000-0000-000012000000}" name="SILICIO - LP" dataDxfId="138"/>
    <tableColumn id="19" xr3:uid="{00000000-0010-0000-0000-000013000000}" name="SILICIO - LC" dataDxfId="137"/>
    <tableColumn id="20" xr3:uid="{00000000-0010-0000-0000-000014000000}" name="SODIO - LP" dataDxfId="136"/>
    <tableColumn id="21" xr3:uid="{00000000-0010-0000-0000-000015000000}" name="SODIO - LC" dataDxfId="135"/>
    <tableColumn id="22" xr3:uid="{00000000-0010-0000-0000-000016000000}" name="POTASIO - LP" dataDxfId="134"/>
    <tableColumn id="23" xr3:uid="{00000000-0010-0000-0000-000017000000}" name="POTASIO - LC" dataDxfId="133"/>
    <tableColumn id="24" xr3:uid="{00000000-0010-0000-0000-000018000000}" name="ZINC - LP" dataDxfId="132"/>
    <tableColumn id="25" xr3:uid="{00000000-0010-0000-0000-000019000000}" name="ZINC - LC" dataDxfId="131"/>
    <tableColumn id="26" xr3:uid="{00000000-0010-0000-0000-00001A000000}" name="FOSFORO - LP" dataDxfId="130"/>
    <tableColumn id="27" xr3:uid="{00000000-0010-0000-0000-00001B000000}" name="FOSFORO - LC" dataDxfId="129"/>
    <tableColumn id="28" xr3:uid="{00000000-0010-0000-0000-00001C000000}" name="BORO - LP" dataDxfId="128"/>
    <tableColumn id="29" xr3:uid="{00000000-0010-0000-0000-00001D000000}" name="BORO - LC" dataDxfId="127"/>
    <tableColumn id="30" xr3:uid="{00000000-0010-0000-0000-00001E000000}" name="BARIO - LP" dataDxfId="126"/>
    <tableColumn id="31" xr3:uid="{00000000-0010-0000-0000-00001F000000}" name="BARIO - LC" dataDxfId="125"/>
    <tableColumn id="32" xr3:uid="{00000000-0010-0000-0000-000020000000}" name="CALCIO - LP" dataDxfId="124"/>
    <tableColumn id="33" xr3:uid="{00000000-0010-0000-0000-000021000000}" name="CALCIO - LC" dataDxfId="123"/>
    <tableColumn id="34" xr3:uid="{00000000-0010-0000-0000-000022000000}" name="MAGNESIO - LP" dataDxfId="122"/>
    <tableColumn id="35" xr3:uid="{00000000-0010-0000-0000-000023000000}" name="MAGNESIO - LC" dataDxfId="121"/>
    <tableColumn id="36" xr3:uid="{00000000-0010-0000-0000-000024000000}" name="CADMIO - LP" dataDxfId="120"/>
    <tableColumn id="37" xr3:uid="{00000000-0010-0000-0000-000025000000}" name="CADMIO - LC" dataDxfId="119"/>
    <tableColumn id="38" xr3:uid="{00000000-0010-0000-0000-000026000000}" name="VANADIO - LP" dataDxfId="118"/>
    <tableColumn id="39" xr3:uid="{00000000-0010-0000-0000-000027000000}" name="VANADIO - LC" dataDxfId="117"/>
    <tableColumn id="40" xr3:uid="{00000000-0010-0000-0000-000028000000}" name="VISC - LPI" dataDxfId="116"/>
    <tableColumn id="41" xr3:uid="{00000000-0010-0000-0000-000029000000}" name="VISC - LCI" dataDxfId="115"/>
    <tableColumn id="42" xr3:uid="{00000000-0010-0000-0000-00002A000000}" name="VISC - LPS" dataDxfId="114"/>
    <tableColumn id="43" xr3:uid="{00000000-0010-0000-0000-00002B000000}" name="VISC - LCS" dataDxfId="113"/>
    <tableColumn id="44" xr3:uid="{00000000-0010-0000-0000-00002C000000}" name="PQ - LP" dataDxfId="112"/>
    <tableColumn id="45" xr3:uid="{00000000-0010-0000-0000-00002D000000}" name="PQ - LC" dataDxfId="111"/>
    <tableColumn id="46" xr3:uid="{00000000-0010-0000-0000-00002E000000}" name="OXI - LP" dataDxfId="110"/>
    <tableColumn id="47" xr3:uid="{00000000-0010-0000-0000-00002F000000}" name="OXI - LC" dataDxfId="109"/>
    <tableColumn id="48" xr3:uid="{00000000-0010-0000-0000-000030000000}" name="SULF - LP" dataDxfId="108"/>
    <tableColumn id="49" xr3:uid="{00000000-0010-0000-0000-000031000000}" name="SULF - LC" dataDxfId="107"/>
    <tableColumn id="50" xr3:uid="{00000000-0010-0000-0000-000032000000}" name="NIT - LP" dataDxfId="106"/>
    <tableColumn id="51" xr3:uid="{00000000-0010-0000-0000-000033000000}" name="NIT - LC" dataDxfId="105"/>
    <tableColumn id="52" xr3:uid="{00000000-0010-0000-0000-000034000000}" name="TBN - LP" dataDxfId="104"/>
    <tableColumn id="53" xr3:uid="{00000000-0010-0000-0000-000035000000}" name="TBN - LC" dataDxfId="103"/>
    <tableColumn id="54" xr3:uid="{00000000-0010-0000-0000-000036000000}" name="HOLLIN - LP" dataDxfId="102"/>
    <tableColumn id="55" xr3:uid="{00000000-0010-0000-0000-000037000000}" name="HOLLIN - LC" dataDxfId="101"/>
    <tableColumn id="56" xr3:uid="{00000000-0010-0000-0000-000038000000}" name="MOLIBDENO - LP" dataDxfId="100"/>
    <tableColumn id="57" xr3:uid="{00000000-0010-0000-0000-000039000000}" name="MOLIBDENO - LC" dataDxfId="99"/>
    <tableColumn id="58" xr3:uid="{00000000-0010-0000-0000-00003A000000}" name="ISO 4um - LP" dataDxfId="98"/>
    <tableColumn id="59" xr3:uid="{00000000-0010-0000-0000-00003B000000}" name="ISO 4um - LC" dataDxfId="97"/>
    <tableColumn id="60" xr3:uid="{00000000-0010-0000-0000-00003C000000}" name="ISO 6um - LP" dataDxfId="96"/>
    <tableColumn id="61" xr3:uid="{00000000-0010-0000-0000-00003D000000}" name="ISO 6um - LC" dataDxfId="95"/>
    <tableColumn id="62" xr3:uid="{00000000-0010-0000-0000-00003E000000}" name="ISO 14um - LP" dataDxfId="94"/>
    <tableColumn id="63" xr3:uid="{00000000-0010-0000-0000-00003F000000}" name="ISO 14um - LC" dataDxfId="93"/>
    <tableColumn id="64" xr3:uid="{00000000-0010-0000-0000-000040000000}" name="Glycol - LP" dataDxfId="92"/>
    <tableColumn id="65" xr3:uid="{00000000-0010-0000-0000-000041000000}" name="Glycol - LC" dataDxfId="91"/>
    <tableColumn id="66" xr3:uid="{00000000-0010-0000-0000-000042000000}" name="H20 - LP" dataDxfId="90"/>
    <tableColumn id="67" xr3:uid="{00000000-0010-0000-0000-000043000000}" name="H20 - LC" dataDxfId="89"/>
    <tableColumn id="68" xr3:uid="{00000000-0010-0000-0000-000044000000}" name="MODELO" dataDxfId="88"/>
    <tableColumn id="69" xr3:uid="{00000000-0010-0000-0000-000045000000}" name="TIPO" dataDxfId="87"/>
    <tableColumn id="70" xr3:uid="{00000000-0010-0000-0000-000046000000}" name="VISC40 - LPI" dataDxfId="86"/>
    <tableColumn id="71" xr3:uid="{00000000-0010-0000-0000-000047000000}" name="VISC40 - LCI" dataDxfId="85"/>
    <tableColumn id="72" xr3:uid="{00000000-0010-0000-0000-000048000000}" name="AW% - LPI" dataDxfId="84"/>
    <tableColumn id="73" xr3:uid="{00000000-0010-0000-0000-000049000000}" name="AW% - LCI" dataDxfId="83"/>
    <tableColumn id="74" xr3:uid="{09190957-C839-48D6-998A-C273A82028B8}" name="TAN - LP" dataDxfId="82"/>
    <tableColumn id="75" xr3:uid="{78679112-F9C8-4DEB-AF85-98058E09736D}" name="TAN - LC" dataDxfId="81"/>
    <tableColumn id="76" xr3:uid="{D5425374-B535-49AC-91C0-4D2419911179}" name="Diesel - LP" dataDxfId="80"/>
    <tableColumn id="77" xr3:uid="{3ADEA27D-BE9D-4AA0-B5B2-2BEE98C58191}" name="Diesel - LC" dataDxfId="79"/>
    <tableColumn id="78" xr3:uid="{ACA68489-1C34-46E6-8E03-B881275E0092}" name="VISC40 - LPS" dataDxfId="78"/>
    <tableColumn id="79" xr3:uid="{ECF68E69-9A43-43DD-9E2A-FEA3B4886D01}" name="VISC40 - LCS" dataDxfId="77"/>
    <tableColumn id="80" xr3:uid="{DD70354D-9FF5-4A62-BDB7-86F3B8DB8376}" name="PLATA- LP" dataDxfId="76"/>
    <tableColumn id="81" xr3:uid="{CE926718-D742-4E84-8925-54D3C5845C40}" name="PLATA - LC" dataDxfId="75"/>
    <tableColumn id="82" xr3:uid="{6883E756-77EA-4A5A-A5B0-95C847AF1F7A}" name="ANTIMONIO - LP" dataDxfId="74"/>
    <tableColumn id="83" xr3:uid="{5C13EE18-74FB-4F53-AD5C-59CD597EDAB2}" name="ANTIMONIO - LC" dataDxfId="73"/>
    <tableColumn id="84" xr3:uid="{41408840-98EA-4B89-89E3-574AF2AE2F21}" name="LITIO - LP" dataDxfId="72"/>
    <tableColumn id="85" xr3:uid="{F9B1B2C7-372E-4ADF-A91C-33B855075A4C}" name="LITIO - LC" dataDxfId="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_BD_LB" displayName="tabla_BD_LB" ref="A1:AT683" totalsRowShown="0" headerRowDxfId="70" dataDxfId="69" tableBorderDxfId="68">
  <autoFilter ref="A1:AT683" xr:uid="{00000000-0009-0000-0100-000001000000}"/>
  <sortState xmlns:xlrd2="http://schemas.microsoft.com/office/spreadsheetml/2017/richdata2" ref="A2:AT683">
    <sortCondition ref="E1:E683"/>
  </sortState>
  <tableColumns count="46">
    <tableColumn id="1" xr3:uid="{00000000-0010-0000-0100-000001000000}" name="CRUCE" dataDxfId="67"/>
    <tableColumn id="2" xr3:uid="{00000000-0010-0000-0100-000002000000}" name="PROYECTO" dataDxfId="66"/>
    <tableColumn id="3" xr3:uid="{00000000-0010-0000-0100-000003000000}" name="LUBRICANTE" dataDxfId="65"/>
    <tableColumn id="4" xr3:uid="{00000000-0010-0000-0100-000004000000}" name="LABORATORIO" dataDxfId="64"/>
    <tableColumn id="5" xr3:uid="{00000000-0010-0000-0100-000005000000}" name="FECHA DE MUESTRA" dataDxfId="63"/>
    <tableColumn id="6" xr3:uid="{00000000-0010-0000-0100-000006000000}" name="FIERRO" dataDxfId="62" dataCellStyle="Millares"/>
    <tableColumn id="7" xr3:uid="{00000000-0010-0000-0100-000007000000}" name="ALUMINIO" dataDxfId="61" dataCellStyle="Millares"/>
    <tableColumn id="8" xr3:uid="{00000000-0010-0000-0100-000008000000}" name="COBRE" dataDxfId="60" dataCellStyle="Millares"/>
    <tableColumn id="9" xr3:uid="{00000000-0010-0000-0100-000009000000}" name="PLOMO" dataDxfId="59" dataCellStyle="Millares"/>
    <tableColumn id="10" xr3:uid="{00000000-0010-0000-0100-00000A000000}" name="ESTAÑO" dataDxfId="58" dataCellStyle="Millares"/>
    <tableColumn id="11" xr3:uid="{00000000-0010-0000-0100-00000B000000}" name="CROMO" dataDxfId="57" dataCellStyle="Millares"/>
    <tableColumn id="12" xr3:uid="{00000000-0010-0000-0100-00000C000000}" name="NIQUEL" dataDxfId="56" dataCellStyle="Millares"/>
    <tableColumn id="13" xr3:uid="{00000000-0010-0000-0100-00000D000000}" name="SILICIO" dataDxfId="55" dataCellStyle="Millares"/>
    <tableColumn id="14" xr3:uid="{00000000-0010-0000-0100-00000E000000}" name="SODIO" dataDxfId="54" dataCellStyle="Millares"/>
    <tableColumn id="15" xr3:uid="{00000000-0010-0000-0100-00000F000000}" name="POTASIO " dataDxfId="53" dataCellStyle="Millares"/>
    <tableColumn id="16" xr3:uid="{00000000-0010-0000-0100-000010000000}" name="ZINC" dataDxfId="52" dataCellStyle="Millares"/>
    <tableColumn id="17" xr3:uid="{00000000-0010-0000-0100-000011000000}" name="FOSFORO" dataDxfId="51" dataCellStyle="Millares"/>
    <tableColumn id="18" xr3:uid="{00000000-0010-0000-0100-000012000000}" name="BORO" dataDxfId="50" dataCellStyle="Millares"/>
    <tableColumn id="19" xr3:uid="{00000000-0010-0000-0100-000013000000}" name="BARIO" dataDxfId="49" dataCellStyle="Millares"/>
    <tableColumn id="20" xr3:uid="{00000000-0010-0000-0100-000014000000}" name="CALCIO" dataDxfId="48" dataCellStyle="Millares"/>
    <tableColumn id="21" xr3:uid="{00000000-0010-0000-0100-000015000000}" name="MAGNESIO" dataDxfId="47" dataCellStyle="Millares"/>
    <tableColumn id="22" xr3:uid="{00000000-0010-0000-0100-000016000000}" name="MANGANESO" dataDxfId="46" dataCellStyle="Millares"/>
    <tableColumn id="23" xr3:uid="{00000000-0010-0000-0100-000017000000}" name="CADMIO " dataDxfId="45" dataCellStyle="Millares"/>
    <tableColumn id="24" xr3:uid="{00000000-0010-0000-0100-000018000000}" name="VANADIO" dataDxfId="44" dataCellStyle="Millares"/>
    <tableColumn id="25" xr3:uid="{00000000-0010-0000-0100-000019000000}" name="MOLIBDENO" dataDxfId="43" dataCellStyle="Millares"/>
    <tableColumn id="26" xr3:uid="{00000000-0010-0000-0100-00001A000000}" name="LITIO" dataDxfId="42" dataCellStyle="Millares"/>
    <tableColumn id="27" xr3:uid="{00000000-0010-0000-0100-00001B000000}" name="PLATA" dataDxfId="41"/>
    <tableColumn id="28" xr3:uid="{00000000-0010-0000-0100-00001C000000}" name="TITANIO" dataDxfId="40" dataCellStyle="Millares"/>
    <tableColumn id="29" xr3:uid="{00000000-0010-0000-0100-00001D000000}" name="PQ" dataDxfId="39"/>
    <tableColumn id="30" xr3:uid="{00000000-0010-0000-0100-00001E000000}" name="VISC - 100°C" dataDxfId="38" dataCellStyle="Millares"/>
    <tableColumn id="31" xr3:uid="{00000000-0010-0000-0100-00001F000000}" name="VISC - 40°C" dataDxfId="37"/>
    <tableColumn id="32" xr3:uid="{00000000-0010-0000-0100-000020000000}" name="OXI" dataDxfId="36"/>
    <tableColumn id="33" xr3:uid="{00000000-0010-0000-0100-000021000000}" name="SULF" dataDxfId="35"/>
    <tableColumn id="34" xr3:uid="{00000000-0010-0000-0100-000022000000}" name="NIT" dataDxfId="34"/>
    <tableColumn id="35" xr3:uid="{00000000-0010-0000-0100-000023000000}" name="TBN" dataDxfId="33"/>
    <tableColumn id="36" xr3:uid="{00000000-0010-0000-0100-000024000000}" name="TAN" dataDxfId="32"/>
    <tableColumn id="37" xr3:uid="{00000000-0010-0000-0100-000025000000}" name="HOLLIN" dataDxfId="31"/>
    <tableColumn id="38" xr3:uid="{00000000-0010-0000-0100-000026000000}" name="ISO 4um" dataDxfId="30" dataCellStyle="Millares"/>
    <tableColumn id="39" xr3:uid="{00000000-0010-0000-0100-000027000000}" name="ISO 6um" dataDxfId="29" dataCellStyle="Millares"/>
    <tableColumn id="40" xr3:uid="{00000000-0010-0000-0100-000028000000}" name="ISO 14um" dataDxfId="28" dataCellStyle="Millares"/>
    <tableColumn id="41" xr3:uid="{00000000-0010-0000-0100-000029000000}" name="GLYCOL" dataDxfId="27"/>
    <tableColumn id="42" xr3:uid="{00000000-0010-0000-0100-00002A000000}" name="H20" dataDxfId="26"/>
    <tableColumn id="43" xr3:uid="{00000000-0010-0000-0100-00002B000000}" name="FUEL" dataDxfId="25"/>
    <tableColumn id="44" xr3:uid="{00000000-0010-0000-0100-00002C000000}" name="ANTIWEAR" dataDxfId="24"/>
    <tableColumn id="45" xr3:uid="{00000000-0010-0000-0100-00002D000000}" name="OBSERVACIONES" dataDxfId="23" dataCellStyle="Millares"/>
    <tableColumn id="46" xr3:uid="{00000000-0010-0000-0100-00002E000000}" name="CRUCE2" dataDxfId="22">
      <calculatedColumnFormula>CONCATENATE(E2,"-",A2)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_BD_LC2" displayName="tabla_BD_LC2" ref="A1:J901" totalsRowShown="0" dataDxfId="20" headerRowBorderDxfId="21" tableBorderDxfId="19">
  <autoFilter ref="A1:J901" xr:uid="{00000000-0009-0000-0100-000003000000}">
    <filterColumn colId="0">
      <filters>
        <filter val="ANTAPACCAY"/>
      </filters>
    </filterColumn>
  </autoFilter>
  <tableColumns count="10">
    <tableColumn id="1" xr3:uid="{00000000-0010-0000-0200-000001000000}" name="Proyecto" dataDxfId="18"/>
    <tableColumn id="2" xr3:uid="{00000000-0010-0000-0200-000002000000}" name="COMPONENTE" dataDxfId="17"/>
    <tableColumn id="3" xr3:uid="{00000000-0010-0000-0200-000003000000}" name="MODELO" dataDxfId="16"/>
    <tableColumn id="4" xr3:uid="{00000000-0010-0000-0200-000004000000}" name="TIPO" dataDxfId="15"/>
    <tableColumn id="5" xr3:uid="{00000000-0010-0000-0200-000005000000}" name="PARAMETRO" dataDxfId="14"/>
    <tableColumn id="6" xr3:uid="{00000000-0010-0000-0200-000006000000}" name="LPI" dataDxfId="13"/>
    <tableColumn id="7" xr3:uid="{00000000-0010-0000-0200-000007000000}" name="LCI" dataDxfId="12"/>
    <tableColumn id="8" xr3:uid="{00000000-0010-0000-0200-000008000000}" name="LPS" dataDxfId="11"/>
    <tableColumn id="9" xr3:uid="{00000000-0010-0000-0200-000009000000}" name="LCS" dataDxfId="10"/>
    <tableColumn id="10" xr3:uid="{00000000-0010-0000-0200-00000A000000}" name="SORTER" dataDxfId="9">
      <calculatedColumnFormula>VLOOKUP(E2,'C'!P:Q,2,FALSE)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F17B72-4DA8-494C-A789-EFDCEC6A09FB}" name="Tabla16" displayName="Tabla16" ref="AR1:AW17" totalsRowShown="0" headerRowDxfId="8" dataDxfId="7">
  <autoFilter ref="AR1:AW17" xr:uid="{A2F17B72-4DA8-494C-A789-EFDCEC6A09FB}"/>
  <tableColumns count="6">
    <tableColumn id="1" xr3:uid="{1F5212D3-7006-4EB2-95FC-B4F99480C52B}" name="Parámetro" dataDxfId="6"/>
    <tableColumn id="6" xr3:uid="{83E85580-B096-43CC-A22A-1AE20DAB2B71}" name="Unidad" dataDxfId="5"/>
    <tableColumn id="2" xr3:uid="{2C1B680F-C1A5-407E-95FC-2160AF3E37B7}" name="Min. Sup." dataDxfId="4"/>
    <tableColumn id="3" xr3:uid="{B9B571DB-AEE9-4EDF-8343-E16159597477}" name="Max. Sup" dataDxfId="3"/>
    <tableColumn id="4" xr3:uid="{158810FA-4EF5-4251-97B0-A40B69ABA2B7}" name="Min. Inf." dataDxfId="2"/>
    <tableColumn id="5" xr3:uid="{3C4C2B45-485C-4A97-B457-C70B89B89262}" name="Max. Inf.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FFFF"/>
    <pageSetUpPr fitToPage="1"/>
  </sheetPr>
  <dimension ref="A1:CG77"/>
  <sheetViews>
    <sheetView showGridLines="0" tabSelected="1"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" sqref="C1"/>
    </sheetView>
  </sheetViews>
  <sheetFormatPr baseColWidth="10" defaultColWidth="9.26953125" defaultRowHeight="14.5" outlineLevelCol="1" x14ac:dyDescent="0.35"/>
  <cols>
    <col min="1" max="1" width="51.54296875" bestFit="1" customWidth="1" outlineLevel="1"/>
    <col min="2" max="2" width="13.26953125" bestFit="1" customWidth="1"/>
    <col min="3" max="3" width="26.26953125" bestFit="1" customWidth="1"/>
    <col min="4" max="22" width="10.26953125" style="10" bestFit="1" customWidth="1"/>
    <col min="23" max="23" width="10.7265625" style="10" customWidth="1"/>
    <col min="24" max="27" width="10.26953125" style="10" customWidth="1"/>
    <col min="28" max="29" width="10.26953125" style="10" bestFit="1" customWidth="1"/>
    <col min="30" max="39" width="10.26953125" style="10" customWidth="1"/>
    <col min="40" max="57" width="10.26953125" style="10" bestFit="1" customWidth="1"/>
    <col min="58" max="63" width="10.26953125" customWidth="1"/>
    <col min="64" max="67" width="10.26953125" bestFit="1" customWidth="1"/>
    <col min="68" max="68" width="15.26953125" bestFit="1" customWidth="1"/>
    <col min="69" max="69" width="11.7265625" bestFit="1" customWidth="1"/>
    <col min="70" max="73" width="10.26953125" customWidth="1"/>
    <col min="74" max="75" width="10.26953125" style="10" customWidth="1"/>
    <col min="76" max="85" width="10.26953125" customWidth="1"/>
  </cols>
  <sheetData>
    <row r="1" spans="1:85" s="2" customFormat="1" ht="97.9" customHeight="1" x14ac:dyDescent="0.35">
      <c r="A1" s="210" t="s">
        <v>0</v>
      </c>
      <c r="B1" s="211" t="s">
        <v>1</v>
      </c>
      <c r="C1" s="211" t="s">
        <v>2</v>
      </c>
      <c r="D1" s="212" t="s">
        <v>3</v>
      </c>
      <c r="E1" s="213" t="s">
        <v>4</v>
      </c>
      <c r="F1" s="212" t="s">
        <v>5</v>
      </c>
      <c r="G1" s="213" t="s">
        <v>6</v>
      </c>
      <c r="H1" s="212" t="s">
        <v>7</v>
      </c>
      <c r="I1" s="213" t="s">
        <v>8</v>
      </c>
      <c r="J1" s="212" t="s">
        <v>9</v>
      </c>
      <c r="K1" s="213" t="s">
        <v>10</v>
      </c>
      <c r="L1" s="212" t="s">
        <v>11</v>
      </c>
      <c r="M1" s="213" t="s">
        <v>12</v>
      </c>
      <c r="N1" s="212" t="s">
        <v>13</v>
      </c>
      <c r="O1" s="213" t="s">
        <v>14</v>
      </c>
      <c r="P1" s="212" t="s">
        <v>15</v>
      </c>
      <c r="Q1" s="213" t="s">
        <v>16</v>
      </c>
      <c r="R1" s="212" t="s">
        <v>17</v>
      </c>
      <c r="S1" s="213" t="s">
        <v>18</v>
      </c>
      <c r="T1" s="212" t="s">
        <v>19</v>
      </c>
      <c r="U1" s="213" t="s">
        <v>20</v>
      </c>
      <c r="V1" s="212" t="s">
        <v>21</v>
      </c>
      <c r="W1" s="213" t="s">
        <v>22</v>
      </c>
      <c r="X1" s="212" t="s">
        <v>23</v>
      </c>
      <c r="Y1" s="213" t="s">
        <v>24</v>
      </c>
      <c r="Z1" s="212" t="s">
        <v>25</v>
      </c>
      <c r="AA1" s="213" t="s">
        <v>26</v>
      </c>
      <c r="AB1" s="212" t="s">
        <v>27</v>
      </c>
      <c r="AC1" s="213" t="s">
        <v>28</v>
      </c>
      <c r="AD1" s="212" t="s">
        <v>29</v>
      </c>
      <c r="AE1" s="213" t="s">
        <v>30</v>
      </c>
      <c r="AF1" s="212" t="s">
        <v>31</v>
      </c>
      <c r="AG1" s="213" t="s">
        <v>32</v>
      </c>
      <c r="AH1" s="212" t="s">
        <v>33</v>
      </c>
      <c r="AI1" s="213" t="s">
        <v>34</v>
      </c>
      <c r="AJ1" s="212" t="s">
        <v>35</v>
      </c>
      <c r="AK1" s="213" t="s">
        <v>36</v>
      </c>
      <c r="AL1" s="212" t="s">
        <v>37</v>
      </c>
      <c r="AM1" s="213" t="s">
        <v>38</v>
      </c>
      <c r="AN1" s="212" t="s">
        <v>39</v>
      </c>
      <c r="AO1" s="213" t="s">
        <v>40</v>
      </c>
      <c r="AP1" s="212" t="s">
        <v>41</v>
      </c>
      <c r="AQ1" s="213" t="s">
        <v>42</v>
      </c>
      <c r="AR1" s="212" t="s">
        <v>43</v>
      </c>
      <c r="AS1" s="213" t="s">
        <v>44</v>
      </c>
      <c r="AT1" s="212" t="s">
        <v>45</v>
      </c>
      <c r="AU1" s="213" t="s">
        <v>46</v>
      </c>
      <c r="AV1" s="212" t="s">
        <v>47</v>
      </c>
      <c r="AW1" s="213" t="s">
        <v>48</v>
      </c>
      <c r="AX1" s="212" t="s">
        <v>49</v>
      </c>
      <c r="AY1" s="213" t="s">
        <v>50</v>
      </c>
      <c r="AZ1" s="212" t="s">
        <v>51</v>
      </c>
      <c r="BA1" s="213" t="s">
        <v>52</v>
      </c>
      <c r="BB1" s="212" t="s">
        <v>53</v>
      </c>
      <c r="BC1" s="213" t="s">
        <v>54</v>
      </c>
      <c r="BD1" s="212" t="s">
        <v>55</v>
      </c>
      <c r="BE1" s="213" t="s">
        <v>56</v>
      </c>
      <c r="BF1" s="212" t="s">
        <v>57</v>
      </c>
      <c r="BG1" s="213" t="s">
        <v>58</v>
      </c>
      <c r="BH1" s="212" t="s">
        <v>59</v>
      </c>
      <c r="BI1" s="213" t="s">
        <v>60</v>
      </c>
      <c r="BJ1" s="212" t="s">
        <v>61</v>
      </c>
      <c r="BK1" s="213" t="s">
        <v>62</v>
      </c>
      <c r="BL1" s="212" t="s">
        <v>63</v>
      </c>
      <c r="BM1" s="213" t="s">
        <v>64</v>
      </c>
      <c r="BN1" s="212" t="s">
        <v>65</v>
      </c>
      <c r="BO1" s="213" t="s">
        <v>66</v>
      </c>
      <c r="BP1" s="211" t="s">
        <v>67</v>
      </c>
      <c r="BQ1" s="211" t="s">
        <v>68</v>
      </c>
      <c r="BR1" s="212" t="s">
        <v>69</v>
      </c>
      <c r="BS1" s="213" t="s">
        <v>70</v>
      </c>
      <c r="BT1" s="212" t="s">
        <v>71</v>
      </c>
      <c r="BU1" s="214" t="s">
        <v>72</v>
      </c>
      <c r="BV1" s="212" t="s">
        <v>1294</v>
      </c>
      <c r="BW1" s="213" t="s">
        <v>1295</v>
      </c>
      <c r="BX1" s="212" t="s">
        <v>1296</v>
      </c>
      <c r="BY1" s="213" t="s">
        <v>1297</v>
      </c>
      <c r="BZ1" s="353" t="s">
        <v>1299</v>
      </c>
      <c r="CA1" s="354" t="s">
        <v>1300</v>
      </c>
      <c r="CB1" s="353" t="s">
        <v>1304</v>
      </c>
      <c r="CC1" s="354" t="s">
        <v>1305</v>
      </c>
      <c r="CD1" s="353" t="s">
        <v>1306</v>
      </c>
      <c r="CE1" s="354" t="s">
        <v>1307</v>
      </c>
      <c r="CF1" s="353" t="s">
        <v>1308</v>
      </c>
      <c r="CG1" s="354" t="s">
        <v>1309</v>
      </c>
    </row>
    <row r="2" spans="1:85" x14ac:dyDescent="0.35">
      <c r="A2" s="204" t="str">
        <f>CONCATENATE(B2,C2,BP2,BQ2)</f>
        <v>ANTAPACCAYMOTOR DE TRACCION RH980E5</v>
      </c>
      <c r="B2" s="3" t="s">
        <v>73</v>
      </c>
      <c r="C2" s="3" t="s">
        <v>74</v>
      </c>
      <c r="D2" s="5">
        <v>200</v>
      </c>
      <c r="E2" s="5">
        <v>230</v>
      </c>
      <c r="F2" s="5">
        <v>2</v>
      </c>
      <c r="G2" s="5">
        <v>3</v>
      </c>
      <c r="H2" s="5">
        <v>10</v>
      </c>
      <c r="I2" s="5">
        <v>15</v>
      </c>
      <c r="J2" s="5">
        <v>3</v>
      </c>
      <c r="K2" s="5">
        <v>5</v>
      </c>
      <c r="L2" s="104">
        <v>3</v>
      </c>
      <c r="M2" s="5">
        <v>5</v>
      </c>
      <c r="N2" s="5">
        <v>2</v>
      </c>
      <c r="O2" s="5">
        <v>3</v>
      </c>
      <c r="P2" s="5">
        <v>2</v>
      </c>
      <c r="Q2" s="5">
        <v>3</v>
      </c>
      <c r="R2" s="5">
        <v>75</v>
      </c>
      <c r="S2" s="5">
        <v>80</v>
      </c>
      <c r="T2" s="5">
        <v>3</v>
      </c>
      <c r="U2" s="5">
        <v>4</v>
      </c>
      <c r="V2" s="5">
        <v>2</v>
      </c>
      <c r="W2" s="5">
        <v>3</v>
      </c>
      <c r="X2" s="5">
        <v>18</v>
      </c>
      <c r="Y2" s="5">
        <v>25</v>
      </c>
      <c r="Z2" s="91">
        <v>280</v>
      </c>
      <c r="AA2" s="91">
        <v>240</v>
      </c>
      <c r="AB2" s="5"/>
      <c r="AC2" s="5"/>
      <c r="AD2" s="5"/>
      <c r="AE2" s="5"/>
      <c r="AF2" s="5">
        <v>18</v>
      </c>
      <c r="AG2" s="5">
        <v>25</v>
      </c>
      <c r="AH2" s="5"/>
      <c r="AI2" s="5"/>
      <c r="AJ2" s="5"/>
      <c r="AK2" s="5"/>
      <c r="AL2" s="5"/>
      <c r="AM2" s="5"/>
      <c r="AN2" s="8"/>
      <c r="AO2" s="8">
        <v>70.099999999999994</v>
      </c>
      <c r="AP2" s="8"/>
      <c r="AQ2" s="8">
        <v>85.7</v>
      </c>
      <c r="AR2" s="5">
        <v>130</v>
      </c>
      <c r="AS2" s="5">
        <v>150</v>
      </c>
      <c r="AT2" s="1"/>
      <c r="AU2" s="1"/>
      <c r="AV2" s="1"/>
      <c r="AW2" s="1"/>
      <c r="AX2" s="1"/>
      <c r="AY2" s="1"/>
      <c r="AZ2" s="1"/>
      <c r="BA2" s="1"/>
      <c r="BB2" s="1"/>
      <c r="BC2" s="1"/>
      <c r="BD2" s="5"/>
      <c r="BE2" s="5"/>
      <c r="BF2" s="13"/>
      <c r="BG2" s="13"/>
      <c r="BH2" s="1">
        <v>19</v>
      </c>
      <c r="BI2" s="89">
        <v>20</v>
      </c>
      <c r="BJ2" s="89">
        <v>16</v>
      </c>
      <c r="BK2" s="89">
        <v>19</v>
      </c>
      <c r="BL2" s="13"/>
      <c r="BM2" s="13"/>
      <c r="BN2" s="13"/>
      <c r="BO2" s="13"/>
      <c r="BP2" s="1" t="s">
        <v>75</v>
      </c>
      <c r="BQ2" s="1">
        <v>5</v>
      </c>
      <c r="BR2" s="13"/>
      <c r="BS2" s="13"/>
      <c r="BT2" s="13"/>
      <c r="BU2" s="207"/>
      <c r="BV2" s="91"/>
      <c r="BW2" s="91"/>
      <c r="BX2" s="13"/>
      <c r="BY2" s="13"/>
      <c r="BZ2" s="13"/>
      <c r="CA2" s="13"/>
      <c r="CB2" s="13"/>
      <c r="CC2" s="13"/>
      <c r="CD2" s="13"/>
      <c r="CE2" s="13"/>
      <c r="CF2" s="13"/>
      <c r="CG2" s="13"/>
    </row>
    <row r="3" spans="1:85" x14ac:dyDescent="0.35">
      <c r="A3" s="204" t="str">
        <f t="shared" ref="A3:A38" si="0">CONCATENATE(B3,C3,BP3,BQ3)</f>
        <v>ANTAPACCAYMOTOR DE TRACCION LH980E5</v>
      </c>
      <c r="B3" s="3" t="s">
        <v>73</v>
      </c>
      <c r="C3" s="3" t="s">
        <v>76</v>
      </c>
      <c r="D3" s="5">
        <v>200</v>
      </c>
      <c r="E3" s="5">
        <v>230</v>
      </c>
      <c r="F3" s="5">
        <v>2</v>
      </c>
      <c r="G3" s="5">
        <v>3</v>
      </c>
      <c r="H3" s="5">
        <v>10</v>
      </c>
      <c r="I3" s="5">
        <v>15</v>
      </c>
      <c r="J3" s="5">
        <v>3</v>
      </c>
      <c r="K3" s="5">
        <v>5</v>
      </c>
      <c r="L3" s="5">
        <v>3</v>
      </c>
      <c r="M3" s="5">
        <v>5</v>
      </c>
      <c r="N3" s="5">
        <v>2</v>
      </c>
      <c r="O3" s="5">
        <v>3</v>
      </c>
      <c r="P3" s="5">
        <v>2</v>
      </c>
      <c r="Q3" s="5">
        <v>3</v>
      </c>
      <c r="R3" s="5">
        <v>75</v>
      </c>
      <c r="S3" s="5">
        <v>80</v>
      </c>
      <c r="T3" s="5">
        <v>3</v>
      </c>
      <c r="U3" s="5">
        <v>4</v>
      </c>
      <c r="V3" s="5">
        <v>2</v>
      </c>
      <c r="W3" s="5">
        <v>3</v>
      </c>
      <c r="X3" s="5">
        <v>18</v>
      </c>
      <c r="Y3" s="5">
        <v>25</v>
      </c>
      <c r="Z3" s="91">
        <v>280</v>
      </c>
      <c r="AA3" s="91">
        <v>240</v>
      </c>
      <c r="AB3" s="5"/>
      <c r="AC3" s="5"/>
      <c r="AD3" s="5"/>
      <c r="AE3" s="5"/>
      <c r="AF3" s="5">
        <v>18</v>
      </c>
      <c r="AG3" s="5">
        <v>25</v>
      </c>
      <c r="AH3" s="5"/>
      <c r="AI3" s="5"/>
      <c r="AJ3" s="5"/>
      <c r="AK3" s="5"/>
      <c r="AL3" s="5"/>
      <c r="AM3" s="5"/>
      <c r="AN3" s="8"/>
      <c r="AO3" s="8">
        <v>70.099999999999994</v>
      </c>
      <c r="AP3" s="8"/>
      <c r="AQ3" s="8">
        <v>85.7</v>
      </c>
      <c r="AR3" s="5">
        <v>130</v>
      </c>
      <c r="AS3" s="5">
        <v>150</v>
      </c>
      <c r="AT3" s="1"/>
      <c r="AU3" s="1"/>
      <c r="AV3" s="1"/>
      <c r="AW3" s="1"/>
      <c r="AX3" s="1"/>
      <c r="AY3" s="1"/>
      <c r="AZ3" s="1"/>
      <c r="BA3" s="1"/>
      <c r="BB3" s="1"/>
      <c r="BC3" s="1"/>
      <c r="BD3" s="5"/>
      <c r="BE3" s="5"/>
      <c r="BF3" s="13"/>
      <c r="BG3" s="13"/>
      <c r="BH3" s="1">
        <v>19</v>
      </c>
      <c r="BI3" s="89">
        <v>20</v>
      </c>
      <c r="BJ3" s="89">
        <v>16</v>
      </c>
      <c r="BK3" s="89">
        <v>19</v>
      </c>
      <c r="BL3" s="13"/>
      <c r="BM3" s="13"/>
      <c r="BN3" s="13"/>
      <c r="BO3" s="13"/>
      <c r="BP3" s="1" t="s">
        <v>75</v>
      </c>
      <c r="BQ3" s="1">
        <v>5</v>
      </c>
      <c r="BR3" s="13"/>
      <c r="BS3" s="13"/>
      <c r="BT3" s="13"/>
      <c r="BU3" s="207"/>
      <c r="BV3" s="1"/>
      <c r="BW3" s="1"/>
      <c r="BX3" s="13"/>
      <c r="BY3" s="13"/>
      <c r="BZ3" s="13"/>
      <c r="CA3" s="13"/>
      <c r="CB3" s="13"/>
      <c r="CC3" s="13"/>
      <c r="CD3" s="13"/>
      <c r="CE3" s="13"/>
      <c r="CF3" s="13"/>
      <c r="CG3" s="13"/>
    </row>
    <row r="4" spans="1:85" x14ac:dyDescent="0.35">
      <c r="A4" s="204" t="str">
        <f t="shared" si="0"/>
        <v>ANTAPACCAYRUEDA DELANTERA RH980E5</v>
      </c>
      <c r="B4" s="3" t="s">
        <v>73</v>
      </c>
      <c r="C4" s="3" t="s">
        <v>77</v>
      </c>
      <c r="D4" s="5">
        <v>32</v>
      </c>
      <c r="E4" s="5">
        <v>40</v>
      </c>
      <c r="F4" s="5">
        <v>3</v>
      </c>
      <c r="G4" s="5">
        <v>4</v>
      </c>
      <c r="H4" s="5">
        <v>1</v>
      </c>
      <c r="I4" s="5">
        <v>2</v>
      </c>
      <c r="J4" s="5">
        <v>2</v>
      </c>
      <c r="K4" s="5">
        <v>3</v>
      </c>
      <c r="L4" s="5">
        <v>1</v>
      </c>
      <c r="M4" s="5">
        <v>2</v>
      </c>
      <c r="N4" s="5">
        <v>1</v>
      </c>
      <c r="O4" s="5">
        <v>2</v>
      </c>
      <c r="P4" s="5">
        <v>2</v>
      </c>
      <c r="Q4" s="5">
        <v>3</v>
      </c>
      <c r="R4" s="5">
        <v>25</v>
      </c>
      <c r="S4" s="5">
        <v>27</v>
      </c>
      <c r="T4" s="5">
        <v>4</v>
      </c>
      <c r="U4" s="5">
        <v>5</v>
      </c>
      <c r="V4" s="5">
        <v>2</v>
      </c>
      <c r="W4" s="5">
        <v>3</v>
      </c>
      <c r="X4" s="1">
        <v>960</v>
      </c>
      <c r="Y4" s="1">
        <v>720</v>
      </c>
      <c r="Z4" s="1">
        <v>360</v>
      </c>
      <c r="AA4" s="1">
        <v>270</v>
      </c>
      <c r="AB4" s="14"/>
      <c r="AC4" s="14"/>
      <c r="AD4" s="5"/>
      <c r="AE4" s="5"/>
      <c r="AF4" s="1">
        <v>2080</v>
      </c>
      <c r="AG4" s="1">
        <v>1560</v>
      </c>
      <c r="AH4" s="5">
        <v>12</v>
      </c>
      <c r="AI4" s="5">
        <v>9</v>
      </c>
      <c r="AJ4" s="5"/>
      <c r="AK4" s="5"/>
      <c r="AL4" s="5"/>
      <c r="AM4" s="5"/>
      <c r="AN4" s="8">
        <v>22.229999999999997</v>
      </c>
      <c r="AO4" s="8">
        <v>21.527999999999999</v>
      </c>
      <c r="AP4" s="8">
        <v>25.740000000000002</v>
      </c>
      <c r="AQ4" s="8">
        <v>26.909999999999997</v>
      </c>
      <c r="AR4" s="5">
        <v>20</v>
      </c>
      <c r="AS4" s="5">
        <v>26</v>
      </c>
      <c r="AT4" s="1"/>
      <c r="AU4" s="1"/>
      <c r="AV4" s="1"/>
      <c r="AW4" s="1"/>
      <c r="AX4" s="1"/>
      <c r="AY4" s="1"/>
      <c r="AZ4" s="1"/>
      <c r="BA4" s="1"/>
      <c r="BB4" s="1"/>
      <c r="BC4" s="1"/>
      <c r="BD4" s="5"/>
      <c r="BE4" s="5"/>
      <c r="BF4" s="1">
        <v>22</v>
      </c>
      <c r="BG4" s="1">
        <v>23</v>
      </c>
      <c r="BH4" s="1">
        <v>19</v>
      </c>
      <c r="BI4" s="89">
        <v>20</v>
      </c>
      <c r="BJ4" s="1">
        <v>16</v>
      </c>
      <c r="BK4" s="1">
        <v>17</v>
      </c>
      <c r="BL4" s="13"/>
      <c r="BM4" s="13"/>
      <c r="BN4" s="13"/>
      <c r="BO4" s="13"/>
      <c r="BP4" s="1" t="s">
        <v>75</v>
      </c>
      <c r="BQ4" s="1">
        <v>5</v>
      </c>
      <c r="BR4" s="13"/>
      <c r="BS4" s="13"/>
      <c r="BT4" s="13"/>
      <c r="BU4" s="207"/>
      <c r="BV4" s="1"/>
      <c r="BW4" s="1"/>
      <c r="BX4" s="13"/>
      <c r="BY4" s="13"/>
      <c r="BZ4" s="13"/>
      <c r="CA4" s="13"/>
      <c r="CB4" s="13"/>
      <c r="CC4" s="13"/>
      <c r="CD4" s="13"/>
      <c r="CE4" s="13"/>
      <c r="CF4" s="13"/>
      <c r="CG4" s="13"/>
    </row>
    <row r="5" spans="1:85" x14ac:dyDescent="0.35">
      <c r="A5" s="204" t="str">
        <f t="shared" si="0"/>
        <v>ANTAPACCAYRUEDA DELANTERA LH980E5</v>
      </c>
      <c r="B5" s="3" t="s">
        <v>73</v>
      </c>
      <c r="C5" s="3" t="s">
        <v>78</v>
      </c>
      <c r="D5" s="5">
        <v>32</v>
      </c>
      <c r="E5" s="5">
        <v>40</v>
      </c>
      <c r="F5" s="5">
        <v>3</v>
      </c>
      <c r="G5" s="5">
        <v>4</v>
      </c>
      <c r="H5" s="5">
        <v>1</v>
      </c>
      <c r="I5" s="5">
        <v>2</v>
      </c>
      <c r="J5" s="5">
        <v>2</v>
      </c>
      <c r="K5" s="5">
        <v>3</v>
      </c>
      <c r="L5" s="5">
        <v>1</v>
      </c>
      <c r="M5" s="5">
        <v>2</v>
      </c>
      <c r="N5" s="5">
        <v>1</v>
      </c>
      <c r="O5" s="5">
        <v>2</v>
      </c>
      <c r="P5" s="5">
        <v>2</v>
      </c>
      <c r="Q5" s="5">
        <v>3</v>
      </c>
      <c r="R5" s="5">
        <v>25</v>
      </c>
      <c r="S5" s="5">
        <v>27</v>
      </c>
      <c r="T5" s="5">
        <v>4</v>
      </c>
      <c r="U5" s="5">
        <v>5</v>
      </c>
      <c r="V5" s="5">
        <v>2</v>
      </c>
      <c r="W5" s="5">
        <v>3</v>
      </c>
      <c r="X5" s="1">
        <v>960</v>
      </c>
      <c r="Y5" s="1">
        <v>720</v>
      </c>
      <c r="Z5" s="1">
        <v>360</v>
      </c>
      <c r="AA5" s="1">
        <v>270</v>
      </c>
      <c r="AB5" s="14"/>
      <c r="AC5" s="14"/>
      <c r="AD5" s="5"/>
      <c r="AE5" s="5"/>
      <c r="AF5" s="1">
        <v>2080</v>
      </c>
      <c r="AG5" s="1">
        <v>1560</v>
      </c>
      <c r="AH5" s="5">
        <v>12</v>
      </c>
      <c r="AI5" s="5">
        <v>9</v>
      </c>
      <c r="AJ5" s="5"/>
      <c r="AK5" s="5"/>
      <c r="AL5" s="5"/>
      <c r="AM5" s="5"/>
      <c r="AN5" s="8">
        <v>22.229999999999997</v>
      </c>
      <c r="AO5" s="8">
        <v>21.527999999999999</v>
      </c>
      <c r="AP5" s="8">
        <v>25.740000000000002</v>
      </c>
      <c r="AQ5" s="8">
        <v>26.909999999999997</v>
      </c>
      <c r="AR5" s="5">
        <v>20</v>
      </c>
      <c r="AS5" s="5">
        <v>26</v>
      </c>
      <c r="AT5" s="1"/>
      <c r="AU5" s="1"/>
      <c r="AV5" s="1"/>
      <c r="AW5" s="1"/>
      <c r="AX5" s="1"/>
      <c r="AY5" s="1"/>
      <c r="AZ5" s="1"/>
      <c r="BA5" s="1"/>
      <c r="BB5" s="1"/>
      <c r="BC5" s="1"/>
      <c r="BD5" s="5"/>
      <c r="BE5" s="5"/>
      <c r="BF5" s="1">
        <v>22</v>
      </c>
      <c r="BG5" s="1">
        <v>23</v>
      </c>
      <c r="BH5" s="1">
        <v>19</v>
      </c>
      <c r="BI5" s="89">
        <v>20</v>
      </c>
      <c r="BJ5" s="1">
        <v>16</v>
      </c>
      <c r="BK5" s="1">
        <v>17</v>
      </c>
      <c r="BL5" s="13"/>
      <c r="BM5" s="13"/>
      <c r="BN5" s="13"/>
      <c r="BO5" s="13"/>
      <c r="BP5" s="1" t="s">
        <v>75</v>
      </c>
      <c r="BQ5" s="1">
        <v>5</v>
      </c>
      <c r="BR5" s="13"/>
      <c r="BS5" s="13"/>
      <c r="BT5" s="13"/>
      <c r="BU5" s="207"/>
      <c r="BV5" s="1"/>
      <c r="BW5" s="1"/>
      <c r="BX5" s="13"/>
      <c r="BY5" s="13"/>
      <c r="BZ5" s="13"/>
      <c r="CA5" s="13"/>
      <c r="CB5" s="13"/>
      <c r="CC5" s="13"/>
      <c r="CD5" s="13"/>
      <c r="CE5" s="13"/>
      <c r="CF5" s="13"/>
      <c r="CG5" s="13"/>
    </row>
    <row r="6" spans="1:85" x14ac:dyDescent="0.35">
      <c r="A6" s="204" t="str">
        <f t="shared" si="0"/>
        <v>ANTAPACCAYSISTEMA HIDRAULICO980E5</v>
      </c>
      <c r="B6" s="3" t="s">
        <v>73</v>
      </c>
      <c r="C6" s="3" t="s">
        <v>79</v>
      </c>
      <c r="D6" s="5">
        <v>6</v>
      </c>
      <c r="E6" s="5">
        <v>7</v>
      </c>
      <c r="F6" s="5">
        <v>3</v>
      </c>
      <c r="G6" s="5">
        <v>4</v>
      </c>
      <c r="H6" s="5">
        <v>19</v>
      </c>
      <c r="I6" s="5">
        <v>25</v>
      </c>
      <c r="J6" s="5">
        <v>3</v>
      </c>
      <c r="K6" s="5">
        <v>5</v>
      </c>
      <c r="L6" s="5">
        <v>3</v>
      </c>
      <c r="M6" s="5">
        <v>5</v>
      </c>
      <c r="N6" s="5">
        <v>1</v>
      </c>
      <c r="O6" s="5">
        <v>2</v>
      </c>
      <c r="P6" s="5">
        <v>2</v>
      </c>
      <c r="Q6" s="5">
        <v>3</v>
      </c>
      <c r="R6" s="5">
        <v>9</v>
      </c>
      <c r="S6" s="5">
        <v>10</v>
      </c>
      <c r="T6" s="5">
        <v>2</v>
      </c>
      <c r="U6" s="5">
        <v>3</v>
      </c>
      <c r="V6" s="5">
        <v>2</v>
      </c>
      <c r="W6" s="5">
        <v>3</v>
      </c>
      <c r="X6" s="1"/>
      <c r="Y6" s="1"/>
      <c r="Z6" s="1"/>
      <c r="AA6" s="1"/>
      <c r="AB6" s="5"/>
      <c r="AC6" s="5"/>
      <c r="AD6" s="5"/>
      <c r="AE6" s="5"/>
      <c r="AF6" s="1"/>
      <c r="AG6" s="1"/>
      <c r="AH6" s="5"/>
      <c r="AI6" s="5"/>
      <c r="AJ6" s="5"/>
      <c r="AK6" s="5"/>
      <c r="AL6" s="5"/>
      <c r="AM6" s="5"/>
      <c r="AN6" s="8">
        <v>5.8</v>
      </c>
      <c r="AO6" s="8">
        <v>5.6</v>
      </c>
      <c r="AP6" s="8">
        <v>6.7</v>
      </c>
      <c r="AQ6" s="8">
        <v>7</v>
      </c>
      <c r="AR6" s="5"/>
      <c r="AS6" s="5"/>
      <c r="AT6" s="1"/>
      <c r="AU6" s="1"/>
      <c r="AV6" s="1"/>
      <c r="AW6" s="1"/>
      <c r="AX6" s="1"/>
      <c r="AY6" s="1"/>
      <c r="AZ6" s="1"/>
      <c r="BA6" s="1"/>
      <c r="BB6" s="1"/>
      <c r="BC6" s="1"/>
      <c r="BD6" s="5"/>
      <c r="BE6" s="5"/>
      <c r="BF6" s="1">
        <v>22</v>
      </c>
      <c r="BG6" s="1">
        <v>23</v>
      </c>
      <c r="BH6" s="1">
        <v>19</v>
      </c>
      <c r="BI6" s="89">
        <v>20</v>
      </c>
      <c r="BJ6" s="1">
        <v>16</v>
      </c>
      <c r="BK6" s="1">
        <v>17</v>
      </c>
      <c r="BL6" s="13"/>
      <c r="BM6" s="13"/>
      <c r="BN6" s="13"/>
      <c r="BO6" s="13"/>
      <c r="BP6" s="1" t="s">
        <v>75</v>
      </c>
      <c r="BQ6" s="1">
        <v>5</v>
      </c>
      <c r="BR6" s="13"/>
      <c r="BS6" s="13"/>
      <c r="BT6" s="13"/>
      <c r="BU6" s="207"/>
      <c r="BV6" s="1"/>
      <c r="BW6" s="1"/>
      <c r="BX6" s="13"/>
      <c r="BY6" s="13"/>
      <c r="BZ6" s="13"/>
      <c r="CA6" s="13"/>
      <c r="CB6" s="13"/>
      <c r="CC6" s="13"/>
      <c r="CD6" s="13"/>
      <c r="CE6" s="13"/>
      <c r="CF6" s="13"/>
      <c r="CG6" s="13"/>
    </row>
    <row r="7" spans="1:85" x14ac:dyDescent="0.35">
      <c r="A7" s="204" t="str">
        <f t="shared" si="0"/>
        <v>ANTAPACCAYMOTOR980E5</v>
      </c>
      <c r="B7" s="3" t="s">
        <v>73</v>
      </c>
      <c r="C7" s="3" t="s">
        <v>80</v>
      </c>
      <c r="D7" s="8">
        <v>12</v>
      </c>
      <c r="E7" s="8">
        <v>14</v>
      </c>
      <c r="F7" s="8">
        <v>2</v>
      </c>
      <c r="G7" s="8">
        <v>3</v>
      </c>
      <c r="H7" s="8">
        <v>3</v>
      </c>
      <c r="I7" s="8">
        <v>3.5</v>
      </c>
      <c r="J7" s="8">
        <v>2.9</v>
      </c>
      <c r="K7" s="8">
        <v>3.5</v>
      </c>
      <c r="L7" s="8"/>
      <c r="M7" s="8"/>
      <c r="N7" s="8">
        <v>0.7</v>
      </c>
      <c r="O7" s="8">
        <v>1</v>
      </c>
      <c r="P7" s="8"/>
      <c r="Q7" s="8"/>
      <c r="R7" s="8">
        <v>5</v>
      </c>
      <c r="S7" s="8">
        <v>6</v>
      </c>
      <c r="T7" s="8">
        <v>5</v>
      </c>
      <c r="U7" s="8">
        <v>6</v>
      </c>
      <c r="V7" s="8">
        <v>1.6</v>
      </c>
      <c r="W7" s="8">
        <v>3</v>
      </c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>
        <v>13.5</v>
      </c>
      <c r="AO7" s="8">
        <v>13</v>
      </c>
      <c r="AP7" s="8">
        <v>16</v>
      </c>
      <c r="AQ7" s="8">
        <v>16.5</v>
      </c>
      <c r="AR7" s="8">
        <v>3</v>
      </c>
      <c r="AS7" s="8">
        <v>4</v>
      </c>
      <c r="AT7" s="8">
        <v>7</v>
      </c>
      <c r="AU7" s="8">
        <v>8.5</v>
      </c>
      <c r="AV7" s="8">
        <v>3</v>
      </c>
      <c r="AW7" s="8">
        <v>4</v>
      </c>
      <c r="AX7" s="8">
        <v>9</v>
      </c>
      <c r="AY7" s="8">
        <v>11</v>
      </c>
      <c r="AZ7" s="8">
        <v>6</v>
      </c>
      <c r="BA7" s="8">
        <v>5</v>
      </c>
      <c r="BB7" s="8">
        <v>0.4</v>
      </c>
      <c r="BC7" s="8">
        <v>0.5</v>
      </c>
      <c r="BD7" s="8"/>
      <c r="BE7" s="8"/>
      <c r="BF7" s="13"/>
      <c r="BG7" s="13"/>
      <c r="BH7" s="13"/>
      <c r="BI7" s="13"/>
      <c r="BJ7" s="13"/>
      <c r="BK7" s="13"/>
      <c r="BL7" s="1">
        <v>0.3</v>
      </c>
      <c r="BM7" s="1">
        <v>0.4</v>
      </c>
      <c r="BN7" s="1">
        <v>0.2</v>
      </c>
      <c r="BO7" s="1">
        <v>0.3</v>
      </c>
      <c r="BP7" s="1" t="s">
        <v>75</v>
      </c>
      <c r="BQ7" s="1">
        <v>5</v>
      </c>
      <c r="BR7" s="13"/>
      <c r="BS7" s="13"/>
      <c r="BT7" s="13"/>
      <c r="BU7" s="207"/>
      <c r="BV7" s="1"/>
      <c r="BW7" s="1"/>
      <c r="BX7" s="13"/>
      <c r="BY7" s="13"/>
      <c r="BZ7" s="13"/>
      <c r="CA7" s="13"/>
      <c r="CB7" s="13"/>
      <c r="CC7" s="13"/>
      <c r="CD7" s="13"/>
      <c r="CE7" s="13"/>
      <c r="CF7" s="13"/>
      <c r="CG7" s="13"/>
    </row>
    <row r="8" spans="1:85" x14ac:dyDescent="0.35">
      <c r="A8" s="204" t="str">
        <f t="shared" si="0"/>
        <v>TOROMOCHOMOTOR DE TRACCION LH980E5</v>
      </c>
      <c r="B8" s="3" t="s">
        <v>81</v>
      </c>
      <c r="C8" s="3" t="s">
        <v>76</v>
      </c>
      <c r="D8" s="89">
        <v>145</v>
      </c>
      <c r="E8" s="89">
        <v>165</v>
      </c>
      <c r="F8" s="89">
        <v>1</v>
      </c>
      <c r="G8" s="89">
        <v>2</v>
      </c>
      <c r="H8" s="89">
        <v>6</v>
      </c>
      <c r="I8" s="89">
        <v>10</v>
      </c>
      <c r="J8" s="89">
        <v>2</v>
      </c>
      <c r="K8" s="89">
        <v>3</v>
      </c>
      <c r="L8" s="89"/>
      <c r="M8" s="89"/>
      <c r="N8" s="89">
        <v>1</v>
      </c>
      <c r="O8" s="89">
        <v>2</v>
      </c>
      <c r="P8" s="89"/>
      <c r="Q8" s="89"/>
      <c r="R8" s="89">
        <v>21</v>
      </c>
      <c r="S8" s="89">
        <v>26</v>
      </c>
      <c r="T8" s="89">
        <v>1</v>
      </c>
      <c r="U8" s="89">
        <v>2</v>
      </c>
      <c r="V8" s="89"/>
      <c r="W8" s="89"/>
      <c r="X8" s="89"/>
      <c r="Y8" s="89"/>
      <c r="Z8" s="91">
        <v>280</v>
      </c>
      <c r="AA8" s="91">
        <v>240</v>
      </c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90"/>
      <c r="AO8" s="90">
        <v>71.400000000000006</v>
      </c>
      <c r="AP8" s="90"/>
      <c r="AQ8" s="90">
        <v>87.2</v>
      </c>
      <c r="AR8" s="89">
        <v>130</v>
      </c>
      <c r="AS8" s="89">
        <v>150</v>
      </c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89"/>
      <c r="BE8" s="89"/>
      <c r="BF8" s="92"/>
      <c r="BG8" s="92"/>
      <c r="BH8" s="1">
        <v>19</v>
      </c>
      <c r="BI8" s="89">
        <v>20</v>
      </c>
      <c r="BJ8" s="89">
        <v>16</v>
      </c>
      <c r="BK8" s="89">
        <v>19</v>
      </c>
      <c r="BL8" s="92"/>
      <c r="BM8" s="92"/>
      <c r="BN8" s="92"/>
      <c r="BO8" s="92"/>
      <c r="BP8" s="91" t="s">
        <v>75</v>
      </c>
      <c r="BQ8" s="91">
        <v>5</v>
      </c>
      <c r="BR8" s="13"/>
      <c r="BS8" s="13"/>
      <c r="BT8" s="13"/>
      <c r="BU8" s="207"/>
      <c r="BV8" s="1"/>
      <c r="BW8" s="1"/>
      <c r="BX8" s="13"/>
      <c r="BY8" s="13"/>
      <c r="BZ8" s="13"/>
      <c r="CA8" s="13"/>
      <c r="CB8" s="13"/>
      <c r="CC8" s="13"/>
      <c r="CD8" s="13"/>
      <c r="CE8" s="13"/>
      <c r="CF8" s="13"/>
      <c r="CG8" s="13"/>
    </row>
    <row r="9" spans="1:85" x14ac:dyDescent="0.35">
      <c r="A9" s="204" t="str">
        <f t="shared" si="0"/>
        <v>TOROMOCHOMOTOR DE TRACCION RH980E5</v>
      </c>
      <c r="B9" s="3" t="s">
        <v>81</v>
      </c>
      <c r="C9" s="3" t="s">
        <v>74</v>
      </c>
      <c r="D9" s="5">
        <v>145</v>
      </c>
      <c r="E9" s="5">
        <v>165</v>
      </c>
      <c r="F9" s="5">
        <v>1</v>
      </c>
      <c r="G9" s="5">
        <v>2</v>
      </c>
      <c r="H9" s="5">
        <v>6</v>
      </c>
      <c r="I9" s="5">
        <v>10</v>
      </c>
      <c r="J9" s="5">
        <v>2</v>
      </c>
      <c r="K9" s="5">
        <v>3</v>
      </c>
      <c r="L9" s="5"/>
      <c r="M9" s="5"/>
      <c r="N9" s="5">
        <v>1</v>
      </c>
      <c r="O9" s="5">
        <v>2</v>
      </c>
      <c r="P9" s="5"/>
      <c r="Q9" s="5"/>
      <c r="R9" s="5">
        <v>21</v>
      </c>
      <c r="S9" s="5">
        <v>26</v>
      </c>
      <c r="T9" s="5">
        <v>1</v>
      </c>
      <c r="U9" s="5">
        <v>2</v>
      </c>
      <c r="V9" s="5"/>
      <c r="W9" s="5"/>
      <c r="X9" s="5"/>
      <c r="Y9" s="5"/>
      <c r="Z9" s="91">
        <v>280</v>
      </c>
      <c r="AA9" s="91">
        <v>240</v>
      </c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8"/>
      <c r="AO9" s="8">
        <v>71.400000000000006</v>
      </c>
      <c r="AP9" s="8"/>
      <c r="AQ9" s="8">
        <v>87.2</v>
      </c>
      <c r="AR9" s="5">
        <v>130</v>
      </c>
      <c r="AS9" s="5">
        <v>150</v>
      </c>
      <c r="AT9" s="1"/>
      <c r="AU9" s="1"/>
      <c r="AV9" s="1"/>
      <c r="AW9" s="1"/>
      <c r="AX9" s="1"/>
      <c r="AY9" s="1"/>
      <c r="AZ9" s="1"/>
      <c r="BA9" s="1"/>
      <c r="BB9" s="1"/>
      <c r="BC9" s="1"/>
      <c r="BD9" s="5"/>
      <c r="BE9" s="5"/>
      <c r="BF9" s="13"/>
      <c r="BG9" s="13"/>
      <c r="BH9" s="1">
        <v>19</v>
      </c>
      <c r="BI9" s="89">
        <v>20</v>
      </c>
      <c r="BJ9" s="89">
        <v>16</v>
      </c>
      <c r="BK9" s="89">
        <v>19</v>
      </c>
      <c r="BL9" s="13"/>
      <c r="BM9" s="13"/>
      <c r="BN9" s="13"/>
      <c r="BO9" s="13"/>
      <c r="BP9" s="1" t="s">
        <v>75</v>
      </c>
      <c r="BQ9" s="1">
        <v>5</v>
      </c>
      <c r="BR9" s="13"/>
      <c r="BS9" s="13"/>
      <c r="BT9" s="13"/>
      <c r="BU9" s="207"/>
      <c r="BV9" s="1"/>
      <c r="BW9" s="1"/>
      <c r="BX9" s="13"/>
      <c r="BY9" s="13"/>
      <c r="BZ9" s="13"/>
      <c r="CA9" s="13"/>
      <c r="CB9" s="13"/>
      <c r="CC9" s="13"/>
      <c r="CD9" s="13"/>
      <c r="CE9" s="13"/>
      <c r="CF9" s="13"/>
      <c r="CG9" s="13"/>
    </row>
    <row r="10" spans="1:85" x14ac:dyDescent="0.35">
      <c r="A10" s="204" t="str">
        <f t="shared" si="0"/>
        <v>TOROMOCHORUEDA DELANTERA LH980E5</v>
      </c>
      <c r="B10" s="3" t="s">
        <v>81</v>
      </c>
      <c r="C10" s="3" t="s">
        <v>78</v>
      </c>
      <c r="D10" s="5">
        <v>80</v>
      </c>
      <c r="E10" s="5">
        <v>140</v>
      </c>
      <c r="F10" s="5">
        <v>2</v>
      </c>
      <c r="G10" s="5">
        <v>3</v>
      </c>
      <c r="H10" s="5">
        <v>1</v>
      </c>
      <c r="I10" s="5">
        <v>2</v>
      </c>
      <c r="J10" s="5">
        <v>2</v>
      </c>
      <c r="K10" s="5">
        <v>3</v>
      </c>
      <c r="L10" s="5"/>
      <c r="M10" s="5"/>
      <c r="N10" s="5">
        <v>1</v>
      </c>
      <c r="O10" s="5">
        <v>2</v>
      </c>
      <c r="P10" s="5"/>
      <c r="Q10" s="5"/>
      <c r="R10" s="5">
        <v>9</v>
      </c>
      <c r="S10" s="5">
        <v>11</v>
      </c>
      <c r="T10" s="5">
        <v>4</v>
      </c>
      <c r="U10" s="5">
        <v>5</v>
      </c>
      <c r="V10" s="5"/>
      <c r="W10" s="5"/>
      <c r="X10" s="5">
        <v>1009.6</v>
      </c>
      <c r="Y10" s="5">
        <v>757.19999999999993</v>
      </c>
      <c r="Z10" s="5">
        <v>684.80000000000007</v>
      </c>
      <c r="AA10" s="5">
        <v>513.6</v>
      </c>
      <c r="AB10" s="5"/>
      <c r="AC10" s="5"/>
      <c r="AD10" s="5"/>
      <c r="AE10" s="5"/>
      <c r="AF10" s="5">
        <v>2294.4</v>
      </c>
      <c r="AG10" s="5">
        <v>1720.8</v>
      </c>
      <c r="AH10" s="5">
        <v>8.4</v>
      </c>
      <c r="AI10" s="5">
        <v>6.3</v>
      </c>
      <c r="AJ10" s="5"/>
      <c r="AK10" s="5"/>
      <c r="AL10" s="5"/>
      <c r="AM10" s="5"/>
      <c r="AN10" s="8">
        <v>17</v>
      </c>
      <c r="AO10" s="8">
        <v>16</v>
      </c>
      <c r="AP10" s="8">
        <v>20</v>
      </c>
      <c r="AQ10" s="8">
        <v>21</v>
      </c>
      <c r="AR10" s="5">
        <v>35</v>
      </c>
      <c r="AS10" s="5">
        <v>50</v>
      </c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5"/>
      <c r="BE10" s="5"/>
      <c r="BF10" s="1">
        <v>22</v>
      </c>
      <c r="BG10" s="1">
        <v>23</v>
      </c>
      <c r="BH10" s="1">
        <v>19</v>
      </c>
      <c r="BI10" s="89">
        <v>20</v>
      </c>
      <c r="BJ10" s="1">
        <v>16</v>
      </c>
      <c r="BK10" s="1">
        <v>17</v>
      </c>
      <c r="BL10" s="13"/>
      <c r="BM10" s="13"/>
      <c r="BN10" s="13"/>
      <c r="BO10" s="13"/>
      <c r="BP10" s="1" t="s">
        <v>75</v>
      </c>
      <c r="BQ10" s="1">
        <v>5</v>
      </c>
      <c r="BR10" s="13"/>
      <c r="BS10" s="13"/>
      <c r="BT10" s="13"/>
      <c r="BU10" s="207"/>
      <c r="BV10" s="1"/>
      <c r="BW10" s="1"/>
      <c r="BX10" s="13"/>
      <c r="BY10" s="13"/>
      <c r="BZ10" s="13"/>
      <c r="CA10" s="13"/>
      <c r="CB10" s="13"/>
      <c r="CC10" s="13"/>
      <c r="CD10" s="13"/>
      <c r="CE10" s="13"/>
      <c r="CF10" s="13"/>
      <c r="CG10" s="13"/>
    </row>
    <row r="11" spans="1:85" x14ac:dyDescent="0.35">
      <c r="A11" s="204" t="str">
        <f t="shared" si="0"/>
        <v>TOROMOCHORUEDA DELANTERA RH980E5</v>
      </c>
      <c r="B11" s="3" t="s">
        <v>81</v>
      </c>
      <c r="C11" s="3" t="s">
        <v>77</v>
      </c>
      <c r="D11" s="7">
        <v>80</v>
      </c>
      <c r="E11" s="7">
        <v>140</v>
      </c>
      <c r="F11" s="7">
        <v>2</v>
      </c>
      <c r="G11" s="7">
        <v>3</v>
      </c>
      <c r="H11" s="7">
        <v>1</v>
      </c>
      <c r="I11" s="7">
        <v>2</v>
      </c>
      <c r="J11" s="7">
        <v>2</v>
      </c>
      <c r="K11" s="7">
        <v>3</v>
      </c>
      <c r="L11" s="7"/>
      <c r="M11" s="7"/>
      <c r="N11" s="7">
        <v>1</v>
      </c>
      <c r="O11" s="7">
        <v>2</v>
      </c>
      <c r="P11" s="7"/>
      <c r="Q11" s="7"/>
      <c r="R11" s="7">
        <v>9</v>
      </c>
      <c r="S11" s="7">
        <v>11</v>
      </c>
      <c r="T11" s="7">
        <v>4</v>
      </c>
      <c r="U11" s="7">
        <v>5</v>
      </c>
      <c r="V11" s="7"/>
      <c r="W11" s="7"/>
      <c r="X11" s="7">
        <v>1009.6</v>
      </c>
      <c r="Y11" s="7">
        <v>757.19999999999993</v>
      </c>
      <c r="Z11" s="7">
        <v>684.80000000000007</v>
      </c>
      <c r="AA11" s="7">
        <v>513.6</v>
      </c>
      <c r="AB11" s="7"/>
      <c r="AC11" s="7"/>
      <c r="AD11" s="7"/>
      <c r="AE11" s="7"/>
      <c r="AF11" s="7">
        <v>2294.4</v>
      </c>
      <c r="AG11" s="7">
        <v>1720.8</v>
      </c>
      <c r="AH11" s="7">
        <v>8.4</v>
      </c>
      <c r="AI11" s="7">
        <v>6.3</v>
      </c>
      <c r="AJ11" s="7"/>
      <c r="AK11" s="7"/>
      <c r="AL11" s="7"/>
      <c r="AM11" s="7"/>
      <c r="AN11" s="8">
        <v>17</v>
      </c>
      <c r="AO11" s="8">
        <v>16</v>
      </c>
      <c r="AP11" s="8">
        <v>20</v>
      </c>
      <c r="AQ11" s="8">
        <v>21</v>
      </c>
      <c r="AR11" s="7">
        <v>35</v>
      </c>
      <c r="AS11" s="7">
        <v>50</v>
      </c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7"/>
      <c r="BE11" s="7"/>
      <c r="BF11" s="1">
        <v>22</v>
      </c>
      <c r="BG11" s="1">
        <v>23</v>
      </c>
      <c r="BH11" s="1">
        <v>19</v>
      </c>
      <c r="BI11" s="89">
        <v>20</v>
      </c>
      <c r="BJ11" s="1">
        <v>16</v>
      </c>
      <c r="BK11" s="1">
        <v>17</v>
      </c>
      <c r="BL11" s="13"/>
      <c r="BM11" s="13"/>
      <c r="BN11" s="13"/>
      <c r="BO11" s="13"/>
      <c r="BP11" s="1" t="s">
        <v>75</v>
      </c>
      <c r="BQ11" s="1">
        <v>5</v>
      </c>
      <c r="BR11" s="13"/>
      <c r="BS11" s="13"/>
      <c r="BT11" s="13"/>
      <c r="BU11" s="207"/>
      <c r="BV11" s="1"/>
      <c r="BW11" s="1"/>
      <c r="BX11" s="13"/>
      <c r="BY11" s="13"/>
      <c r="BZ11" s="13"/>
      <c r="CA11" s="13"/>
      <c r="CB11" s="13"/>
      <c r="CC11" s="13"/>
      <c r="CD11" s="13"/>
      <c r="CE11" s="13"/>
      <c r="CF11" s="13"/>
      <c r="CG11" s="13"/>
    </row>
    <row r="12" spans="1:85" x14ac:dyDescent="0.35">
      <c r="A12" s="204" t="str">
        <f t="shared" si="0"/>
        <v>TOROMOCHOSISTEMA HIDRAULICO980E5</v>
      </c>
      <c r="B12" s="3" t="s">
        <v>81</v>
      </c>
      <c r="C12" s="3" t="s">
        <v>79</v>
      </c>
      <c r="D12" s="5">
        <v>6</v>
      </c>
      <c r="E12" s="5">
        <v>7</v>
      </c>
      <c r="F12" s="5">
        <v>5</v>
      </c>
      <c r="G12" s="5">
        <v>7</v>
      </c>
      <c r="H12" s="5">
        <v>2</v>
      </c>
      <c r="I12" s="5">
        <v>3</v>
      </c>
      <c r="J12" s="5">
        <v>3</v>
      </c>
      <c r="K12" s="5">
        <v>5</v>
      </c>
      <c r="L12" s="5"/>
      <c r="M12" s="5"/>
      <c r="N12" s="5">
        <v>1</v>
      </c>
      <c r="O12" s="5">
        <v>2</v>
      </c>
      <c r="P12" s="5"/>
      <c r="Q12" s="5"/>
      <c r="R12" s="5">
        <v>11</v>
      </c>
      <c r="S12" s="5">
        <v>13</v>
      </c>
      <c r="T12" s="5">
        <v>5</v>
      </c>
      <c r="U12" s="5">
        <v>6</v>
      </c>
      <c r="V12" s="5"/>
      <c r="W12" s="5"/>
      <c r="X12" s="5">
        <v>1106.4000000000001</v>
      </c>
      <c r="Y12" s="5">
        <v>829.8</v>
      </c>
      <c r="Z12" s="5">
        <v>702.40000000000009</v>
      </c>
      <c r="AA12" s="5">
        <v>526.79999999999995</v>
      </c>
      <c r="AB12" s="5"/>
      <c r="AC12" s="5"/>
      <c r="AD12" s="5"/>
      <c r="AE12" s="5"/>
      <c r="AF12" s="5">
        <v>2388.8000000000002</v>
      </c>
      <c r="AG12" s="5">
        <v>1791.6</v>
      </c>
      <c r="AH12" s="5">
        <v>9.6</v>
      </c>
      <c r="AI12" s="5">
        <v>7.2</v>
      </c>
      <c r="AJ12" s="5"/>
      <c r="AK12" s="5"/>
      <c r="AL12" s="5"/>
      <c r="AM12" s="5"/>
      <c r="AN12" s="8">
        <v>5.7</v>
      </c>
      <c r="AO12" s="8">
        <v>5.5</v>
      </c>
      <c r="AP12" s="8">
        <v>6.6</v>
      </c>
      <c r="AQ12" s="8">
        <v>6.9</v>
      </c>
      <c r="AR12" s="5">
        <v>11</v>
      </c>
      <c r="AS12" s="5">
        <v>14</v>
      </c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5"/>
      <c r="BE12" s="5"/>
      <c r="BF12" s="1">
        <v>22</v>
      </c>
      <c r="BG12" s="1">
        <v>23</v>
      </c>
      <c r="BH12" s="1">
        <v>19</v>
      </c>
      <c r="BI12" s="89">
        <v>20</v>
      </c>
      <c r="BJ12" s="1">
        <v>16</v>
      </c>
      <c r="BK12" s="1">
        <v>17</v>
      </c>
      <c r="BL12" s="13"/>
      <c r="BM12" s="13"/>
      <c r="BN12" s="13"/>
      <c r="BO12" s="13"/>
      <c r="BP12" s="1" t="s">
        <v>75</v>
      </c>
      <c r="BQ12" s="1">
        <v>5</v>
      </c>
      <c r="BR12" s="13"/>
      <c r="BS12" s="13"/>
      <c r="BT12" s="13"/>
      <c r="BU12" s="207"/>
      <c r="BV12" s="1"/>
      <c r="BW12" s="1"/>
      <c r="BX12" s="13"/>
      <c r="BY12" s="13"/>
      <c r="BZ12" s="13"/>
      <c r="CA12" s="13"/>
      <c r="CB12" s="13"/>
      <c r="CC12" s="13"/>
      <c r="CD12" s="13"/>
      <c r="CE12" s="13"/>
      <c r="CF12" s="13"/>
      <c r="CG12" s="13"/>
    </row>
    <row r="13" spans="1:85" x14ac:dyDescent="0.35">
      <c r="A13" s="204" t="str">
        <f t="shared" si="0"/>
        <v>TOROMOCHOMOTOR980E5</v>
      </c>
      <c r="B13" s="3" t="s">
        <v>81</v>
      </c>
      <c r="C13" s="3" t="s">
        <v>80</v>
      </c>
      <c r="D13" s="366">
        <v>9</v>
      </c>
      <c r="E13" s="366">
        <v>12</v>
      </c>
      <c r="F13" s="366">
        <v>1.5</v>
      </c>
      <c r="G13" s="366">
        <v>1.9</v>
      </c>
      <c r="H13" s="366">
        <v>2.2999999999999998</v>
      </c>
      <c r="I13" s="366">
        <v>2.9</v>
      </c>
      <c r="J13" s="366">
        <v>2.2000000000000002</v>
      </c>
      <c r="K13" s="366">
        <v>2.9</v>
      </c>
      <c r="L13" s="8"/>
      <c r="M13" s="8"/>
      <c r="N13" s="366">
        <v>0.2</v>
      </c>
      <c r="O13" s="366">
        <v>0.3</v>
      </c>
      <c r="P13" s="8"/>
      <c r="Q13" s="8"/>
      <c r="R13" s="366">
        <v>6</v>
      </c>
      <c r="S13" s="366">
        <v>8</v>
      </c>
      <c r="T13" s="366">
        <v>4</v>
      </c>
      <c r="U13" s="366">
        <v>5</v>
      </c>
      <c r="V13" s="366">
        <v>1.5</v>
      </c>
      <c r="W13" s="366">
        <v>2</v>
      </c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366">
        <v>13.5</v>
      </c>
      <c r="AO13" s="366">
        <v>13</v>
      </c>
      <c r="AP13" s="366">
        <v>15.5</v>
      </c>
      <c r="AQ13" s="366">
        <v>16</v>
      </c>
      <c r="AR13" s="366">
        <v>4.5</v>
      </c>
      <c r="AS13" s="366">
        <v>6</v>
      </c>
      <c r="AT13" s="366">
        <v>20</v>
      </c>
      <c r="AU13" s="366">
        <v>22</v>
      </c>
      <c r="AV13" s="366">
        <v>25</v>
      </c>
      <c r="AW13" s="366">
        <v>27</v>
      </c>
      <c r="AX13" s="366">
        <v>9</v>
      </c>
      <c r="AY13" s="366">
        <v>10</v>
      </c>
      <c r="AZ13" s="366">
        <v>8.8000000000000007</v>
      </c>
      <c r="BA13" s="366">
        <v>8.3000000000000007</v>
      </c>
      <c r="BB13" s="366">
        <v>16</v>
      </c>
      <c r="BC13" s="366">
        <v>19</v>
      </c>
      <c r="BD13" s="8"/>
      <c r="BE13" s="8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" t="s">
        <v>75</v>
      </c>
      <c r="BQ13" s="1">
        <v>5</v>
      </c>
      <c r="BR13" s="13"/>
      <c r="BS13" s="13"/>
      <c r="BT13" s="13"/>
      <c r="BU13" s="207"/>
      <c r="BV13" s="1"/>
      <c r="BW13" s="1"/>
      <c r="BX13" s="13"/>
      <c r="BY13" s="13"/>
      <c r="BZ13" s="13"/>
      <c r="CA13" s="13"/>
      <c r="CB13" s="13"/>
      <c r="CC13" s="13"/>
      <c r="CD13" s="13"/>
      <c r="CE13" s="13"/>
      <c r="CF13" s="13"/>
      <c r="CG13" s="13"/>
    </row>
    <row r="14" spans="1:85" s="6" customFormat="1" x14ac:dyDescent="0.35">
      <c r="A14" s="204" t="str">
        <f t="shared" si="0"/>
        <v>CERRO VERDEMOTOR DE TRACCION RH980E5</v>
      </c>
      <c r="B14" s="15" t="s">
        <v>82</v>
      </c>
      <c r="C14" s="15" t="s">
        <v>74</v>
      </c>
      <c r="D14" s="93">
        <v>145</v>
      </c>
      <c r="E14" s="93">
        <v>165</v>
      </c>
      <c r="F14" s="93">
        <v>1</v>
      </c>
      <c r="G14" s="93">
        <v>2</v>
      </c>
      <c r="H14" s="93">
        <v>6</v>
      </c>
      <c r="I14" s="93">
        <v>10</v>
      </c>
      <c r="J14" s="93">
        <v>2</v>
      </c>
      <c r="K14" s="93">
        <v>3</v>
      </c>
      <c r="L14" s="93"/>
      <c r="M14" s="93"/>
      <c r="N14" s="93">
        <v>1</v>
      </c>
      <c r="O14" s="93">
        <v>2</v>
      </c>
      <c r="P14" s="93"/>
      <c r="Q14" s="93"/>
      <c r="R14" s="93">
        <v>21</v>
      </c>
      <c r="S14" s="93">
        <v>26</v>
      </c>
      <c r="T14" s="93">
        <v>1</v>
      </c>
      <c r="U14" s="93">
        <v>2</v>
      </c>
      <c r="V14" s="93"/>
      <c r="W14" s="93"/>
      <c r="X14" s="93"/>
      <c r="Y14" s="93"/>
      <c r="Z14" s="91">
        <v>280</v>
      </c>
      <c r="AA14" s="91">
        <v>240</v>
      </c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0"/>
      <c r="AO14" s="90">
        <v>71.010000000000005</v>
      </c>
      <c r="AP14" s="90"/>
      <c r="AQ14" s="90">
        <v>86.79</v>
      </c>
      <c r="AR14" s="94">
        <v>130</v>
      </c>
      <c r="AS14" s="94">
        <v>150</v>
      </c>
      <c r="AT14" s="93"/>
      <c r="AU14" s="93"/>
      <c r="AV14" s="93"/>
      <c r="AW14" s="93"/>
      <c r="AX14" s="93"/>
      <c r="AY14" s="93"/>
      <c r="AZ14" s="93"/>
      <c r="BA14" s="93"/>
      <c r="BB14" s="93"/>
      <c r="BC14" s="93"/>
      <c r="BD14" s="93"/>
      <c r="BE14" s="93"/>
      <c r="BF14" s="95"/>
      <c r="BG14" s="95"/>
      <c r="BH14" s="1">
        <v>19</v>
      </c>
      <c r="BI14" s="89">
        <v>20</v>
      </c>
      <c r="BJ14" s="89">
        <v>16</v>
      </c>
      <c r="BK14" s="89">
        <v>19</v>
      </c>
      <c r="BL14" s="95"/>
      <c r="BM14" s="95"/>
      <c r="BN14" s="95"/>
      <c r="BO14" s="95"/>
      <c r="BP14" s="91" t="s">
        <v>75</v>
      </c>
      <c r="BQ14" s="91">
        <v>5</v>
      </c>
      <c r="BR14" s="80"/>
      <c r="BS14" s="80"/>
      <c r="BT14" s="13"/>
      <c r="BU14" s="207"/>
      <c r="BV14" s="14"/>
      <c r="BW14" s="14"/>
      <c r="BX14" s="80"/>
      <c r="BY14" s="80"/>
      <c r="BZ14" s="80"/>
      <c r="CA14" s="80"/>
      <c r="CB14" s="80"/>
      <c r="CC14" s="80"/>
      <c r="CD14" s="80"/>
      <c r="CE14" s="80"/>
      <c r="CF14" s="80"/>
      <c r="CG14" s="80"/>
    </row>
    <row r="15" spans="1:85" s="6" customFormat="1" x14ac:dyDescent="0.35">
      <c r="A15" s="204" t="str">
        <f t="shared" si="0"/>
        <v>CERRO VERDEMOTOR DE TRACCION LH980E5</v>
      </c>
      <c r="B15" s="15" t="s">
        <v>82</v>
      </c>
      <c r="C15" s="15" t="s">
        <v>76</v>
      </c>
      <c r="D15" s="14">
        <v>145</v>
      </c>
      <c r="E15" s="14">
        <v>165</v>
      </c>
      <c r="F15" s="14">
        <v>1</v>
      </c>
      <c r="G15" s="14">
        <v>2</v>
      </c>
      <c r="H15" s="14">
        <v>6</v>
      </c>
      <c r="I15" s="14">
        <v>10</v>
      </c>
      <c r="J15" s="14">
        <v>2</v>
      </c>
      <c r="K15" s="14">
        <v>1</v>
      </c>
      <c r="L15" s="14"/>
      <c r="M15" s="14"/>
      <c r="N15" s="14">
        <v>1</v>
      </c>
      <c r="O15" s="14">
        <v>2</v>
      </c>
      <c r="P15" s="14"/>
      <c r="Q15" s="14"/>
      <c r="R15" s="14">
        <v>21</v>
      </c>
      <c r="S15" s="14">
        <v>26</v>
      </c>
      <c r="T15" s="14">
        <v>1</v>
      </c>
      <c r="U15" s="14">
        <v>2</v>
      </c>
      <c r="V15" s="14"/>
      <c r="W15" s="14"/>
      <c r="X15" s="14"/>
      <c r="Y15" s="14"/>
      <c r="Z15" s="91">
        <v>280</v>
      </c>
      <c r="AA15" s="91">
        <v>240</v>
      </c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8"/>
      <c r="AO15" s="8">
        <v>71.010000000000005</v>
      </c>
      <c r="AP15" s="8"/>
      <c r="AQ15" s="8">
        <v>86.79</v>
      </c>
      <c r="AR15" s="16">
        <v>130</v>
      </c>
      <c r="AS15" s="16">
        <v>150</v>
      </c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80"/>
      <c r="BG15" s="80"/>
      <c r="BH15" s="1">
        <v>19</v>
      </c>
      <c r="BI15" s="89">
        <v>20</v>
      </c>
      <c r="BJ15" s="89">
        <v>16</v>
      </c>
      <c r="BK15" s="89">
        <v>19</v>
      </c>
      <c r="BL15" s="80"/>
      <c r="BM15" s="80"/>
      <c r="BN15" s="80"/>
      <c r="BO15" s="80"/>
      <c r="BP15" s="1" t="s">
        <v>75</v>
      </c>
      <c r="BQ15" s="1">
        <v>5</v>
      </c>
      <c r="BR15" s="80"/>
      <c r="BS15" s="80"/>
      <c r="BT15" s="80"/>
      <c r="BU15" s="209"/>
      <c r="BV15" s="14"/>
      <c r="BW15" s="14"/>
      <c r="BX15" s="80"/>
      <c r="BY15" s="80"/>
      <c r="BZ15" s="80"/>
      <c r="CA15" s="80"/>
      <c r="CB15" s="80"/>
      <c r="CC15" s="80"/>
      <c r="CD15" s="80"/>
      <c r="CE15" s="80"/>
      <c r="CF15" s="80"/>
      <c r="CG15" s="80"/>
    </row>
    <row r="16" spans="1:85" s="6" customFormat="1" x14ac:dyDescent="0.35">
      <c r="A16" s="204" t="str">
        <f t="shared" si="0"/>
        <v>CERRO VERDERUEDA DELANTERA RH980E5</v>
      </c>
      <c r="B16" s="15" t="s">
        <v>82</v>
      </c>
      <c r="C16" s="15" t="s">
        <v>77</v>
      </c>
      <c r="D16" s="14">
        <v>80</v>
      </c>
      <c r="E16" s="14">
        <v>140</v>
      </c>
      <c r="F16" s="14">
        <v>2</v>
      </c>
      <c r="G16" s="14">
        <v>3</v>
      </c>
      <c r="H16" s="14">
        <v>1</v>
      </c>
      <c r="I16" s="14">
        <v>2</v>
      </c>
      <c r="J16" s="14">
        <v>2</v>
      </c>
      <c r="K16" s="14">
        <v>3</v>
      </c>
      <c r="L16" s="14"/>
      <c r="M16" s="14"/>
      <c r="N16" s="14">
        <v>1</v>
      </c>
      <c r="O16" s="14">
        <v>2</v>
      </c>
      <c r="P16" s="14"/>
      <c r="Q16" s="14"/>
      <c r="R16" s="14">
        <v>23</v>
      </c>
      <c r="S16" s="14">
        <v>25</v>
      </c>
      <c r="T16" s="14">
        <v>4</v>
      </c>
      <c r="U16" s="14">
        <v>5</v>
      </c>
      <c r="V16" s="14"/>
      <c r="W16" s="14"/>
      <c r="X16" s="14">
        <v>910</v>
      </c>
      <c r="Y16" s="14">
        <v>682</v>
      </c>
      <c r="Z16" s="14">
        <v>785</v>
      </c>
      <c r="AA16" s="14">
        <v>589</v>
      </c>
      <c r="AB16" s="14"/>
      <c r="AC16" s="14"/>
      <c r="AD16" s="14"/>
      <c r="AE16" s="14"/>
      <c r="AF16" s="14">
        <v>2486</v>
      </c>
      <c r="AG16" s="14">
        <v>1864</v>
      </c>
      <c r="AH16" s="14">
        <v>13</v>
      </c>
      <c r="AI16" s="14">
        <v>10</v>
      </c>
      <c r="AJ16" s="14"/>
      <c r="AK16" s="14"/>
      <c r="AL16" s="14"/>
      <c r="AM16" s="14"/>
      <c r="AN16" s="27">
        <v>17.3</v>
      </c>
      <c r="AO16" s="27">
        <v>16.7</v>
      </c>
      <c r="AP16" s="27">
        <v>20</v>
      </c>
      <c r="AQ16" s="27">
        <v>20.9</v>
      </c>
      <c r="AR16" s="16">
        <v>35</v>
      </c>
      <c r="AS16" s="16">
        <v>50</v>
      </c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">
        <v>22</v>
      </c>
      <c r="BG16" s="1">
        <v>23</v>
      </c>
      <c r="BH16" s="1">
        <v>19</v>
      </c>
      <c r="BI16" s="89">
        <v>20</v>
      </c>
      <c r="BJ16" s="1">
        <v>16</v>
      </c>
      <c r="BK16" s="1">
        <v>17</v>
      </c>
      <c r="BL16" s="80"/>
      <c r="BM16" s="80"/>
      <c r="BN16" s="80"/>
      <c r="BO16" s="80"/>
      <c r="BP16" s="1" t="s">
        <v>75</v>
      </c>
      <c r="BQ16" s="1">
        <v>5</v>
      </c>
      <c r="BR16" s="80"/>
      <c r="BS16" s="80"/>
      <c r="BT16" s="80"/>
      <c r="BU16" s="209"/>
      <c r="BV16" s="14"/>
      <c r="BW16" s="14"/>
      <c r="BX16" s="80"/>
      <c r="BY16" s="80"/>
      <c r="BZ16" s="80"/>
      <c r="CA16" s="80"/>
      <c r="CB16" s="80"/>
      <c r="CC16" s="80"/>
      <c r="CD16" s="80"/>
      <c r="CE16" s="80"/>
      <c r="CF16" s="80"/>
      <c r="CG16" s="80"/>
    </row>
    <row r="17" spans="1:85" s="6" customFormat="1" x14ac:dyDescent="0.35">
      <c r="A17" s="204" t="str">
        <f t="shared" si="0"/>
        <v>CERRO VERDERUEDA DELANTERA LH980E5</v>
      </c>
      <c r="B17" s="15" t="s">
        <v>82</v>
      </c>
      <c r="C17" s="15" t="s">
        <v>78</v>
      </c>
      <c r="D17" s="14">
        <v>80</v>
      </c>
      <c r="E17" s="14">
        <v>140</v>
      </c>
      <c r="F17" s="14">
        <v>2</v>
      </c>
      <c r="G17" s="14">
        <v>3</v>
      </c>
      <c r="H17" s="14">
        <v>1</v>
      </c>
      <c r="I17" s="14">
        <v>2</v>
      </c>
      <c r="J17" s="14">
        <v>2</v>
      </c>
      <c r="K17" s="14">
        <v>3</v>
      </c>
      <c r="L17" s="14"/>
      <c r="M17" s="14"/>
      <c r="N17" s="14">
        <v>1</v>
      </c>
      <c r="O17" s="14">
        <v>2</v>
      </c>
      <c r="P17" s="14"/>
      <c r="Q17" s="14"/>
      <c r="R17" s="14">
        <v>23</v>
      </c>
      <c r="S17" s="14">
        <v>25</v>
      </c>
      <c r="T17" s="14">
        <v>4</v>
      </c>
      <c r="U17" s="14">
        <v>5</v>
      </c>
      <c r="V17" s="14"/>
      <c r="W17" s="14"/>
      <c r="X17" s="14">
        <v>910</v>
      </c>
      <c r="Y17" s="14">
        <v>682</v>
      </c>
      <c r="Z17" s="14">
        <v>785</v>
      </c>
      <c r="AA17" s="14">
        <v>589</v>
      </c>
      <c r="AB17" s="14"/>
      <c r="AC17" s="14"/>
      <c r="AD17" s="14"/>
      <c r="AE17" s="14"/>
      <c r="AF17" s="14">
        <v>2486</v>
      </c>
      <c r="AG17" s="14">
        <v>1864</v>
      </c>
      <c r="AH17" s="14">
        <v>13</v>
      </c>
      <c r="AI17" s="14">
        <v>10</v>
      </c>
      <c r="AJ17" s="14"/>
      <c r="AK17" s="14"/>
      <c r="AL17" s="14"/>
      <c r="AM17" s="14"/>
      <c r="AN17" s="27">
        <v>17.3</v>
      </c>
      <c r="AO17" s="27">
        <v>16.7</v>
      </c>
      <c r="AP17" s="27">
        <v>20</v>
      </c>
      <c r="AQ17" s="27">
        <v>20.9</v>
      </c>
      <c r="AR17" s="16">
        <v>35</v>
      </c>
      <c r="AS17" s="16">
        <v>50</v>
      </c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">
        <v>22</v>
      </c>
      <c r="BG17" s="1">
        <v>23</v>
      </c>
      <c r="BH17" s="1">
        <v>19</v>
      </c>
      <c r="BI17" s="89">
        <v>20</v>
      </c>
      <c r="BJ17" s="1">
        <v>16</v>
      </c>
      <c r="BK17" s="1">
        <v>17</v>
      </c>
      <c r="BL17" s="80"/>
      <c r="BM17" s="80"/>
      <c r="BN17" s="80"/>
      <c r="BO17" s="80"/>
      <c r="BP17" s="1" t="s">
        <v>75</v>
      </c>
      <c r="BQ17" s="1">
        <v>5</v>
      </c>
      <c r="BR17" s="80"/>
      <c r="BS17" s="80"/>
      <c r="BT17" s="80"/>
      <c r="BU17" s="209"/>
      <c r="BV17" s="14"/>
      <c r="BW17" s="14"/>
      <c r="BX17" s="80"/>
      <c r="BY17" s="80"/>
      <c r="BZ17" s="80"/>
      <c r="CA17" s="80"/>
      <c r="CB17" s="80"/>
      <c r="CC17" s="80"/>
      <c r="CD17" s="80"/>
      <c r="CE17" s="80"/>
      <c r="CF17" s="80"/>
      <c r="CG17" s="80"/>
    </row>
    <row r="18" spans="1:85" s="6" customFormat="1" x14ac:dyDescent="0.35">
      <c r="A18" s="204" t="str">
        <f t="shared" si="0"/>
        <v>CERRO VERDESISTEMA HIDRAULICO980E5</v>
      </c>
      <c r="B18" s="15" t="s">
        <v>82</v>
      </c>
      <c r="C18" s="15" t="s">
        <v>79</v>
      </c>
      <c r="D18" s="14">
        <v>6</v>
      </c>
      <c r="E18" s="14">
        <v>7</v>
      </c>
      <c r="F18" s="14">
        <v>5</v>
      </c>
      <c r="G18" s="14">
        <v>7</v>
      </c>
      <c r="H18" s="14">
        <v>2</v>
      </c>
      <c r="I18" s="14">
        <v>3</v>
      </c>
      <c r="J18" s="14">
        <v>3</v>
      </c>
      <c r="K18" s="14">
        <v>5</v>
      </c>
      <c r="L18" s="14"/>
      <c r="M18" s="14"/>
      <c r="N18" s="14">
        <v>1</v>
      </c>
      <c r="O18" s="14">
        <v>2</v>
      </c>
      <c r="P18" s="14"/>
      <c r="Q18" s="14"/>
      <c r="R18" s="14">
        <v>11</v>
      </c>
      <c r="S18" s="14">
        <v>13</v>
      </c>
      <c r="T18" s="14">
        <v>5</v>
      </c>
      <c r="U18" s="14">
        <v>6</v>
      </c>
      <c r="V18" s="14"/>
      <c r="W18" s="14"/>
      <c r="X18" s="14">
        <v>876</v>
      </c>
      <c r="Y18" s="14">
        <v>657</v>
      </c>
      <c r="Z18" s="14">
        <v>730</v>
      </c>
      <c r="AA18" s="14">
        <v>548</v>
      </c>
      <c r="AB18" s="14"/>
      <c r="AC18" s="14"/>
      <c r="AD18" s="14"/>
      <c r="AE18" s="14"/>
      <c r="AF18" s="14">
        <v>2822</v>
      </c>
      <c r="AG18" s="14">
        <v>2117</v>
      </c>
      <c r="AH18" s="14">
        <v>9</v>
      </c>
      <c r="AI18" s="14">
        <v>7</v>
      </c>
      <c r="AJ18" s="14"/>
      <c r="AK18" s="14"/>
      <c r="AL18" s="14"/>
      <c r="AM18" s="14"/>
      <c r="AN18" s="27">
        <v>5.6</v>
      </c>
      <c r="AO18" s="27">
        <v>5.8</v>
      </c>
      <c r="AP18" s="27">
        <v>6.7</v>
      </c>
      <c r="AQ18" s="27">
        <v>7</v>
      </c>
      <c r="AR18" s="16">
        <v>11</v>
      </c>
      <c r="AS18" s="16">
        <v>14</v>
      </c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">
        <v>22</v>
      </c>
      <c r="BG18" s="1">
        <v>23</v>
      </c>
      <c r="BH18" s="1">
        <v>19</v>
      </c>
      <c r="BI18" s="89">
        <v>20</v>
      </c>
      <c r="BJ18" s="1">
        <v>16</v>
      </c>
      <c r="BK18" s="1">
        <v>17</v>
      </c>
      <c r="BL18" s="80"/>
      <c r="BM18" s="80"/>
      <c r="BN18" s="80"/>
      <c r="BO18" s="80"/>
      <c r="BP18" s="1" t="s">
        <v>75</v>
      </c>
      <c r="BQ18" s="1">
        <v>5</v>
      </c>
      <c r="BR18" s="80"/>
      <c r="BS18" s="80"/>
      <c r="BT18" s="80"/>
      <c r="BU18" s="209"/>
      <c r="BV18" s="14"/>
      <c r="BW18" s="14"/>
      <c r="BX18" s="80"/>
      <c r="BY18" s="80"/>
      <c r="BZ18" s="80"/>
      <c r="CA18" s="80"/>
      <c r="CB18" s="80"/>
      <c r="CC18" s="80"/>
      <c r="CD18" s="80"/>
      <c r="CE18" s="80"/>
      <c r="CF18" s="80"/>
      <c r="CG18" s="80"/>
    </row>
    <row r="19" spans="1:85" x14ac:dyDescent="0.35">
      <c r="A19" s="204" t="str">
        <f t="shared" si="0"/>
        <v>CERRO VERDEMOTOR980E5</v>
      </c>
      <c r="B19" s="3" t="s">
        <v>82</v>
      </c>
      <c r="C19" s="3" t="s">
        <v>80</v>
      </c>
      <c r="D19" s="1">
        <v>10.5</v>
      </c>
      <c r="E19" s="1">
        <v>12.5</v>
      </c>
      <c r="F19" s="1">
        <v>2.5</v>
      </c>
      <c r="G19" s="1">
        <v>3.5</v>
      </c>
      <c r="H19" s="1">
        <v>2.5</v>
      </c>
      <c r="I19" s="1">
        <v>3.5</v>
      </c>
      <c r="J19" s="1">
        <v>2.6</v>
      </c>
      <c r="K19" s="8">
        <v>3.2</v>
      </c>
      <c r="L19" s="1"/>
      <c r="M19" s="1"/>
      <c r="N19" s="1"/>
      <c r="O19" s="1"/>
      <c r="P19" s="1"/>
      <c r="Q19" s="1"/>
      <c r="R19" s="1">
        <v>10.5</v>
      </c>
      <c r="S19" s="1">
        <v>12.5</v>
      </c>
      <c r="T19" s="1">
        <v>7.5</v>
      </c>
      <c r="U19" s="1">
        <v>8.5</v>
      </c>
      <c r="V19" s="1">
        <v>2.5</v>
      </c>
      <c r="W19" s="1">
        <v>3.5</v>
      </c>
      <c r="X19" s="1"/>
      <c r="Y19" s="1"/>
      <c r="Z19" s="1"/>
      <c r="AA19" s="1"/>
      <c r="AB19" s="1">
        <v>57</v>
      </c>
      <c r="AC19" s="1">
        <v>51.5</v>
      </c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8">
        <v>13</v>
      </c>
      <c r="AO19" s="8">
        <v>12.7</v>
      </c>
      <c r="AP19" s="8">
        <v>15</v>
      </c>
      <c r="AQ19" s="8">
        <v>15.5</v>
      </c>
      <c r="AR19" s="1">
        <v>4.5</v>
      </c>
      <c r="AS19" s="1">
        <v>5.5</v>
      </c>
      <c r="AT19" s="1">
        <v>25.4</v>
      </c>
      <c r="AU19" s="1">
        <v>26.2</v>
      </c>
      <c r="AV19" s="1">
        <v>27.7</v>
      </c>
      <c r="AW19" s="1">
        <v>28.5</v>
      </c>
      <c r="AX19" s="1">
        <v>8.8000000000000007</v>
      </c>
      <c r="AY19" s="1">
        <v>9.4</v>
      </c>
      <c r="AZ19" s="1"/>
      <c r="BA19" s="1"/>
      <c r="BB19" s="1">
        <v>16.5</v>
      </c>
      <c r="BC19" s="1">
        <v>19.5</v>
      </c>
      <c r="BD19" s="1"/>
      <c r="BE19" s="1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" t="s">
        <v>75</v>
      </c>
      <c r="BQ19" s="1">
        <v>5</v>
      </c>
      <c r="BR19" s="13"/>
      <c r="BS19" s="13"/>
      <c r="BT19" s="13"/>
      <c r="BU19" s="207"/>
      <c r="BV19" s="1"/>
      <c r="BW19" s="1"/>
      <c r="BX19" s="13"/>
      <c r="BY19" s="13"/>
      <c r="BZ19" s="13"/>
      <c r="CA19" s="13"/>
      <c r="CB19" s="13"/>
      <c r="CC19" s="13"/>
      <c r="CD19" s="13"/>
      <c r="CE19" s="13"/>
      <c r="CF19" s="13"/>
      <c r="CG19" s="13"/>
    </row>
    <row r="20" spans="1:85" x14ac:dyDescent="0.35">
      <c r="A20" s="204" t="str">
        <f t="shared" si="0"/>
        <v>ANTAMINAMOTOR DE TRACCION RH980E5SE</v>
      </c>
      <c r="B20" s="15" t="s">
        <v>83</v>
      </c>
      <c r="C20" s="15" t="s">
        <v>74</v>
      </c>
      <c r="D20" s="387">
        <v>233</v>
      </c>
      <c r="E20" s="387">
        <v>285</v>
      </c>
      <c r="F20" s="91"/>
      <c r="G20" s="91"/>
      <c r="H20" s="91">
        <v>30</v>
      </c>
      <c r="I20" s="91">
        <v>40</v>
      </c>
      <c r="J20" s="91"/>
      <c r="K20" s="91"/>
      <c r="L20" s="91">
        <v>3</v>
      </c>
      <c r="M20" s="91">
        <v>5</v>
      </c>
      <c r="N20" s="91">
        <v>1</v>
      </c>
      <c r="O20" s="91">
        <v>2</v>
      </c>
      <c r="P20" s="91">
        <v>1</v>
      </c>
      <c r="Q20" s="91">
        <v>3</v>
      </c>
      <c r="R20" s="91">
        <v>40</v>
      </c>
      <c r="S20" s="91">
        <v>80</v>
      </c>
      <c r="T20" s="91"/>
      <c r="U20" s="91"/>
      <c r="V20" s="91"/>
      <c r="W20" s="91"/>
      <c r="X20" s="91">
        <v>40</v>
      </c>
      <c r="Y20" s="91">
        <v>60</v>
      </c>
      <c r="Z20" s="91">
        <v>280</v>
      </c>
      <c r="AA20" s="91">
        <v>240</v>
      </c>
      <c r="AB20" s="91">
        <v>55</v>
      </c>
      <c r="AC20" s="91">
        <v>50</v>
      </c>
      <c r="AD20" s="91"/>
      <c r="AE20" s="91"/>
      <c r="AF20" s="91">
        <v>50</v>
      </c>
      <c r="AG20" s="91">
        <v>60</v>
      </c>
      <c r="AH20" s="91"/>
      <c r="AI20" s="91"/>
      <c r="AJ20" s="91"/>
      <c r="AK20" s="91"/>
      <c r="AL20" s="91"/>
      <c r="AM20" s="91"/>
      <c r="AN20" s="91"/>
      <c r="AO20" s="91">
        <v>67.95</v>
      </c>
      <c r="AP20" s="91"/>
      <c r="AQ20" s="91">
        <v>86.35</v>
      </c>
      <c r="AR20" s="387">
        <v>150</v>
      </c>
      <c r="AS20" s="387">
        <v>200</v>
      </c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89">
        <v>22</v>
      </c>
      <c r="BG20" s="5">
        <v>24</v>
      </c>
      <c r="BH20" s="89">
        <v>19</v>
      </c>
      <c r="BI20" s="89">
        <v>20</v>
      </c>
      <c r="BJ20" s="89">
        <v>16</v>
      </c>
      <c r="BK20" s="89">
        <v>19</v>
      </c>
      <c r="BL20" s="92"/>
      <c r="BM20" s="92"/>
      <c r="BN20" s="92"/>
      <c r="BO20" s="92"/>
      <c r="BP20" s="91" t="s">
        <v>75</v>
      </c>
      <c r="BQ20" s="91" t="s">
        <v>84</v>
      </c>
      <c r="BR20" s="1">
        <v>650</v>
      </c>
      <c r="BS20" s="1">
        <v>620</v>
      </c>
      <c r="BT20" s="13"/>
      <c r="BU20" s="207"/>
      <c r="BV20" s="1"/>
      <c r="BW20" s="1"/>
      <c r="BX20" s="13"/>
      <c r="BY20" s="13"/>
      <c r="BZ20" s="13"/>
      <c r="CA20" s="13"/>
      <c r="CB20" s="13"/>
      <c r="CC20" s="13"/>
      <c r="CD20" s="13"/>
      <c r="CE20" s="13"/>
      <c r="CF20" s="13"/>
      <c r="CG20" s="13"/>
    </row>
    <row r="21" spans="1:85" x14ac:dyDescent="0.35">
      <c r="A21" s="204" t="str">
        <f t="shared" si="0"/>
        <v>ANTAMINAMOTOR DE TRACCION LH980E5SE</v>
      </c>
      <c r="B21" s="15" t="s">
        <v>83</v>
      </c>
      <c r="C21" s="15" t="s">
        <v>76</v>
      </c>
      <c r="D21" s="387">
        <v>233</v>
      </c>
      <c r="E21" s="387">
        <v>285</v>
      </c>
      <c r="F21" s="91"/>
      <c r="G21" s="91"/>
      <c r="H21" s="91">
        <v>30</v>
      </c>
      <c r="I21" s="91">
        <v>40</v>
      </c>
      <c r="J21" s="91"/>
      <c r="K21" s="91"/>
      <c r="L21" s="1">
        <v>3</v>
      </c>
      <c r="M21" s="1">
        <v>5</v>
      </c>
      <c r="N21" s="1">
        <v>1</v>
      </c>
      <c r="O21" s="1">
        <v>2</v>
      </c>
      <c r="P21" s="1">
        <v>1</v>
      </c>
      <c r="Q21" s="1">
        <v>3</v>
      </c>
      <c r="R21" s="91">
        <v>40</v>
      </c>
      <c r="S21" s="91">
        <v>80</v>
      </c>
      <c r="T21" s="1"/>
      <c r="U21" s="1"/>
      <c r="V21" s="1"/>
      <c r="W21" s="1"/>
      <c r="X21" s="91">
        <v>40</v>
      </c>
      <c r="Y21" s="91">
        <v>60</v>
      </c>
      <c r="Z21" s="91">
        <v>280</v>
      </c>
      <c r="AA21" s="91">
        <v>240</v>
      </c>
      <c r="AB21" s="1"/>
      <c r="AC21" s="1"/>
      <c r="AD21" s="1"/>
      <c r="AE21" s="1"/>
      <c r="AF21" s="91">
        <v>50</v>
      </c>
      <c r="AG21" s="91">
        <v>60</v>
      </c>
      <c r="AH21" s="1"/>
      <c r="AI21" s="1"/>
      <c r="AJ21" s="1"/>
      <c r="AK21" s="1"/>
      <c r="AL21" s="1"/>
      <c r="AM21" s="1"/>
      <c r="AN21" s="1"/>
      <c r="AO21" s="1">
        <v>67.95</v>
      </c>
      <c r="AP21" s="1"/>
      <c r="AQ21" s="1">
        <v>86.35</v>
      </c>
      <c r="AR21" s="387">
        <v>150</v>
      </c>
      <c r="AS21" s="387">
        <v>200</v>
      </c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89">
        <v>22</v>
      </c>
      <c r="BG21" s="5">
        <v>24</v>
      </c>
      <c r="BH21" s="89">
        <v>19</v>
      </c>
      <c r="BI21" s="89">
        <v>20</v>
      </c>
      <c r="BJ21" s="89">
        <v>16</v>
      </c>
      <c r="BK21" s="89">
        <v>19</v>
      </c>
      <c r="BL21" s="13"/>
      <c r="BM21" s="13"/>
      <c r="BN21" s="13"/>
      <c r="BO21" s="13"/>
      <c r="BP21" s="1" t="s">
        <v>75</v>
      </c>
      <c r="BQ21" s="1" t="s">
        <v>84</v>
      </c>
      <c r="BR21" s="1">
        <v>650</v>
      </c>
      <c r="BS21" s="1">
        <v>620</v>
      </c>
      <c r="BT21" s="13"/>
      <c r="BU21" s="207"/>
      <c r="BV21" s="1"/>
      <c r="BW21" s="1"/>
      <c r="BX21" s="13"/>
      <c r="BY21" s="13"/>
      <c r="BZ21" s="13"/>
      <c r="CA21" s="13"/>
      <c r="CB21" s="13"/>
      <c r="CC21" s="13"/>
      <c r="CD21" s="13"/>
      <c r="CE21" s="13"/>
      <c r="CF21" s="13"/>
      <c r="CG21" s="13"/>
    </row>
    <row r="22" spans="1:85" x14ac:dyDescent="0.35">
      <c r="A22" s="204" t="str">
        <f t="shared" si="0"/>
        <v>ANTAMINARUEDA DELANTERA RH980E5SE</v>
      </c>
      <c r="B22" s="15" t="s">
        <v>83</v>
      </c>
      <c r="C22" s="15" t="s">
        <v>77</v>
      </c>
      <c r="D22" s="5">
        <v>80</v>
      </c>
      <c r="E22" s="5">
        <v>140</v>
      </c>
      <c r="F22" s="5">
        <v>2</v>
      </c>
      <c r="G22" s="5">
        <v>3</v>
      </c>
      <c r="H22" s="5">
        <v>1</v>
      </c>
      <c r="I22" s="5">
        <v>2</v>
      </c>
      <c r="J22" s="5">
        <v>2</v>
      </c>
      <c r="K22" s="5">
        <v>3</v>
      </c>
      <c r="L22" s="5"/>
      <c r="M22" s="5"/>
      <c r="N22" s="5">
        <v>1</v>
      </c>
      <c r="O22" s="5">
        <v>2</v>
      </c>
      <c r="P22" s="5"/>
      <c r="Q22" s="5"/>
      <c r="R22" s="5">
        <v>26</v>
      </c>
      <c r="S22" s="5">
        <v>28</v>
      </c>
      <c r="T22" s="5">
        <v>4</v>
      </c>
      <c r="U22" s="5">
        <v>5</v>
      </c>
      <c r="V22" s="5"/>
      <c r="W22" s="5"/>
      <c r="X22" s="1"/>
      <c r="Y22" s="1">
        <v>661</v>
      </c>
      <c r="Z22" s="1"/>
      <c r="AA22" s="1">
        <v>636</v>
      </c>
      <c r="AB22" s="14"/>
      <c r="AC22" s="14"/>
      <c r="AD22" s="5"/>
      <c r="AE22" s="5"/>
      <c r="AF22" s="1"/>
      <c r="AG22" s="1">
        <v>2250</v>
      </c>
      <c r="AH22" s="5"/>
      <c r="AI22" s="5">
        <v>7</v>
      </c>
      <c r="AJ22" s="5"/>
      <c r="AK22" s="5"/>
      <c r="AL22" s="5"/>
      <c r="AM22" s="5"/>
      <c r="AN22" s="8">
        <v>22.229999999999997</v>
      </c>
      <c r="AO22" s="8">
        <v>21.527999999999999</v>
      </c>
      <c r="AP22" s="8">
        <v>25.740000000000002</v>
      </c>
      <c r="AQ22" s="8">
        <v>26.909999999999997</v>
      </c>
      <c r="AR22" s="5">
        <v>35</v>
      </c>
      <c r="AS22" s="5">
        <v>50</v>
      </c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5"/>
      <c r="BE22" s="5"/>
      <c r="BF22" s="1">
        <v>22</v>
      </c>
      <c r="BG22" s="1">
        <v>23</v>
      </c>
      <c r="BH22" s="1">
        <v>19</v>
      </c>
      <c r="BI22" s="89">
        <v>20</v>
      </c>
      <c r="BJ22" s="1">
        <v>16</v>
      </c>
      <c r="BK22" s="1">
        <v>17</v>
      </c>
      <c r="BL22" s="13"/>
      <c r="BM22" s="13"/>
      <c r="BN22" s="13"/>
      <c r="BO22" s="13"/>
      <c r="BP22" s="1" t="s">
        <v>75</v>
      </c>
      <c r="BQ22" s="1" t="s">
        <v>84</v>
      </c>
      <c r="BR22" s="13"/>
      <c r="BS22" s="13"/>
      <c r="BT22" s="13"/>
      <c r="BU22" s="207"/>
      <c r="BV22" s="1"/>
      <c r="BW22" s="1"/>
      <c r="BX22" s="13"/>
      <c r="BY22" s="13"/>
      <c r="BZ22" s="13"/>
      <c r="CA22" s="13"/>
      <c r="CB22" s="13"/>
      <c r="CC22" s="13"/>
      <c r="CD22" s="13"/>
      <c r="CE22" s="13"/>
      <c r="CF22" s="13"/>
      <c r="CG22" s="13"/>
    </row>
    <row r="23" spans="1:85" x14ac:dyDescent="0.35">
      <c r="A23" s="204" t="str">
        <f t="shared" si="0"/>
        <v>ANTAMINARUEDA DELANTERA LH980E5SE</v>
      </c>
      <c r="B23" s="15" t="s">
        <v>83</v>
      </c>
      <c r="C23" s="15" t="s">
        <v>78</v>
      </c>
      <c r="D23" s="5">
        <v>80</v>
      </c>
      <c r="E23" s="5">
        <v>140</v>
      </c>
      <c r="F23" s="5">
        <v>2</v>
      </c>
      <c r="G23" s="5">
        <v>3</v>
      </c>
      <c r="H23" s="5">
        <v>1</v>
      </c>
      <c r="I23" s="5">
        <v>2</v>
      </c>
      <c r="J23" s="5">
        <v>2</v>
      </c>
      <c r="K23" s="5">
        <v>3</v>
      </c>
      <c r="L23" s="5"/>
      <c r="M23" s="5"/>
      <c r="N23" s="5">
        <v>1</v>
      </c>
      <c r="O23" s="5">
        <v>2</v>
      </c>
      <c r="P23" s="5"/>
      <c r="Q23" s="5"/>
      <c r="R23" s="5">
        <v>26</v>
      </c>
      <c r="S23" s="5">
        <v>28</v>
      </c>
      <c r="T23" s="5">
        <v>4</v>
      </c>
      <c r="U23" s="5">
        <v>5</v>
      </c>
      <c r="V23" s="5"/>
      <c r="W23" s="5"/>
      <c r="X23" s="1"/>
      <c r="Y23" s="1">
        <v>661</v>
      </c>
      <c r="Z23" s="1"/>
      <c r="AA23" s="1">
        <v>636</v>
      </c>
      <c r="AB23" s="14"/>
      <c r="AC23" s="14"/>
      <c r="AD23" s="5"/>
      <c r="AE23" s="5"/>
      <c r="AF23" s="123"/>
      <c r="AG23" s="1">
        <v>2250</v>
      </c>
      <c r="AH23" s="5"/>
      <c r="AI23" s="5">
        <v>7</v>
      </c>
      <c r="AJ23" s="5"/>
      <c r="AK23" s="5"/>
      <c r="AL23" s="5"/>
      <c r="AM23" s="5"/>
      <c r="AN23" s="8">
        <v>22.229999999999997</v>
      </c>
      <c r="AO23" s="8">
        <v>21.527999999999999</v>
      </c>
      <c r="AP23" s="8">
        <v>25.740000000000002</v>
      </c>
      <c r="AQ23" s="8">
        <v>26.909999999999997</v>
      </c>
      <c r="AR23" s="5">
        <v>35</v>
      </c>
      <c r="AS23" s="5">
        <v>50</v>
      </c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5"/>
      <c r="BE23" s="5"/>
      <c r="BF23" s="1">
        <v>22</v>
      </c>
      <c r="BG23" s="1">
        <v>23</v>
      </c>
      <c r="BH23" s="1">
        <v>19</v>
      </c>
      <c r="BI23" s="89">
        <v>20</v>
      </c>
      <c r="BJ23" s="1">
        <v>16</v>
      </c>
      <c r="BK23" s="1">
        <v>17</v>
      </c>
      <c r="BL23" s="13"/>
      <c r="BM23" s="13"/>
      <c r="BN23" s="13"/>
      <c r="BO23" s="13"/>
      <c r="BP23" s="1" t="s">
        <v>75</v>
      </c>
      <c r="BQ23" s="1" t="s">
        <v>84</v>
      </c>
      <c r="BR23" s="13"/>
      <c r="BS23" s="13"/>
      <c r="BT23" s="13"/>
      <c r="BU23" s="207"/>
      <c r="BV23" s="1"/>
      <c r="BW23" s="1"/>
      <c r="BX23" s="13"/>
      <c r="BY23" s="13"/>
      <c r="BZ23" s="13"/>
      <c r="CA23" s="13"/>
      <c r="CB23" s="13"/>
      <c r="CC23" s="13"/>
      <c r="CD23" s="13"/>
      <c r="CE23" s="13"/>
      <c r="CF23" s="13"/>
      <c r="CG23" s="13"/>
    </row>
    <row r="24" spans="1:85" x14ac:dyDescent="0.35">
      <c r="A24" s="204" t="str">
        <f t="shared" si="0"/>
        <v>ANTAMINASISTEMA HIDRAULICO980E5SE</v>
      </c>
      <c r="B24" s="15" t="s">
        <v>83</v>
      </c>
      <c r="C24" s="15" t="s">
        <v>79</v>
      </c>
      <c r="D24" s="5">
        <v>6</v>
      </c>
      <c r="E24" s="5">
        <v>7</v>
      </c>
      <c r="F24" s="5">
        <v>5</v>
      </c>
      <c r="G24" s="5">
        <v>7</v>
      </c>
      <c r="H24" s="5">
        <v>2</v>
      </c>
      <c r="I24" s="5">
        <v>3</v>
      </c>
      <c r="J24" s="5">
        <v>3</v>
      </c>
      <c r="K24" s="5">
        <v>5</v>
      </c>
      <c r="L24" s="5"/>
      <c r="M24" s="5"/>
      <c r="N24" s="5">
        <v>1</v>
      </c>
      <c r="O24" s="5">
        <v>2</v>
      </c>
      <c r="P24" s="5"/>
      <c r="Q24" s="5"/>
      <c r="R24" s="5">
        <v>20</v>
      </c>
      <c r="S24" s="5">
        <v>27</v>
      </c>
      <c r="T24" s="5">
        <v>5</v>
      </c>
      <c r="U24" s="5">
        <v>6</v>
      </c>
      <c r="V24" s="5"/>
      <c r="W24" s="5"/>
      <c r="X24" s="5"/>
      <c r="Y24" s="5">
        <v>620</v>
      </c>
      <c r="Z24" s="5"/>
      <c r="AA24" s="5">
        <v>600</v>
      </c>
      <c r="AB24" s="5"/>
      <c r="AC24" s="5"/>
      <c r="AD24" s="5"/>
      <c r="AE24" s="5"/>
      <c r="AF24" s="9"/>
      <c r="AG24" s="5">
        <v>2187</v>
      </c>
      <c r="AH24" s="5"/>
      <c r="AI24" s="5">
        <v>7</v>
      </c>
      <c r="AJ24" s="5"/>
      <c r="AK24" s="5"/>
      <c r="AL24" s="5"/>
      <c r="AM24" s="5"/>
      <c r="AN24" s="8">
        <v>5.8</v>
      </c>
      <c r="AO24" s="8">
        <v>5.6</v>
      </c>
      <c r="AP24" s="8">
        <v>6.7</v>
      </c>
      <c r="AQ24" s="8">
        <v>7</v>
      </c>
      <c r="AR24" s="5"/>
      <c r="AS24" s="5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5"/>
      <c r="BE24" s="5"/>
      <c r="BF24" s="1">
        <v>22</v>
      </c>
      <c r="BG24" s="1">
        <v>23</v>
      </c>
      <c r="BH24" s="1">
        <v>19</v>
      </c>
      <c r="BI24" s="89">
        <v>20</v>
      </c>
      <c r="BJ24" s="1">
        <v>16</v>
      </c>
      <c r="BK24" s="1">
        <v>17</v>
      </c>
      <c r="BL24" s="13"/>
      <c r="BM24" s="13"/>
      <c r="BN24" s="13"/>
      <c r="BO24" s="13"/>
      <c r="BP24" s="1" t="s">
        <v>75</v>
      </c>
      <c r="BQ24" s="1" t="s">
        <v>84</v>
      </c>
      <c r="BR24" s="13"/>
      <c r="BS24" s="13"/>
      <c r="BT24" s="13"/>
      <c r="BU24" s="207"/>
      <c r="BV24" s="1"/>
      <c r="BW24" s="1"/>
      <c r="BX24" s="13"/>
      <c r="BY24" s="13"/>
      <c r="BZ24" s="13"/>
      <c r="CA24" s="13"/>
      <c r="CB24" s="13"/>
      <c r="CC24" s="13"/>
      <c r="CD24" s="13"/>
      <c r="CE24" s="13"/>
      <c r="CF24" s="13"/>
      <c r="CG24" s="13"/>
    </row>
    <row r="25" spans="1:85" x14ac:dyDescent="0.35">
      <c r="A25" s="204" t="str">
        <f t="shared" si="0"/>
        <v>ANTAMINAMOTOR980E5SE</v>
      </c>
      <c r="B25" s="15" t="s">
        <v>83</v>
      </c>
      <c r="C25" s="15" t="s">
        <v>80</v>
      </c>
      <c r="D25" s="5">
        <v>17</v>
      </c>
      <c r="E25" s="5">
        <v>19</v>
      </c>
      <c r="F25" s="8">
        <v>1.9</v>
      </c>
      <c r="G25" s="8">
        <v>2.1</v>
      </c>
      <c r="H25" s="5">
        <v>3</v>
      </c>
      <c r="I25" s="5">
        <v>5</v>
      </c>
      <c r="J25" s="5">
        <v>2</v>
      </c>
      <c r="K25" s="5">
        <v>3</v>
      </c>
      <c r="L25" s="5"/>
      <c r="M25" s="5"/>
      <c r="N25" s="5">
        <v>0.3</v>
      </c>
      <c r="O25" s="5">
        <v>0.4</v>
      </c>
      <c r="P25" s="5"/>
      <c r="Q25" s="5"/>
      <c r="R25" s="5">
        <v>6</v>
      </c>
      <c r="S25" s="5">
        <v>7</v>
      </c>
      <c r="T25" s="5">
        <v>5</v>
      </c>
      <c r="U25" s="5">
        <v>15</v>
      </c>
      <c r="V25" s="5">
        <v>3</v>
      </c>
      <c r="W25" s="5">
        <v>5</v>
      </c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05">
        <v>13.7</v>
      </c>
      <c r="AO25" s="105">
        <v>13.4</v>
      </c>
      <c r="AP25" s="105">
        <v>14.8</v>
      </c>
      <c r="AQ25" s="105">
        <v>15.1</v>
      </c>
      <c r="AR25" s="105">
        <v>30</v>
      </c>
      <c r="AS25" s="105">
        <v>40</v>
      </c>
      <c r="AT25" s="105">
        <v>8</v>
      </c>
      <c r="AU25" s="105">
        <v>9</v>
      </c>
      <c r="AV25" s="105">
        <v>10</v>
      </c>
      <c r="AW25" s="105">
        <v>11</v>
      </c>
      <c r="AX25" s="105">
        <v>9</v>
      </c>
      <c r="AY25" s="105">
        <v>10</v>
      </c>
      <c r="AZ25" s="105">
        <v>9.5</v>
      </c>
      <c r="BA25" s="105">
        <v>9</v>
      </c>
      <c r="BB25" s="105">
        <v>0.5</v>
      </c>
      <c r="BC25" s="105">
        <v>0.6</v>
      </c>
      <c r="BD25" s="1"/>
      <c r="BE25" s="1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" t="s">
        <v>75</v>
      </c>
      <c r="BQ25" s="1" t="s">
        <v>84</v>
      </c>
      <c r="BR25" s="13"/>
      <c r="BS25" s="13"/>
      <c r="BT25" s="13"/>
      <c r="BU25" s="207"/>
      <c r="BV25" s="1"/>
      <c r="BW25" s="1"/>
      <c r="BX25" s="13"/>
      <c r="BY25" s="13"/>
      <c r="BZ25" s="13"/>
      <c r="CA25" s="13"/>
      <c r="CB25" s="13"/>
      <c r="CC25" s="13"/>
      <c r="CD25" s="13"/>
      <c r="CE25" s="13"/>
      <c r="CF25" s="13"/>
      <c r="CG25" s="13"/>
    </row>
    <row r="26" spans="1:85" x14ac:dyDescent="0.35">
      <c r="A26" s="204" t="str">
        <f t="shared" si="0"/>
        <v>ANTAPACCAYMOTORPC125011R</v>
      </c>
      <c r="B26" s="15" t="s">
        <v>73</v>
      </c>
      <c r="C26" s="15" t="s">
        <v>80</v>
      </c>
      <c r="D26" s="1">
        <v>100</v>
      </c>
      <c r="E26" s="1">
        <v>200</v>
      </c>
      <c r="F26" s="1">
        <v>8</v>
      </c>
      <c r="G26" s="1">
        <v>16</v>
      </c>
      <c r="H26" s="1">
        <v>25</v>
      </c>
      <c r="I26" s="1">
        <v>70</v>
      </c>
      <c r="J26" s="1">
        <v>40</v>
      </c>
      <c r="K26" s="1">
        <v>120</v>
      </c>
      <c r="L26" s="1"/>
      <c r="M26" s="1"/>
      <c r="N26" s="1">
        <v>10</v>
      </c>
      <c r="O26" s="1">
        <v>25</v>
      </c>
      <c r="P26" s="1"/>
      <c r="Q26" s="1"/>
      <c r="R26" s="1">
        <v>20</v>
      </c>
      <c r="S26" s="1">
        <v>40</v>
      </c>
      <c r="T26" s="1">
        <v>50</v>
      </c>
      <c r="U26" s="1">
        <v>100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>
        <v>24</v>
      </c>
      <c r="AS26" s="1">
        <v>32</v>
      </c>
      <c r="AT26" s="1">
        <v>0.2</v>
      </c>
      <c r="AU26" s="1">
        <v>0.31</v>
      </c>
      <c r="AV26" s="1"/>
      <c r="AW26" s="1"/>
      <c r="AX26" s="1">
        <v>20</v>
      </c>
      <c r="AY26" s="1">
        <v>31</v>
      </c>
      <c r="AZ26" s="1"/>
      <c r="BA26" s="1">
        <v>7</v>
      </c>
      <c r="BB26" s="1">
        <v>1</v>
      </c>
      <c r="BC26" s="1">
        <v>1.5</v>
      </c>
      <c r="BD26" s="1"/>
      <c r="BE26" s="1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" t="s">
        <v>85</v>
      </c>
      <c r="BQ26" s="1" t="s">
        <v>86</v>
      </c>
      <c r="BR26" s="13"/>
      <c r="BS26" s="13"/>
      <c r="BT26" s="13"/>
      <c r="BU26" s="207"/>
      <c r="BV26" s="1"/>
      <c r="BW26" s="1"/>
      <c r="BX26" s="13"/>
      <c r="BY26" s="13"/>
      <c r="BZ26" s="13"/>
      <c r="CA26" s="13"/>
      <c r="CB26" s="13"/>
      <c r="CC26" s="13"/>
      <c r="CD26" s="13"/>
      <c r="CE26" s="13"/>
      <c r="CF26" s="13"/>
      <c r="CG26" s="13"/>
    </row>
    <row r="27" spans="1:85" x14ac:dyDescent="0.35">
      <c r="A27" s="204" t="str">
        <f t="shared" si="0"/>
        <v>ANTAPACCAYPTOPC125011R</v>
      </c>
      <c r="B27" s="15" t="s">
        <v>73</v>
      </c>
      <c r="C27" s="15" t="s">
        <v>87</v>
      </c>
      <c r="D27" s="1">
        <v>100</v>
      </c>
      <c r="E27" s="1">
        <v>300</v>
      </c>
      <c r="F27" s="1">
        <v>10</v>
      </c>
      <c r="G27" s="1">
        <v>30</v>
      </c>
      <c r="H27" s="1">
        <v>30</v>
      </c>
      <c r="I27" s="1">
        <v>70</v>
      </c>
      <c r="J27" s="1"/>
      <c r="K27" s="1"/>
      <c r="L27" s="1"/>
      <c r="M27" s="1"/>
      <c r="N27" s="1"/>
      <c r="O27" s="1"/>
      <c r="P27" s="1"/>
      <c r="Q27" s="1"/>
      <c r="R27" s="1">
        <v>40</v>
      </c>
      <c r="S27" s="1">
        <v>80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>
        <v>51</v>
      </c>
      <c r="AS27" s="1">
        <v>76</v>
      </c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3"/>
      <c r="BG27" s="1"/>
      <c r="BH27" s="1">
        <v>22</v>
      </c>
      <c r="BI27" s="1">
        <v>24</v>
      </c>
      <c r="BJ27" s="1">
        <v>18</v>
      </c>
      <c r="BK27" s="1">
        <v>20</v>
      </c>
      <c r="BL27" s="13"/>
      <c r="BM27" s="13"/>
      <c r="BN27" s="13"/>
      <c r="BO27" s="13"/>
      <c r="BP27" s="1" t="s">
        <v>85</v>
      </c>
      <c r="BQ27" s="1" t="s">
        <v>86</v>
      </c>
      <c r="BR27" s="13"/>
      <c r="BS27" s="13"/>
      <c r="BT27" s="13"/>
      <c r="BU27" s="207"/>
      <c r="BV27" s="1"/>
      <c r="BW27" s="1"/>
      <c r="BX27" s="13"/>
      <c r="BY27" s="13"/>
      <c r="BZ27" s="13"/>
      <c r="CA27" s="13"/>
      <c r="CB27" s="13"/>
      <c r="CC27" s="13"/>
      <c r="CD27" s="13"/>
      <c r="CE27" s="13"/>
      <c r="CF27" s="13"/>
      <c r="CG27" s="13"/>
    </row>
    <row r="28" spans="1:85" x14ac:dyDescent="0.35">
      <c r="A28" s="204" t="str">
        <f t="shared" si="0"/>
        <v>ANTAPACCAYCAJA GIRO FRONTPC125011R</v>
      </c>
      <c r="B28" s="15" t="s">
        <v>73</v>
      </c>
      <c r="C28" s="15" t="s">
        <v>88</v>
      </c>
      <c r="D28" s="1">
        <v>100</v>
      </c>
      <c r="E28" s="1">
        <v>200</v>
      </c>
      <c r="F28" s="1">
        <v>10</v>
      </c>
      <c r="G28" s="1">
        <v>20</v>
      </c>
      <c r="H28" s="1">
        <v>100</v>
      </c>
      <c r="I28" s="1">
        <v>200</v>
      </c>
      <c r="J28" s="1"/>
      <c r="K28" s="1"/>
      <c r="L28" s="1"/>
      <c r="M28" s="1"/>
      <c r="N28" s="1"/>
      <c r="O28" s="1"/>
      <c r="P28" s="1"/>
      <c r="Q28" s="1"/>
      <c r="R28" s="1">
        <v>30</v>
      </c>
      <c r="S28" s="1">
        <v>60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>
        <v>51</v>
      </c>
      <c r="AS28" s="1">
        <v>76</v>
      </c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3"/>
      <c r="BG28" s="1"/>
      <c r="BH28" s="1">
        <v>22</v>
      </c>
      <c r="BI28" s="1">
        <v>24</v>
      </c>
      <c r="BJ28" s="1">
        <v>18</v>
      </c>
      <c r="BK28" s="1">
        <v>20</v>
      </c>
      <c r="BL28" s="13"/>
      <c r="BM28" s="13"/>
      <c r="BN28" s="13"/>
      <c r="BO28" s="13"/>
      <c r="BP28" s="1" t="s">
        <v>85</v>
      </c>
      <c r="BQ28" s="1" t="s">
        <v>86</v>
      </c>
      <c r="BR28" s="13"/>
      <c r="BS28" s="13"/>
      <c r="BT28" s="13"/>
      <c r="BU28" s="207"/>
      <c r="BV28" s="1"/>
      <c r="BW28" s="1"/>
      <c r="BX28" s="13"/>
      <c r="BY28" s="13"/>
      <c r="BZ28" s="13"/>
      <c r="CA28" s="13"/>
      <c r="CB28" s="13"/>
      <c r="CC28" s="13"/>
      <c r="CD28" s="13"/>
      <c r="CE28" s="13"/>
      <c r="CF28" s="13"/>
      <c r="CG28" s="13"/>
    </row>
    <row r="29" spans="1:85" x14ac:dyDescent="0.35">
      <c r="A29" s="204" t="str">
        <f t="shared" si="0"/>
        <v>ANTAPACCAYCAJA GIRO REARPC125011R</v>
      </c>
      <c r="B29" s="15" t="s">
        <v>73</v>
      </c>
      <c r="C29" s="15" t="s">
        <v>89</v>
      </c>
      <c r="D29" s="1">
        <v>100</v>
      </c>
      <c r="E29" s="1">
        <v>200</v>
      </c>
      <c r="F29" s="1">
        <v>10</v>
      </c>
      <c r="G29" s="1">
        <v>20</v>
      </c>
      <c r="H29" s="1">
        <v>100</v>
      </c>
      <c r="I29" s="1">
        <v>200</v>
      </c>
      <c r="J29" s="1"/>
      <c r="K29" s="1"/>
      <c r="L29" s="1"/>
      <c r="M29" s="1"/>
      <c r="N29" s="1"/>
      <c r="O29" s="1"/>
      <c r="P29" s="1"/>
      <c r="Q29" s="1"/>
      <c r="R29" s="1">
        <v>30</v>
      </c>
      <c r="S29" s="1">
        <v>60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>
        <v>51</v>
      </c>
      <c r="AS29" s="1">
        <v>76</v>
      </c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3"/>
      <c r="BG29" s="1"/>
      <c r="BH29" s="1">
        <v>22</v>
      </c>
      <c r="BI29" s="1">
        <v>24</v>
      </c>
      <c r="BJ29" s="1">
        <v>18</v>
      </c>
      <c r="BK29" s="1">
        <v>20</v>
      </c>
      <c r="BL29" s="13"/>
      <c r="BM29" s="13"/>
      <c r="BN29" s="13"/>
      <c r="BO29" s="13"/>
      <c r="BP29" s="1" t="s">
        <v>85</v>
      </c>
      <c r="BQ29" s="1" t="s">
        <v>86</v>
      </c>
      <c r="BR29" s="13"/>
      <c r="BS29" s="13"/>
      <c r="BT29" s="13"/>
      <c r="BU29" s="207"/>
      <c r="BV29" s="1"/>
      <c r="BW29" s="1"/>
      <c r="BX29" s="13"/>
      <c r="BY29" s="13"/>
      <c r="BZ29" s="13"/>
      <c r="CA29" s="13"/>
      <c r="CB29" s="13"/>
      <c r="CC29" s="13"/>
      <c r="CD29" s="13"/>
      <c r="CE29" s="13"/>
      <c r="CF29" s="13"/>
      <c r="CG29" s="13"/>
    </row>
    <row r="30" spans="1:85" x14ac:dyDescent="0.35">
      <c r="A30" s="204" t="str">
        <f t="shared" si="0"/>
        <v>ANTAPACCAYMANDO FINAL LHPC125011R</v>
      </c>
      <c r="B30" s="15" t="s">
        <v>73</v>
      </c>
      <c r="C30" s="15" t="s">
        <v>90</v>
      </c>
      <c r="D30" s="1">
        <v>200</v>
      </c>
      <c r="E30" s="1">
        <v>400</v>
      </c>
      <c r="F30" s="1">
        <v>30</v>
      </c>
      <c r="G30" s="1">
        <v>90</v>
      </c>
      <c r="H30" s="1">
        <v>100</v>
      </c>
      <c r="I30" s="1">
        <v>200</v>
      </c>
      <c r="J30" s="1"/>
      <c r="K30" s="1"/>
      <c r="L30" s="1"/>
      <c r="M30" s="1"/>
      <c r="N30" s="1"/>
      <c r="O30" s="1"/>
      <c r="P30" s="1"/>
      <c r="Q30" s="1"/>
      <c r="R30" s="1">
        <v>100</v>
      </c>
      <c r="S30" s="1">
        <v>200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>
        <v>166</v>
      </c>
      <c r="AS30" s="1">
        <v>701</v>
      </c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3"/>
      <c r="BG30" s="1"/>
      <c r="BH30" s="1">
        <v>22</v>
      </c>
      <c r="BI30" s="1">
        <v>24</v>
      </c>
      <c r="BJ30" s="1">
        <v>18</v>
      </c>
      <c r="BK30" s="1">
        <v>20</v>
      </c>
      <c r="BL30" s="13"/>
      <c r="BM30" s="13"/>
      <c r="BN30" s="13"/>
      <c r="BO30" s="13"/>
      <c r="BP30" s="1" t="s">
        <v>85</v>
      </c>
      <c r="BQ30" s="1" t="s">
        <v>86</v>
      </c>
      <c r="BR30" s="13"/>
      <c r="BS30" s="13"/>
      <c r="BT30" s="13"/>
      <c r="BU30" s="207"/>
      <c r="BV30" s="1"/>
      <c r="BW30" s="1"/>
      <c r="BX30" s="13"/>
      <c r="BY30" s="13"/>
      <c r="BZ30" s="13"/>
      <c r="CA30" s="13"/>
      <c r="CB30" s="13"/>
      <c r="CC30" s="13"/>
      <c r="CD30" s="13"/>
      <c r="CE30" s="13"/>
      <c r="CF30" s="13"/>
      <c r="CG30" s="13"/>
    </row>
    <row r="31" spans="1:85" x14ac:dyDescent="0.35">
      <c r="A31" s="204" t="str">
        <f t="shared" si="0"/>
        <v>ANTAPACCAYMANDO FINAL RHPC125011R</v>
      </c>
      <c r="B31" s="15" t="s">
        <v>73</v>
      </c>
      <c r="C31" s="15" t="s">
        <v>91</v>
      </c>
      <c r="D31" s="1">
        <v>200</v>
      </c>
      <c r="E31" s="1">
        <v>400</v>
      </c>
      <c r="F31" s="1">
        <v>30</v>
      </c>
      <c r="G31" s="1">
        <v>90</v>
      </c>
      <c r="H31" s="1">
        <v>100</v>
      </c>
      <c r="I31" s="1">
        <v>200</v>
      </c>
      <c r="J31" s="1"/>
      <c r="K31" s="1"/>
      <c r="L31" s="1"/>
      <c r="M31" s="1"/>
      <c r="N31" s="1"/>
      <c r="O31" s="1"/>
      <c r="P31" s="1"/>
      <c r="Q31" s="1"/>
      <c r="R31" s="1">
        <v>100</v>
      </c>
      <c r="S31" s="1">
        <v>200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>
        <v>166</v>
      </c>
      <c r="AS31" s="1">
        <v>701</v>
      </c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3"/>
      <c r="BG31" s="1"/>
      <c r="BH31" s="1">
        <v>22</v>
      </c>
      <c r="BI31" s="1">
        <v>24</v>
      </c>
      <c r="BJ31" s="1">
        <v>18</v>
      </c>
      <c r="BK31" s="1">
        <v>20</v>
      </c>
      <c r="BL31" s="13"/>
      <c r="BM31" s="13"/>
      <c r="BN31" s="13"/>
      <c r="BO31" s="13"/>
      <c r="BP31" s="1" t="s">
        <v>85</v>
      </c>
      <c r="BQ31" s="1" t="s">
        <v>86</v>
      </c>
      <c r="BR31" s="13"/>
      <c r="BS31" s="13"/>
      <c r="BT31" s="13"/>
      <c r="BU31" s="207"/>
      <c r="BV31" s="1"/>
      <c r="BW31" s="1"/>
      <c r="BX31" s="13"/>
      <c r="BY31" s="13"/>
      <c r="BZ31" s="13"/>
      <c r="CA31" s="13"/>
      <c r="CB31" s="13"/>
      <c r="CC31" s="13"/>
      <c r="CD31" s="13"/>
      <c r="CE31" s="13"/>
      <c r="CF31" s="13"/>
      <c r="CG31" s="13"/>
    </row>
    <row r="32" spans="1:85" x14ac:dyDescent="0.35">
      <c r="A32" s="204" t="str">
        <f t="shared" si="0"/>
        <v>ANTAPACCAYSISTEMA HIDRAULICOPC125011R</v>
      </c>
      <c r="B32" s="15" t="s">
        <v>73</v>
      </c>
      <c r="C32" s="3" t="s">
        <v>79</v>
      </c>
      <c r="D32" s="1">
        <v>40</v>
      </c>
      <c r="E32" s="1">
        <v>80</v>
      </c>
      <c r="F32" s="1">
        <v>10</v>
      </c>
      <c r="G32" s="1">
        <v>20</v>
      </c>
      <c r="H32" s="1">
        <v>100</v>
      </c>
      <c r="I32" s="1">
        <v>200</v>
      </c>
      <c r="J32" s="1"/>
      <c r="K32" s="1"/>
      <c r="L32" s="1"/>
      <c r="M32" s="1"/>
      <c r="N32" s="1"/>
      <c r="O32" s="1"/>
      <c r="P32" s="1"/>
      <c r="Q32" s="1"/>
      <c r="R32" s="1">
        <v>30</v>
      </c>
      <c r="S32" s="1">
        <v>60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>
        <v>16</v>
      </c>
      <c r="AS32" s="1">
        <v>26</v>
      </c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3"/>
      <c r="BG32" s="1"/>
      <c r="BH32" s="1">
        <v>19</v>
      </c>
      <c r="BI32" s="1">
        <v>21</v>
      </c>
      <c r="BJ32" s="1">
        <v>16</v>
      </c>
      <c r="BK32" s="1">
        <v>18</v>
      </c>
      <c r="BL32" s="13"/>
      <c r="BM32" s="13"/>
      <c r="BN32" s="13"/>
      <c r="BO32" s="13"/>
      <c r="BP32" s="1" t="s">
        <v>85</v>
      </c>
      <c r="BQ32" s="1" t="s">
        <v>86</v>
      </c>
      <c r="BR32" s="13"/>
      <c r="BS32" s="13"/>
      <c r="BT32" s="13"/>
      <c r="BU32" s="207"/>
      <c r="BV32" s="1"/>
      <c r="BW32" s="1"/>
      <c r="BX32" s="13"/>
      <c r="BY32" s="13"/>
      <c r="BZ32" s="13"/>
      <c r="CA32" s="13"/>
      <c r="CB32" s="13"/>
      <c r="CC32" s="13"/>
      <c r="CD32" s="13"/>
      <c r="CE32" s="13"/>
      <c r="CF32" s="13"/>
      <c r="CG32" s="13"/>
    </row>
    <row r="33" spans="1:85" x14ac:dyDescent="0.35">
      <c r="A33" s="204" t="str">
        <f t="shared" si="0"/>
        <v>ANTAPACCAYMOTORD475A8R</v>
      </c>
      <c r="B33" s="15" t="s">
        <v>73</v>
      </c>
      <c r="C33" s="15" t="s">
        <v>80</v>
      </c>
      <c r="D33" s="1">
        <v>100</v>
      </c>
      <c r="E33" s="1">
        <v>200</v>
      </c>
      <c r="F33" s="1">
        <v>8</v>
      </c>
      <c r="G33" s="1">
        <v>16</v>
      </c>
      <c r="H33" s="1">
        <v>25</v>
      </c>
      <c r="I33" s="1">
        <v>70</v>
      </c>
      <c r="J33" s="1">
        <v>40</v>
      </c>
      <c r="K33" s="1">
        <v>120</v>
      </c>
      <c r="L33" s="1"/>
      <c r="M33" s="1"/>
      <c r="N33" s="1">
        <v>10</v>
      </c>
      <c r="O33" s="1">
        <v>25</v>
      </c>
      <c r="P33" s="1"/>
      <c r="Q33" s="1"/>
      <c r="R33" s="1">
        <v>20</v>
      </c>
      <c r="S33" s="1">
        <v>40</v>
      </c>
      <c r="T33" s="1">
        <v>50</v>
      </c>
      <c r="U33" s="1">
        <v>100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>
        <v>24</v>
      </c>
      <c r="AS33" s="1">
        <v>32</v>
      </c>
      <c r="AT33" s="1">
        <v>0.2</v>
      </c>
      <c r="AU33" s="1">
        <v>0.31</v>
      </c>
      <c r="AV33" s="1"/>
      <c r="AW33" s="1"/>
      <c r="AX33" s="1">
        <v>20</v>
      </c>
      <c r="AY33" s="1">
        <v>31</v>
      </c>
      <c r="AZ33" s="1"/>
      <c r="BA33" s="1">
        <v>7</v>
      </c>
      <c r="BB33" s="1">
        <v>1</v>
      </c>
      <c r="BC33" s="1">
        <v>1.5</v>
      </c>
      <c r="BD33" s="1"/>
      <c r="BE33" s="1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" t="s">
        <v>92</v>
      </c>
      <c r="BQ33" s="1" t="s">
        <v>93</v>
      </c>
      <c r="BR33" s="13"/>
      <c r="BS33" s="13"/>
      <c r="BT33" s="13"/>
      <c r="BU33" s="207"/>
      <c r="BV33" s="1"/>
      <c r="BW33" s="1"/>
      <c r="BX33" s="13"/>
      <c r="BY33" s="13"/>
      <c r="BZ33" s="13"/>
      <c r="CA33" s="13"/>
      <c r="CB33" s="13"/>
      <c r="CC33" s="13"/>
      <c r="CD33" s="13"/>
      <c r="CE33" s="13"/>
      <c r="CF33" s="13"/>
      <c r="CG33" s="13"/>
    </row>
    <row r="34" spans="1:85" x14ac:dyDescent="0.35">
      <c r="A34" s="204" t="str">
        <f t="shared" si="0"/>
        <v>ANTAPACCAYDAMPERD475A8R</v>
      </c>
      <c r="B34" s="15" t="s">
        <v>73</v>
      </c>
      <c r="C34" s="15" t="s">
        <v>94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3"/>
      <c r="BG34" s="1"/>
      <c r="BH34" s="1">
        <v>22</v>
      </c>
      <c r="BI34" s="1">
        <v>24</v>
      </c>
      <c r="BJ34" s="1">
        <v>18</v>
      </c>
      <c r="BK34" s="1">
        <v>20</v>
      </c>
      <c r="BL34" s="13"/>
      <c r="BM34" s="13"/>
      <c r="BN34" s="13"/>
      <c r="BO34" s="13"/>
      <c r="BP34" s="1" t="s">
        <v>92</v>
      </c>
      <c r="BQ34" s="1" t="s">
        <v>93</v>
      </c>
      <c r="BR34" s="13"/>
      <c r="BS34" s="13"/>
      <c r="BT34" s="13"/>
      <c r="BU34" s="207"/>
      <c r="BV34" s="1"/>
      <c r="BW34" s="1"/>
      <c r="BX34" s="13"/>
      <c r="BY34" s="13"/>
      <c r="BZ34" s="13"/>
      <c r="CA34" s="13"/>
      <c r="CB34" s="13"/>
      <c r="CC34" s="13"/>
      <c r="CD34" s="13"/>
      <c r="CE34" s="13"/>
      <c r="CF34" s="13"/>
      <c r="CG34" s="13"/>
    </row>
    <row r="35" spans="1:85" x14ac:dyDescent="0.35">
      <c r="A35" s="204" t="str">
        <f t="shared" si="0"/>
        <v>ANTAPACCAYTRANSMISIOND475A8R</v>
      </c>
      <c r="B35" s="15" t="s">
        <v>73</v>
      </c>
      <c r="C35" s="15" t="s">
        <v>95</v>
      </c>
      <c r="D35" s="1">
        <v>100</v>
      </c>
      <c r="E35" s="1">
        <v>300</v>
      </c>
      <c r="F35" s="1">
        <v>10</v>
      </c>
      <c r="G35" s="1">
        <v>30</v>
      </c>
      <c r="H35" s="1">
        <v>400</v>
      </c>
      <c r="I35" s="1">
        <v>800</v>
      </c>
      <c r="J35" s="1">
        <v>10</v>
      </c>
      <c r="K35" s="1">
        <v>30</v>
      </c>
      <c r="L35" s="1"/>
      <c r="M35" s="1"/>
      <c r="N35" s="1"/>
      <c r="O35" s="1"/>
      <c r="P35" s="1"/>
      <c r="Q35" s="1"/>
      <c r="R35" s="1">
        <v>30</v>
      </c>
      <c r="S35" s="1">
        <v>90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>
        <v>21</v>
      </c>
      <c r="AS35" s="1">
        <v>31</v>
      </c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3"/>
      <c r="BG35" s="1"/>
      <c r="BH35" s="1">
        <v>22</v>
      </c>
      <c r="BI35" s="1">
        <v>24</v>
      </c>
      <c r="BJ35" s="1">
        <v>18</v>
      </c>
      <c r="BK35" s="1">
        <v>20</v>
      </c>
      <c r="BL35" s="13"/>
      <c r="BM35" s="13"/>
      <c r="BN35" s="13"/>
      <c r="BO35" s="13"/>
      <c r="BP35" s="1" t="s">
        <v>92</v>
      </c>
      <c r="BQ35" s="1" t="s">
        <v>93</v>
      </c>
      <c r="BR35" s="13"/>
      <c r="BS35" s="13"/>
      <c r="BT35" s="13"/>
      <c r="BU35" s="207"/>
      <c r="BV35" s="1"/>
      <c r="BW35" s="1"/>
      <c r="BX35" s="13"/>
      <c r="BY35" s="13"/>
      <c r="BZ35" s="13"/>
      <c r="CA35" s="13"/>
      <c r="CB35" s="13"/>
      <c r="CC35" s="13"/>
      <c r="CD35" s="13"/>
      <c r="CE35" s="13"/>
      <c r="CF35" s="13"/>
      <c r="CG35" s="13"/>
    </row>
    <row r="36" spans="1:85" x14ac:dyDescent="0.35">
      <c r="A36" s="204" t="str">
        <f t="shared" si="0"/>
        <v>ANTAPACCAYMANDO FINAL LHD475A8R</v>
      </c>
      <c r="B36" s="15" t="s">
        <v>73</v>
      </c>
      <c r="C36" s="15" t="s">
        <v>90</v>
      </c>
      <c r="D36" s="1">
        <v>300</v>
      </c>
      <c r="E36" s="1">
        <v>700</v>
      </c>
      <c r="F36" s="1">
        <v>30</v>
      </c>
      <c r="G36" s="1">
        <v>70</v>
      </c>
      <c r="H36" s="1">
        <v>20</v>
      </c>
      <c r="I36" s="1">
        <v>30</v>
      </c>
      <c r="J36" s="1"/>
      <c r="K36" s="1"/>
      <c r="L36" s="1"/>
      <c r="M36" s="1"/>
      <c r="N36" s="1"/>
      <c r="O36" s="1"/>
      <c r="P36" s="1"/>
      <c r="Q36" s="1"/>
      <c r="R36" s="1">
        <v>100</v>
      </c>
      <c r="S36" s="1">
        <v>200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>
        <v>166</v>
      </c>
      <c r="AS36" s="1">
        <v>701</v>
      </c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3"/>
      <c r="BG36" s="1"/>
      <c r="BH36" s="1">
        <v>22</v>
      </c>
      <c r="BI36" s="1">
        <v>24</v>
      </c>
      <c r="BJ36" s="1">
        <v>18</v>
      </c>
      <c r="BK36" s="1">
        <v>20</v>
      </c>
      <c r="BL36" s="13"/>
      <c r="BM36" s="13"/>
      <c r="BN36" s="13"/>
      <c r="BO36" s="13"/>
      <c r="BP36" s="1" t="s">
        <v>92</v>
      </c>
      <c r="BQ36" s="1" t="s">
        <v>93</v>
      </c>
      <c r="BR36" s="13"/>
      <c r="BS36" s="13"/>
      <c r="BT36" s="13"/>
      <c r="BU36" s="207"/>
      <c r="BV36" s="1"/>
      <c r="BW36" s="1"/>
      <c r="BX36" s="13"/>
      <c r="BY36" s="13"/>
      <c r="BZ36" s="13"/>
      <c r="CA36" s="13"/>
      <c r="CB36" s="13"/>
      <c r="CC36" s="13"/>
      <c r="CD36" s="13"/>
      <c r="CE36" s="13"/>
      <c r="CF36" s="13"/>
      <c r="CG36" s="13"/>
    </row>
    <row r="37" spans="1:85" x14ac:dyDescent="0.35">
      <c r="A37" s="204" t="str">
        <f t="shared" si="0"/>
        <v>ANTAPACCAYMANDO FINAL RHD475A8R</v>
      </c>
      <c r="B37" s="15" t="s">
        <v>73</v>
      </c>
      <c r="C37" s="15" t="s">
        <v>91</v>
      </c>
      <c r="D37" s="1">
        <v>300</v>
      </c>
      <c r="E37" s="1">
        <v>700</v>
      </c>
      <c r="F37" s="1">
        <v>30</v>
      </c>
      <c r="G37" s="1">
        <v>70</v>
      </c>
      <c r="H37" s="1">
        <v>20</v>
      </c>
      <c r="I37" s="1">
        <v>30</v>
      </c>
      <c r="J37" s="1"/>
      <c r="K37" s="1"/>
      <c r="L37" s="1"/>
      <c r="M37" s="1"/>
      <c r="N37" s="1"/>
      <c r="O37" s="1"/>
      <c r="P37" s="1"/>
      <c r="Q37" s="1"/>
      <c r="R37" s="1">
        <v>100</v>
      </c>
      <c r="S37" s="1">
        <v>200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>
        <v>166</v>
      </c>
      <c r="AS37" s="1">
        <v>701</v>
      </c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3"/>
      <c r="BG37" s="1"/>
      <c r="BH37" s="1">
        <v>22</v>
      </c>
      <c r="BI37" s="1">
        <v>24</v>
      </c>
      <c r="BJ37" s="1">
        <v>18</v>
      </c>
      <c r="BK37" s="1">
        <v>20</v>
      </c>
      <c r="BL37" s="13"/>
      <c r="BM37" s="13"/>
      <c r="BN37" s="13"/>
      <c r="BO37" s="13"/>
      <c r="BP37" s="1" t="s">
        <v>92</v>
      </c>
      <c r="BQ37" s="1" t="s">
        <v>93</v>
      </c>
      <c r="BR37" s="13"/>
      <c r="BS37" s="13"/>
      <c r="BT37" s="13"/>
      <c r="BU37" s="207"/>
      <c r="BV37" s="1"/>
      <c r="BW37" s="1"/>
      <c r="BX37" s="13"/>
      <c r="BY37" s="13"/>
      <c r="BZ37" s="13"/>
      <c r="CA37" s="13"/>
      <c r="CB37" s="13"/>
      <c r="CC37" s="13"/>
      <c r="CD37" s="13"/>
      <c r="CE37" s="13"/>
      <c r="CF37" s="13"/>
      <c r="CG37" s="13"/>
    </row>
    <row r="38" spans="1:85" x14ac:dyDescent="0.35">
      <c r="A38" s="208" t="str">
        <f t="shared" si="0"/>
        <v>ANTAPACCAYSISTEMA HIDRAULICOD475A8R</v>
      </c>
      <c r="B38" s="215" t="s">
        <v>73</v>
      </c>
      <c r="C38" s="216" t="s">
        <v>79</v>
      </c>
      <c r="D38" s="114">
        <v>70</v>
      </c>
      <c r="E38" s="114">
        <v>140</v>
      </c>
      <c r="F38" s="114">
        <v>10</v>
      </c>
      <c r="G38" s="114">
        <v>20</v>
      </c>
      <c r="H38" s="114">
        <v>100</v>
      </c>
      <c r="I38" s="114">
        <v>200</v>
      </c>
      <c r="J38" s="114"/>
      <c r="K38" s="114"/>
      <c r="L38" s="114"/>
      <c r="M38" s="114"/>
      <c r="N38" s="114"/>
      <c r="O38" s="114"/>
      <c r="P38" s="114"/>
      <c r="Q38" s="114"/>
      <c r="R38" s="114">
        <v>30</v>
      </c>
      <c r="S38" s="114">
        <v>60</v>
      </c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4"/>
      <c r="AP38" s="114"/>
      <c r="AQ38" s="114"/>
      <c r="AR38" s="114">
        <v>16</v>
      </c>
      <c r="AS38" s="114">
        <v>26</v>
      </c>
      <c r="AT38" s="114"/>
      <c r="AU38" s="114"/>
      <c r="AV38" s="114"/>
      <c r="AW38" s="114"/>
      <c r="AX38" s="114"/>
      <c r="AY38" s="114"/>
      <c r="AZ38" s="114"/>
      <c r="BA38" s="114"/>
      <c r="BB38" s="114"/>
      <c r="BC38" s="114"/>
      <c r="BD38" s="114"/>
      <c r="BE38" s="114"/>
      <c r="BF38" s="112"/>
      <c r="BG38" s="114"/>
      <c r="BH38" s="1">
        <v>19</v>
      </c>
      <c r="BI38" s="1">
        <v>21</v>
      </c>
      <c r="BJ38" s="1">
        <v>16</v>
      </c>
      <c r="BK38" s="1">
        <v>18</v>
      </c>
      <c r="BL38" s="112"/>
      <c r="BM38" s="112"/>
      <c r="BN38" s="112"/>
      <c r="BO38" s="112"/>
      <c r="BP38" s="114" t="s">
        <v>92</v>
      </c>
      <c r="BQ38" s="114" t="s">
        <v>93</v>
      </c>
      <c r="BR38" s="112"/>
      <c r="BS38" s="112"/>
      <c r="BT38" s="112"/>
      <c r="BU38" s="217"/>
      <c r="BV38" s="1"/>
      <c r="BW38" s="1"/>
      <c r="BX38" s="13"/>
      <c r="BY38" s="13"/>
      <c r="BZ38" s="13"/>
      <c r="CA38" s="13"/>
      <c r="CB38" s="13"/>
      <c r="CC38" s="13"/>
      <c r="CD38" s="13"/>
      <c r="CE38" s="13"/>
      <c r="CF38" s="13"/>
      <c r="CG38" s="13"/>
    </row>
    <row r="39" spans="1:85" x14ac:dyDescent="0.35">
      <c r="A39" s="208" t="str">
        <f>CONCATENATE(B39,C39,BP39,BQ39)</f>
        <v>CERRO VERDEMOTOR DE TRACCION RH730E-10</v>
      </c>
      <c r="B39" s="231" t="s">
        <v>82</v>
      </c>
      <c r="C39" s="15" t="s">
        <v>74</v>
      </c>
      <c r="D39" s="114">
        <v>80</v>
      </c>
      <c r="E39" s="114">
        <v>168</v>
      </c>
      <c r="F39" s="114">
        <v>10</v>
      </c>
      <c r="G39" s="114">
        <v>15</v>
      </c>
      <c r="H39" s="114">
        <v>35</v>
      </c>
      <c r="I39" s="114">
        <v>73.5</v>
      </c>
      <c r="J39" s="114">
        <v>10</v>
      </c>
      <c r="K39" s="114">
        <v>15</v>
      </c>
      <c r="L39" s="114">
        <v>10</v>
      </c>
      <c r="M39" s="114">
        <v>15</v>
      </c>
      <c r="N39" s="114">
        <v>10</v>
      </c>
      <c r="O39" s="114">
        <v>15</v>
      </c>
      <c r="P39" s="114">
        <v>10</v>
      </c>
      <c r="Q39" s="114">
        <v>15</v>
      </c>
      <c r="R39" s="226">
        <v>115</v>
      </c>
      <c r="S39" s="226">
        <v>122</v>
      </c>
      <c r="T39" s="114">
        <v>50</v>
      </c>
      <c r="U39" s="114">
        <v>100</v>
      </c>
      <c r="V39" s="114">
        <v>50</v>
      </c>
      <c r="W39" s="114">
        <v>100</v>
      </c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8">
        <v>71.010000000000005</v>
      </c>
      <c r="AP39" s="114"/>
      <c r="AQ39" s="90">
        <v>86.79</v>
      </c>
      <c r="AR39" s="114">
        <v>260</v>
      </c>
      <c r="AS39" s="114">
        <v>280</v>
      </c>
      <c r="AT39" s="114"/>
      <c r="AU39" s="114"/>
      <c r="AV39" s="114"/>
      <c r="AW39" s="114"/>
      <c r="AX39" s="114"/>
      <c r="AY39" s="114"/>
      <c r="AZ39" s="114"/>
      <c r="BA39" s="114"/>
      <c r="BB39" s="114"/>
      <c r="BC39" s="114"/>
      <c r="BD39" s="114"/>
      <c r="BE39" s="114"/>
      <c r="BF39" s="112"/>
      <c r="BG39" s="114"/>
      <c r="BH39" s="5">
        <v>19</v>
      </c>
      <c r="BI39" s="5">
        <v>20</v>
      </c>
      <c r="BJ39" s="5">
        <v>16</v>
      </c>
      <c r="BK39" s="5">
        <v>19</v>
      </c>
      <c r="BL39" s="112"/>
      <c r="BM39" s="112"/>
      <c r="BN39" s="112"/>
      <c r="BO39" s="112"/>
      <c r="BP39" s="232" t="s">
        <v>96</v>
      </c>
      <c r="BQ39" s="114">
        <v>10</v>
      </c>
      <c r="BR39" s="1">
        <v>650</v>
      </c>
      <c r="BS39" s="1">
        <v>620</v>
      </c>
      <c r="BT39" s="112"/>
      <c r="BU39" s="217"/>
      <c r="BV39" s="1"/>
      <c r="BW39" s="1"/>
      <c r="BX39" s="13"/>
      <c r="BY39" s="13"/>
      <c r="BZ39" s="13"/>
      <c r="CA39" s="13"/>
      <c r="CB39" s="13"/>
      <c r="CC39" s="13"/>
      <c r="CD39" s="13"/>
      <c r="CE39" s="13"/>
      <c r="CF39" s="13"/>
      <c r="CG39" s="13"/>
    </row>
    <row r="40" spans="1:85" x14ac:dyDescent="0.35">
      <c r="A40" s="204" t="str">
        <f t="shared" ref="A40:A44" si="1">CONCATENATE(B40,C40,BP40,BQ40)</f>
        <v>CERRO VERDEMOTOR DE TRACCION LH730E-10</v>
      </c>
      <c r="B40" s="231" t="s">
        <v>82</v>
      </c>
      <c r="C40" s="15" t="s">
        <v>76</v>
      </c>
      <c r="D40" s="114">
        <v>80</v>
      </c>
      <c r="E40" s="114">
        <v>168</v>
      </c>
      <c r="F40" s="114">
        <v>10</v>
      </c>
      <c r="G40" s="114">
        <v>15</v>
      </c>
      <c r="H40" s="114">
        <v>35</v>
      </c>
      <c r="I40" s="114">
        <v>73.5</v>
      </c>
      <c r="J40" s="114">
        <v>10</v>
      </c>
      <c r="K40" s="114">
        <v>15</v>
      </c>
      <c r="L40" s="114">
        <v>10</v>
      </c>
      <c r="M40" s="114">
        <v>15</v>
      </c>
      <c r="N40" s="114">
        <v>10</v>
      </c>
      <c r="O40" s="114">
        <v>15</v>
      </c>
      <c r="P40" s="114">
        <v>10</v>
      </c>
      <c r="Q40" s="114">
        <v>15</v>
      </c>
      <c r="R40" s="226">
        <v>115</v>
      </c>
      <c r="S40" s="226">
        <v>122</v>
      </c>
      <c r="T40" s="114">
        <v>50</v>
      </c>
      <c r="U40" s="114">
        <v>100</v>
      </c>
      <c r="V40" s="114">
        <v>50</v>
      </c>
      <c r="W40" s="114">
        <v>100</v>
      </c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8">
        <v>71.010000000000005</v>
      </c>
      <c r="AP40" s="1"/>
      <c r="AQ40" s="90">
        <v>86.79</v>
      </c>
      <c r="AR40" s="114">
        <v>260</v>
      </c>
      <c r="AS40" s="114">
        <v>280</v>
      </c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3"/>
      <c r="BG40" s="1"/>
      <c r="BH40" s="5">
        <v>19</v>
      </c>
      <c r="BI40" s="5">
        <v>20</v>
      </c>
      <c r="BJ40" s="5">
        <v>16</v>
      </c>
      <c r="BK40" s="5">
        <v>19</v>
      </c>
      <c r="BL40" s="13"/>
      <c r="BM40" s="13"/>
      <c r="BN40" s="13"/>
      <c r="BO40" s="13"/>
      <c r="BP40" s="232" t="s">
        <v>96</v>
      </c>
      <c r="BQ40" s="114">
        <v>10</v>
      </c>
      <c r="BR40" s="1">
        <v>650</v>
      </c>
      <c r="BS40" s="1">
        <v>620</v>
      </c>
      <c r="BT40" s="13"/>
      <c r="BU40" s="207"/>
      <c r="BV40" s="1"/>
      <c r="BW40" s="1"/>
      <c r="BX40" s="13"/>
      <c r="BY40" s="13"/>
      <c r="BZ40" s="13"/>
      <c r="CA40" s="13"/>
      <c r="CB40" s="13"/>
      <c r="CC40" s="13"/>
      <c r="CD40" s="13"/>
      <c r="CE40" s="13"/>
      <c r="CF40" s="13"/>
      <c r="CG40" s="13"/>
    </row>
    <row r="41" spans="1:85" x14ac:dyDescent="0.35">
      <c r="A41" s="204" t="str">
        <f t="shared" si="1"/>
        <v>CERRO VERDERUEDA DELANTERA RH730E-10</v>
      </c>
      <c r="B41" s="231" t="s">
        <v>82</v>
      </c>
      <c r="C41" s="15" t="s">
        <v>77</v>
      </c>
      <c r="D41" s="114">
        <v>80</v>
      </c>
      <c r="E41" s="114">
        <v>168</v>
      </c>
      <c r="F41" s="114">
        <v>10</v>
      </c>
      <c r="G41" s="114">
        <v>15</v>
      </c>
      <c r="H41" s="114">
        <v>35</v>
      </c>
      <c r="I41" s="114">
        <v>73.5</v>
      </c>
      <c r="J41" s="114">
        <v>10</v>
      </c>
      <c r="K41" s="114">
        <v>15</v>
      </c>
      <c r="L41" s="114">
        <v>10</v>
      </c>
      <c r="M41" s="114">
        <v>15</v>
      </c>
      <c r="N41" s="114">
        <v>10</v>
      </c>
      <c r="O41" s="114">
        <v>15</v>
      </c>
      <c r="P41" s="114">
        <v>10</v>
      </c>
      <c r="Q41" s="114">
        <v>15</v>
      </c>
      <c r="R41" s="14">
        <v>5.8</v>
      </c>
      <c r="S41" s="14">
        <v>6.1</v>
      </c>
      <c r="T41" s="114">
        <v>50</v>
      </c>
      <c r="U41" s="114">
        <v>100</v>
      </c>
      <c r="V41" s="114">
        <v>50</v>
      </c>
      <c r="W41" s="114">
        <v>100</v>
      </c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27">
        <v>17.3</v>
      </c>
      <c r="AO41" s="27">
        <v>16.7</v>
      </c>
      <c r="AP41" s="27">
        <v>20</v>
      </c>
      <c r="AQ41" s="27">
        <v>20.9</v>
      </c>
      <c r="AR41" s="1">
        <v>13</v>
      </c>
      <c r="AS41" s="1">
        <v>14</v>
      </c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>
        <v>22</v>
      </c>
      <c r="BG41" s="1">
        <v>23</v>
      </c>
      <c r="BH41" s="1">
        <v>19</v>
      </c>
      <c r="BI41" s="5">
        <v>20</v>
      </c>
      <c r="BJ41" s="1">
        <v>16</v>
      </c>
      <c r="BK41" s="1">
        <v>17</v>
      </c>
      <c r="BL41" s="13"/>
      <c r="BM41" s="13"/>
      <c r="BN41" s="13"/>
      <c r="BO41" s="13"/>
      <c r="BP41" s="232" t="s">
        <v>96</v>
      </c>
      <c r="BQ41" s="114">
        <v>10</v>
      </c>
      <c r="BR41" s="13"/>
      <c r="BS41" s="13"/>
      <c r="BT41" s="13"/>
      <c r="BU41" s="207"/>
      <c r="BV41" s="1"/>
      <c r="BW41" s="1"/>
      <c r="BX41" s="13"/>
      <c r="BY41" s="13"/>
      <c r="BZ41" s="13"/>
      <c r="CA41" s="13"/>
      <c r="CB41" s="13"/>
      <c r="CC41" s="13"/>
      <c r="CD41" s="13"/>
      <c r="CE41" s="13"/>
      <c r="CF41" s="13"/>
      <c r="CG41" s="13"/>
    </row>
    <row r="42" spans="1:85" x14ac:dyDescent="0.35">
      <c r="A42" s="204" t="str">
        <f t="shared" si="1"/>
        <v>CERRO VERDERUEDA DELANTERA LH730E-10</v>
      </c>
      <c r="B42" s="231" t="s">
        <v>82</v>
      </c>
      <c r="C42" s="15" t="s">
        <v>78</v>
      </c>
      <c r="D42" s="114">
        <v>80</v>
      </c>
      <c r="E42" s="114">
        <v>168</v>
      </c>
      <c r="F42" s="114">
        <v>10</v>
      </c>
      <c r="G42" s="114">
        <v>15</v>
      </c>
      <c r="H42" s="114">
        <v>35</v>
      </c>
      <c r="I42" s="114">
        <v>73.5</v>
      </c>
      <c r="J42" s="114">
        <v>10</v>
      </c>
      <c r="K42" s="114">
        <v>15</v>
      </c>
      <c r="L42" s="114">
        <v>10</v>
      </c>
      <c r="M42" s="114">
        <v>15</v>
      </c>
      <c r="N42" s="114">
        <v>10</v>
      </c>
      <c r="O42" s="114">
        <v>15</v>
      </c>
      <c r="P42" s="114">
        <v>10</v>
      </c>
      <c r="Q42" s="114">
        <v>15</v>
      </c>
      <c r="R42" s="14">
        <v>5.8</v>
      </c>
      <c r="S42" s="14">
        <v>6.1</v>
      </c>
      <c r="T42" s="114">
        <v>50</v>
      </c>
      <c r="U42" s="114">
        <v>100</v>
      </c>
      <c r="V42" s="114">
        <v>50</v>
      </c>
      <c r="W42" s="114">
        <v>100</v>
      </c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27">
        <v>17.3</v>
      </c>
      <c r="AO42" s="27">
        <v>16.7</v>
      </c>
      <c r="AP42" s="27">
        <v>20</v>
      </c>
      <c r="AQ42" s="27">
        <v>20.9</v>
      </c>
      <c r="AR42" s="1">
        <v>13</v>
      </c>
      <c r="AS42" s="1">
        <v>14</v>
      </c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>
        <v>22</v>
      </c>
      <c r="BG42" s="1">
        <v>23</v>
      </c>
      <c r="BH42" s="1">
        <v>19</v>
      </c>
      <c r="BI42" s="5">
        <v>20</v>
      </c>
      <c r="BJ42" s="1">
        <v>16</v>
      </c>
      <c r="BK42" s="1">
        <v>17</v>
      </c>
      <c r="BL42" s="13"/>
      <c r="BM42" s="13"/>
      <c r="BN42" s="13"/>
      <c r="BO42" s="13"/>
      <c r="BP42" s="232" t="s">
        <v>96</v>
      </c>
      <c r="BQ42" s="114">
        <v>10</v>
      </c>
      <c r="BR42" s="13"/>
      <c r="BS42" s="13"/>
      <c r="BT42" s="13"/>
      <c r="BU42" s="207"/>
      <c r="BV42" s="1"/>
      <c r="BW42" s="1"/>
      <c r="BX42" s="13"/>
      <c r="BY42" s="13"/>
      <c r="BZ42" s="13"/>
      <c r="CA42" s="13"/>
      <c r="CB42" s="13"/>
      <c r="CC42" s="13"/>
      <c r="CD42" s="13"/>
      <c r="CE42" s="13"/>
      <c r="CF42" s="13"/>
      <c r="CG42" s="13"/>
    </row>
    <row r="43" spans="1:85" x14ac:dyDescent="0.35">
      <c r="A43" s="204" t="str">
        <f t="shared" si="1"/>
        <v>CERRO VERDESISTEMA HIDRAULICO730E-10</v>
      </c>
      <c r="B43" s="231" t="s">
        <v>82</v>
      </c>
      <c r="C43" s="15" t="s">
        <v>79</v>
      </c>
      <c r="D43" s="114">
        <v>10</v>
      </c>
      <c r="E43" s="114">
        <v>15</v>
      </c>
      <c r="F43" s="114">
        <v>10</v>
      </c>
      <c r="G43" s="114">
        <v>15</v>
      </c>
      <c r="H43" s="114">
        <v>10</v>
      </c>
      <c r="I43" s="114">
        <v>15</v>
      </c>
      <c r="J43" s="114">
        <v>10</v>
      </c>
      <c r="K43" s="114">
        <v>15</v>
      </c>
      <c r="L43" s="114">
        <v>10</v>
      </c>
      <c r="M43" s="114">
        <v>15</v>
      </c>
      <c r="N43" s="114">
        <v>10</v>
      </c>
      <c r="O43" s="114">
        <v>15</v>
      </c>
      <c r="P43" s="114">
        <v>10</v>
      </c>
      <c r="Q43" s="114">
        <v>15</v>
      </c>
      <c r="R43" s="14">
        <v>29.2</v>
      </c>
      <c r="S43" s="14">
        <v>31</v>
      </c>
      <c r="T43" s="114">
        <v>50</v>
      </c>
      <c r="U43" s="114">
        <v>100</v>
      </c>
      <c r="V43" s="114">
        <v>50</v>
      </c>
      <c r="W43" s="114">
        <v>100</v>
      </c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27">
        <v>5.6</v>
      </c>
      <c r="AO43" s="27">
        <v>5.8</v>
      </c>
      <c r="AP43" s="27">
        <v>6.7</v>
      </c>
      <c r="AQ43" s="27">
        <v>7</v>
      </c>
      <c r="AR43" s="1">
        <v>13</v>
      </c>
      <c r="AS43" s="1">
        <v>14</v>
      </c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>
        <v>22</v>
      </c>
      <c r="BG43" s="1">
        <v>23</v>
      </c>
      <c r="BH43" s="1">
        <v>19</v>
      </c>
      <c r="BI43" s="89">
        <v>20</v>
      </c>
      <c r="BJ43" s="1">
        <v>16</v>
      </c>
      <c r="BK43" s="1">
        <v>17</v>
      </c>
      <c r="BL43" s="13"/>
      <c r="BM43" s="13"/>
      <c r="BN43" s="13"/>
      <c r="BO43" s="13"/>
      <c r="BP43" s="232" t="s">
        <v>96</v>
      </c>
      <c r="BQ43" s="114">
        <v>10</v>
      </c>
      <c r="BR43" s="13"/>
      <c r="BS43" s="13"/>
      <c r="BT43" s="13"/>
      <c r="BU43" s="207"/>
      <c r="BV43" s="1"/>
      <c r="BW43" s="1"/>
      <c r="BX43" s="13"/>
      <c r="BY43" s="13"/>
      <c r="BZ43" s="13"/>
      <c r="CA43" s="13"/>
      <c r="CB43" s="13"/>
      <c r="CC43" s="13"/>
      <c r="CD43" s="13"/>
      <c r="CE43" s="13"/>
      <c r="CF43" s="13"/>
      <c r="CG43" s="13"/>
    </row>
    <row r="44" spans="1:85" x14ac:dyDescent="0.35">
      <c r="A44" s="204" t="str">
        <f t="shared" si="1"/>
        <v>CERRO VERDEMOTOR730E-10</v>
      </c>
      <c r="B44" s="235" t="s">
        <v>82</v>
      </c>
      <c r="C44" s="15" t="s">
        <v>80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3"/>
      <c r="BG44" s="1"/>
      <c r="BH44" s="1"/>
      <c r="BI44" s="1"/>
      <c r="BJ44" s="1"/>
      <c r="BK44" s="1"/>
      <c r="BL44" s="13"/>
      <c r="BM44" s="13"/>
      <c r="BN44" s="13"/>
      <c r="BO44" s="13"/>
      <c r="BP44" s="232" t="s">
        <v>96</v>
      </c>
      <c r="BQ44" s="114">
        <v>10</v>
      </c>
      <c r="BR44" s="13"/>
      <c r="BS44" s="13"/>
      <c r="BT44" s="13"/>
      <c r="BU44" s="207"/>
      <c r="BV44" s="1"/>
      <c r="BW44" s="1"/>
      <c r="BX44" s="13"/>
      <c r="BY44" s="13"/>
      <c r="BZ44" s="13"/>
      <c r="CA44" s="13"/>
      <c r="CB44" s="13"/>
      <c r="CC44" s="13"/>
      <c r="CD44" s="13"/>
      <c r="CE44" s="13"/>
      <c r="CF44" s="13"/>
      <c r="CG44" s="13"/>
    </row>
    <row r="45" spans="1:85" s="10" customFormat="1" x14ac:dyDescent="0.35">
      <c r="A45" s="208" t="str">
        <f>CONCATENATE(B45,C45,BP45,BQ45)</f>
        <v>QUELLAVECOMOTORD65ROC</v>
      </c>
      <c r="B45" s="352" t="s">
        <v>1292</v>
      </c>
      <c r="C45" s="351" t="s">
        <v>80</v>
      </c>
      <c r="D45" s="1">
        <v>50</v>
      </c>
      <c r="E45" s="1">
        <v>67</v>
      </c>
      <c r="F45" s="1">
        <v>3</v>
      </c>
      <c r="G45" s="1">
        <v>5</v>
      </c>
      <c r="H45" s="1">
        <v>6</v>
      </c>
      <c r="I45" s="1">
        <v>8</v>
      </c>
      <c r="J45" s="1">
        <v>2</v>
      </c>
      <c r="K45" s="1">
        <v>4</v>
      </c>
      <c r="L45" s="1">
        <v>2</v>
      </c>
      <c r="M45" s="1">
        <v>4</v>
      </c>
      <c r="N45" s="1">
        <v>2</v>
      </c>
      <c r="O45" s="1">
        <v>4</v>
      </c>
      <c r="P45" s="114"/>
      <c r="Q45" s="114"/>
      <c r="R45" s="1">
        <v>10</v>
      </c>
      <c r="S45" s="1">
        <v>13</v>
      </c>
      <c r="T45" s="1">
        <v>10</v>
      </c>
      <c r="U45" s="1">
        <v>26</v>
      </c>
      <c r="V45" s="1">
        <v>10</v>
      </c>
      <c r="W45" s="1">
        <v>41</v>
      </c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">
        <v>12.87</v>
      </c>
      <c r="AP45" s="1"/>
      <c r="AQ45" s="1">
        <v>17.41</v>
      </c>
      <c r="AR45" s="1">
        <v>30</v>
      </c>
      <c r="AS45" s="1">
        <v>50</v>
      </c>
      <c r="AT45" s="1">
        <v>0.2</v>
      </c>
      <c r="AU45" s="1">
        <v>0.3</v>
      </c>
      <c r="AV45" s="1">
        <v>0.2</v>
      </c>
      <c r="AW45" s="1">
        <v>0.3</v>
      </c>
      <c r="AX45" s="1">
        <v>0.2</v>
      </c>
      <c r="AY45" s="1">
        <v>0.3</v>
      </c>
      <c r="AZ45" s="114"/>
      <c r="BA45" s="114"/>
      <c r="BB45" s="1">
        <v>1</v>
      </c>
      <c r="BC45" s="1">
        <v>1.4</v>
      </c>
      <c r="BD45" s="114"/>
      <c r="BE45" s="114"/>
      <c r="BF45" s="114">
        <v>18</v>
      </c>
      <c r="BG45" s="114">
        <v>19</v>
      </c>
      <c r="BH45" s="114">
        <v>16</v>
      </c>
      <c r="BI45" s="114">
        <v>17</v>
      </c>
      <c r="BJ45" s="114">
        <v>13</v>
      </c>
      <c r="BK45" s="114">
        <v>14</v>
      </c>
      <c r="BL45" s="1">
        <v>0.04</v>
      </c>
      <c r="BM45" s="1">
        <v>0.08</v>
      </c>
      <c r="BN45" s="1">
        <v>400</v>
      </c>
      <c r="BO45" s="1">
        <v>501</v>
      </c>
      <c r="BP45" s="114" t="s">
        <v>1298</v>
      </c>
      <c r="BQ45" s="114"/>
      <c r="BR45" s="114"/>
      <c r="BS45" s="114"/>
      <c r="BT45" s="114"/>
      <c r="BU45" s="225"/>
      <c r="BV45" s="1">
        <v>4</v>
      </c>
      <c r="BW45" s="1">
        <v>5</v>
      </c>
      <c r="BX45" s="1">
        <v>2</v>
      </c>
      <c r="BY45" s="1">
        <v>2.5</v>
      </c>
      <c r="BZ45" s="1"/>
      <c r="CA45" s="1"/>
      <c r="CB45" s="1"/>
      <c r="CC45" s="1"/>
      <c r="CD45" s="1"/>
      <c r="CE45" s="1"/>
      <c r="CF45" s="1"/>
      <c r="CG45" s="1"/>
    </row>
    <row r="46" spans="1:85" s="10" customFormat="1" x14ac:dyDescent="0.35">
      <c r="A46" s="204" t="str">
        <f t="shared" ref="A46:A47" si="2">CONCATENATE(B46,C46,BP46,BQ46)</f>
        <v>QUELLAVECOMANDO FINAL LHD65ROC</v>
      </c>
      <c r="B46" s="352" t="s">
        <v>1292</v>
      </c>
      <c r="C46" s="351" t="s">
        <v>90</v>
      </c>
      <c r="D46" s="1">
        <v>40</v>
      </c>
      <c r="E46" s="1">
        <v>50</v>
      </c>
      <c r="F46" s="1">
        <v>10</v>
      </c>
      <c r="G46" s="1">
        <v>16</v>
      </c>
      <c r="H46" s="1">
        <v>10</v>
      </c>
      <c r="I46" s="1">
        <v>16</v>
      </c>
      <c r="J46" s="1"/>
      <c r="K46" s="1"/>
      <c r="L46" s="1"/>
      <c r="M46" s="1"/>
      <c r="N46" s="1">
        <v>1</v>
      </c>
      <c r="O46" s="1">
        <v>4</v>
      </c>
      <c r="P46" s="1"/>
      <c r="Q46" s="1"/>
      <c r="R46" s="1">
        <v>10</v>
      </c>
      <c r="S46" s="1">
        <v>16</v>
      </c>
      <c r="T46" s="1">
        <v>25</v>
      </c>
      <c r="U46" s="1">
        <v>100</v>
      </c>
      <c r="V46" s="1">
        <v>5</v>
      </c>
      <c r="W46" s="1">
        <v>11</v>
      </c>
      <c r="X46" s="1"/>
      <c r="Y46" s="1"/>
      <c r="Z46" s="1"/>
      <c r="AA46" s="1"/>
      <c r="AB46" s="1">
        <v>10</v>
      </c>
      <c r="AC46" s="1">
        <v>31</v>
      </c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>
        <v>200</v>
      </c>
      <c r="AS46" s="1">
        <v>601</v>
      </c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14"/>
      <c r="BG46" s="114"/>
      <c r="BH46" s="114"/>
      <c r="BI46" s="114"/>
      <c r="BJ46" s="114"/>
      <c r="BK46" s="114"/>
      <c r="BL46" s="1"/>
      <c r="BM46" s="1"/>
      <c r="BN46" s="1">
        <v>400</v>
      </c>
      <c r="BO46" s="1">
        <v>501</v>
      </c>
      <c r="BP46" s="114" t="s">
        <v>1298</v>
      </c>
      <c r="BQ46" s="1"/>
      <c r="BR46" s="1"/>
      <c r="BS46" s="1"/>
      <c r="BT46" s="1"/>
      <c r="BU46" s="123"/>
      <c r="BV46" s="1"/>
      <c r="BW46" s="1"/>
      <c r="BX46" s="1"/>
      <c r="BY46" s="1"/>
      <c r="BZ46" s="1">
        <v>178.86</v>
      </c>
      <c r="CA46" s="1">
        <v>267.18</v>
      </c>
      <c r="CB46" s="1"/>
      <c r="CC46" s="1"/>
      <c r="CD46" s="1"/>
      <c r="CE46" s="1"/>
      <c r="CF46" s="1"/>
      <c r="CG46" s="1"/>
    </row>
    <row r="47" spans="1:85" s="10" customFormat="1" x14ac:dyDescent="0.35">
      <c r="A47" s="208" t="str">
        <f t="shared" si="2"/>
        <v>QUELLAVECOMANDO FINAL RHD65ROC</v>
      </c>
      <c r="B47" s="352" t="s">
        <v>1292</v>
      </c>
      <c r="C47" s="352" t="s">
        <v>91</v>
      </c>
      <c r="D47" s="1">
        <v>40</v>
      </c>
      <c r="E47" s="1">
        <v>50</v>
      </c>
      <c r="F47" s="1">
        <v>10</v>
      </c>
      <c r="G47" s="1">
        <v>16</v>
      </c>
      <c r="H47" s="1">
        <v>10</v>
      </c>
      <c r="I47" s="1">
        <v>16</v>
      </c>
      <c r="J47" s="114"/>
      <c r="K47" s="114"/>
      <c r="L47" s="114"/>
      <c r="M47" s="114"/>
      <c r="N47" s="1">
        <v>1</v>
      </c>
      <c r="O47" s="1">
        <v>4</v>
      </c>
      <c r="P47" s="114"/>
      <c r="Q47" s="114"/>
      <c r="R47" s="1">
        <v>10</v>
      </c>
      <c r="S47" s="1">
        <v>16</v>
      </c>
      <c r="T47" s="1">
        <v>25</v>
      </c>
      <c r="U47" s="1">
        <v>100</v>
      </c>
      <c r="V47" s="1">
        <v>5</v>
      </c>
      <c r="W47" s="1">
        <v>11</v>
      </c>
      <c r="X47" s="114"/>
      <c r="Y47" s="114"/>
      <c r="Z47" s="114"/>
      <c r="AA47" s="114"/>
      <c r="AB47" s="1">
        <v>10</v>
      </c>
      <c r="AC47" s="1">
        <v>31</v>
      </c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">
        <v>200</v>
      </c>
      <c r="AS47" s="1">
        <v>601</v>
      </c>
      <c r="AT47" s="114"/>
      <c r="AU47" s="114"/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">
        <v>400</v>
      </c>
      <c r="BO47" s="1">
        <v>501</v>
      </c>
      <c r="BP47" s="114" t="s">
        <v>1298</v>
      </c>
      <c r="BQ47" s="114"/>
      <c r="BR47" s="1"/>
      <c r="BS47" s="1"/>
      <c r="BT47" s="114"/>
      <c r="BU47" s="225"/>
      <c r="BV47" s="1"/>
      <c r="BW47" s="1"/>
      <c r="BX47" s="1"/>
      <c r="BY47" s="1"/>
      <c r="BZ47" s="1">
        <v>178.86</v>
      </c>
      <c r="CA47" s="1">
        <v>267.18</v>
      </c>
      <c r="CB47" s="1"/>
      <c r="CC47" s="1"/>
      <c r="CD47" s="1"/>
      <c r="CE47" s="1"/>
      <c r="CF47" s="1"/>
      <c r="CG47" s="1"/>
    </row>
    <row r="48" spans="1:85" s="10" customFormat="1" x14ac:dyDescent="0.35">
      <c r="A48" s="208" t="str">
        <f>CONCATENATE(B48,C48,BP48,BQ48)</f>
        <v>QUELLAVECOCOMPRESORD65ROC</v>
      </c>
      <c r="B48" s="352" t="s">
        <v>1292</v>
      </c>
      <c r="C48" s="352" t="s">
        <v>1293</v>
      </c>
      <c r="D48" s="1">
        <v>6</v>
      </c>
      <c r="E48" s="1">
        <v>11</v>
      </c>
      <c r="F48" s="1">
        <v>3</v>
      </c>
      <c r="G48" s="1">
        <v>8</v>
      </c>
      <c r="H48" s="1">
        <v>5</v>
      </c>
      <c r="I48" s="1">
        <v>10</v>
      </c>
      <c r="J48" s="114"/>
      <c r="K48" s="114"/>
      <c r="L48" s="114"/>
      <c r="M48" s="114"/>
      <c r="N48" s="114"/>
      <c r="O48" s="1">
        <v>3</v>
      </c>
      <c r="P48" s="114"/>
      <c r="Q48" s="114"/>
      <c r="R48" s="1">
        <v>10</v>
      </c>
      <c r="S48" s="1">
        <v>16</v>
      </c>
      <c r="T48" s="114">
        <v>10</v>
      </c>
      <c r="U48" s="114">
        <v>26</v>
      </c>
      <c r="V48" s="114">
        <v>10</v>
      </c>
      <c r="W48" s="114">
        <v>41</v>
      </c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4"/>
      <c r="BB48" s="114"/>
      <c r="BC48" s="114"/>
      <c r="BD48" s="114"/>
      <c r="BE48" s="114"/>
      <c r="BF48" s="114">
        <v>18</v>
      </c>
      <c r="BG48" s="114">
        <v>19</v>
      </c>
      <c r="BH48" s="114">
        <v>16</v>
      </c>
      <c r="BI48" s="114">
        <v>17</v>
      </c>
      <c r="BJ48" s="114">
        <v>13</v>
      </c>
      <c r="BK48" s="114">
        <v>14</v>
      </c>
      <c r="BL48" s="114"/>
      <c r="BM48" s="114"/>
      <c r="BN48" s="114"/>
      <c r="BO48" s="114"/>
      <c r="BP48" s="114" t="s">
        <v>1298</v>
      </c>
      <c r="BQ48" s="114"/>
      <c r="BR48" s="1"/>
      <c r="BS48" s="1"/>
      <c r="BT48" s="114"/>
      <c r="BU48" s="225"/>
      <c r="BV48" s="1"/>
      <c r="BW48" s="1"/>
      <c r="BX48" s="1"/>
      <c r="BY48" s="1"/>
      <c r="BZ48" s="1">
        <v>36.94</v>
      </c>
      <c r="CA48" s="1">
        <v>55.18</v>
      </c>
      <c r="CB48" s="1"/>
      <c r="CC48" s="1"/>
      <c r="CD48" s="1"/>
      <c r="CE48" s="1"/>
      <c r="CF48" s="1"/>
      <c r="CG48" s="1"/>
    </row>
    <row r="49" spans="1:85" s="10" customFormat="1" x14ac:dyDescent="0.35">
      <c r="A49" s="208" t="str">
        <f>CONCATENATE(B49,C49,BP49,BQ49)</f>
        <v>QUELLAVECOSISTEMA HIDRAULICOD65ROC</v>
      </c>
      <c r="B49" s="352" t="s">
        <v>1292</v>
      </c>
      <c r="C49" s="352" t="s">
        <v>79</v>
      </c>
      <c r="D49" s="1">
        <v>6</v>
      </c>
      <c r="E49" s="1">
        <v>11</v>
      </c>
      <c r="F49" s="1">
        <v>3</v>
      </c>
      <c r="G49" s="1">
        <v>8</v>
      </c>
      <c r="H49" s="1">
        <v>5</v>
      </c>
      <c r="I49" s="1">
        <v>10</v>
      </c>
      <c r="J49" s="114"/>
      <c r="K49" s="114"/>
      <c r="L49" s="114"/>
      <c r="M49" s="114"/>
      <c r="N49" s="114"/>
      <c r="O49" s="114">
        <v>2</v>
      </c>
      <c r="P49" s="114"/>
      <c r="Q49" s="114"/>
      <c r="R49" s="1">
        <v>10</v>
      </c>
      <c r="S49" s="1">
        <v>16</v>
      </c>
      <c r="T49" s="1">
        <v>10</v>
      </c>
      <c r="U49" s="1">
        <v>26</v>
      </c>
      <c r="V49" s="1">
        <v>10</v>
      </c>
      <c r="W49" s="1">
        <v>41</v>
      </c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">
        <v>30</v>
      </c>
      <c r="AS49" s="1">
        <v>50</v>
      </c>
      <c r="AT49" s="114"/>
      <c r="AU49" s="114"/>
      <c r="AV49" s="114"/>
      <c r="AW49" s="114"/>
      <c r="AX49" s="114"/>
      <c r="AY49" s="114"/>
      <c r="AZ49" s="114"/>
      <c r="BA49" s="114"/>
      <c r="BB49" s="114"/>
      <c r="BC49" s="114"/>
      <c r="BD49" s="114"/>
      <c r="BE49" s="114"/>
      <c r="BF49" s="114">
        <v>18</v>
      </c>
      <c r="BG49" s="114">
        <v>19</v>
      </c>
      <c r="BH49" s="114">
        <v>16</v>
      </c>
      <c r="BI49" s="114">
        <v>17</v>
      </c>
      <c r="BJ49" s="114">
        <v>13</v>
      </c>
      <c r="BK49" s="114">
        <v>14</v>
      </c>
      <c r="BL49" s="114"/>
      <c r="BM49" s="114"/>
      <c r="BN49" s="1">
        <v>400</v>
      </c>
      <c r="BO49" s="1">
        <v>501</v>
      </c>
      <c r="BP49" s="114" t="s">
        <v>1298</v>
      </c>
      <c r="BQ49" s="114"/>
      <c r="BR49" s="1"/>
      <c r="BS49" s="1"/>
      <c r="BT49" s="114"/>
      <c r="BU49" s="225"/>
      <c r="BV49" s="114"/>
      <c r="BW49" s="114"/>
      <c r="BX49" s="1"/>
      <c r="BY49" s="1"/>
      <c r="BZ49" s="1">
        <v>38.1</v>
      </c>
      <c r="CA49" s="1">
        <v>57.04</v>
      </c>
      <c r="CB49" s="1"/>
      <c r="CC49" s="1"/>
      <c r="CD49" s="1"/>
      <c r="CE49" s="1"/>
      <c r="CF49" s="1"/>
      <c r="CG49" s="1"/>
    </row>
    <row r="50" spans="1:85" s="10" customFormat="1" x14ac:dyDescent="0.35">
      <c r="A50" s="204" t="str">
        <f>CONCATENATE(B50,C50,BP50,BQ50)</f>
        <v>QUELLAVECOMOTORPV351</v>
      </c>
      <c r="B50" s="351" t="s">
        <v>1292</v>
      </c>
      <c r="C50" s="355" t="s">
        <v>80</v>
      </c>
      <c r="D50" s="1">
        <v>11</v>
      </c>
      <c r="E50" s="1">
        <v>16</v>
      </c>
      <c r="F50" s="1">
        <v>4</v>
      </c>
      <c r="G50" s="1">
        <v>6</v>
      </c>
      <c r="H50" s="1">
        <v>10</v>
      </c>
      <c r="I50" s="1">
        <v>14</v>
      </c>
      <c r="J50" s="1">
        <v>4</v>
      </c>
      <c r="K50" s="1">
        <v>6</v>
      </c>
      <c r="L50" s="1">
        <v>6</v>
      </c>
      <c r="M50" s="1">
        <v>8</v>
      </c>
      <c r="N50" s="1">
        <v>2</v>
      </c>
      <c r="O50" s="1">
        <v>4</v>
      </c>
      <c r="P50" s="1"/>
      <c r="Q50" s="1"/>
      <c r="R50" s="1">
        <v>15</v>
      </c>
      <c r="S50" s="1">
        <v>25</v>
      </c>
      <c r="T50" s="1">
        <v>2.1</v>
      </c>
      <c r="U50" s="1">
        <v>2.68</v>
      </c>
      <c r="V50" s="1">
        <v>3</v>
      </c>
      <c r="W50" s="1">
        <v>6</v>
      </c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12.87</v>
      </c>
      <c r="AP50" s="1"/>
      <c r="AQ50" s="1">
        <v>17.41</v>
      </c>
      <c r="AR50" s="1">
        <v>9.9700000000000006</v>
      </c>
      <c r="AS50" s="1">
        <v>12.73</v>
      </c>
      <c r="AT50" s="1">
        <v>0.2</v>
      </c>
      <c r="AU50" s="1">
        <v>0.3</v>
      </c>
      <c r="AV50" s="1">
        <v>0.2</v>
      </c>
      <c r="AW50" s="1">
        <v>0.3</v>
      </c>
      <c r="AX50" s="1">
        <v>0.2</v>
      </c>
      <c r="AY50" s="1">
        <v>0.3</v>
      </c>
      <c r="AZ50" s="1"/>
      <c r="BA50" s="1"/>
      <c r="BB50" s="1">
        <v>1</v>
      </c>
      <c r="BC50" s="1">
        <v>1.4</v>
      </c>
      <c r="BD50" s="1"/>
      <c r="BE50" s="1"/>
      <c r="BF50" s="114">
        <v>18</v>
      </c>
      <c r="BG50" s="114">
        <v>19</v>
      </c>
      <c r="BH50" s="114">
        <v>16</v>
      </c>
      <c r="BI50" s="114">
        <v>17</v>
      </c>
      <c r="BJ50" s="114">
        <v>13</v>
      </c>
      <c r="BK50" s="114">
        <v>14</v>
      </c>
      <c r="BL50" s="1">
        <v>0.04</v>
      </c>
      <c r="BM50" s="1">
        <v>0.08</v>
      </c>
      <c r="BN50" s="1">
        <v>400</v>
      </c>
      <c r="BO50" s="1">
        <v>501</v>
      </c>
      <c r="BP50" s="1" t="s">
        <v>1301</v>
      </c>
      <c r="BQ50" s="1"/>
      <c r="BR50" s="1"/>
      <c r="BS50" s="1"/>
      <c r="BT50" s="1"/>
      <c r="BU50" s="123"/>
      <c r="BV50" s="1">
        <v>4</v>
      </c>
      <c r="BW50" s="1">
        <v>5</v>
      </c>
      <c r="BX50" s="1">
        <v>2</v>
      </c>
      <c r="BY50" s="1">
        <v>2.5</v>
      </c>
      <c r="BZ50" s="1"/>
      <c r="CA50" s="1"/>
      <c r="CB50" s="1"/>
      <c r="CC50" s="1"/>
      <c r="CD50" s="1"/>
      <c r="CE50" s="1"/>
      <c r="CF50" s="1"/>
      <c r="CG50" s="1"/>
    </row>
    <row r="51" spans="1:85" s="10" customFormat="1" x14ac:dyDescent="0.35">
      <c r="A51" s="204" t="str">
        <f t="shared" ref="A51:A52" si="3">CONCATENATE(B51,C51,BP51,BQ51)</f>
        <v>QUELLAVECOMANDO FINAL LHPV351</v>
      </c>
      <c r="B51" s="351" t="s">
        <v>1292</v>
      </c>
      <c r="C51" s="355" t="s">
        <v>90</v>
      </c>
      <c r="D51" s="1">
        <v>22.59</v>
      </c>
      <c r="E51" s="1">
        <v>29.53</v>
      </c>
      <c r="F51" s="1"/>
      <c r="G51" s="1">
        <v>1.61</v>
      </c>
      <c r="H51" s="1">
        <v>0.88</v>
      </c>
      <c r="I51" s="1">
        <v>1.21</v>
      </c>
      <c r="J51" s="1"/>
      <c r="K51" s="1">
        <v>1</v>
      </c>
      <c r="L51" s="1"/>
      <c r="M51" s="1">
        <v>1</v>
      </c>
      <c r="N51" s="1"/>
      <c r="O51" s="1">
        <v>0.19</v>
      </c>
      <c r="P51" s="1">
        <v>0.28000000000000003</v>
      </c>
      <c r="Q51" s="1">
        <v>0.45</v>
      </c>
      <c r="R51" s="1">
        <v>12.91</v>
      </c>
      <c r="S51" s="1">
        <v>16.690000000000001</v>
      </c>
      <c r="T51" s="1">
        <v>3.41</v>
      </c>
      <c r="U51" s="1">
        <v>5.49</v>
      </c>
      <c r="V51" s="1"/>
      <c r="W51" s="1">
        <v>1</v>
      </c>
      <c r="X51" s="1"/>
      <c r="Y51" s="1"/>
      <c r="Z51" s="1"/>
      <c r="AA51" s="1"/>
      <c r="AB51" s="1">
        <v>33</v>
      </c>
      <c r="AC51" s="1">
        <v>37.92</v>
      </c>
      <c r="AD51" s="1"/>
      <c r="AE51" s="1"/>
      <c r="AF51" s="1"/>
      <c r="AG51" s="1"/>
      <c r="AH51" s="1"/>
      <c r="AI51" s="1"/>
      <c r="AJ51" s="1"/>
      <c r="AK51" s="1">
        <v>1</v>
      </c>
      <c r="AL51" s="1"/>
      <c r="AM51" s="1">
        <v>1</v>
      </c>
      <c r="AN51" s="1"/>
      <c r="AO51" s="1"/>
      <c r="AP51" s="1"/>
      <c r="AQ51" s="1"/>
      <c r="AR51" s="1">
        <v>34.409999999999997</v>
      </c>
      <c r="AS51" s="1">
        <v>44.02</v>
      </c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 t="s">
        <v>1301</v>
      </c>
      <c r="BQ51" s="1"/>
      <c r="BR51" s="1"/>
      <c r="BS51" s="1"/>
      <c r="BT51" s="1"/>
      <c r="BU51" s="123"/>
      <c r="BV51" s="1"/>
      <c r="BW51" s="1"/>
      <c r="BX51" s="1"/>
      <c r="BY51" s="1"/>
      <c r="BZ51" s="1">
        <v>267.99</v>
      </c>
      <c r="CA51" s="1">
        <v>400.33</v>
      </c>
      <c r="CB51" s="1">
        <v>7.0000000000000007E-2</v>
      </c>
      <c r="CC51" s="1">
        <v>0.11</v>
      </c>
      <c r="CD51" s="1"/>
      <c r="CE51" s="1">
        <v>1</v>
      </c>
      <c r="CF51" s="1"/>
      <c r="CG51" s="1">
        <v>1</v>
      </c>
    </row>
    <row r="52" spans="1:85" s="10" customFormat="1" x14ac:dyDescent="0.35">
      <c r="A52" s="204" t="str">
        <f t="shared" si="3"/>
        <v>QUELLAVECOMANDO FINAL RHPV351</v>
      </c>
      <c r="B52" s="351" t="s">
        <v>1292</v>
      </c>
      <c r="C52" s="355" t="s">
        <v>91</v>
      </c>
      <c r="D52" s="1">
        <v>22.59</v>
      </c>
      <c r="E52" s="1">
        <v>29.53</v>
      </c>
      <c r="F52" s="1"/>
      <c r="G52" s="1">
        <v>1.61</v>
      </c>
      <c r="H52" s="1">
        <v>0.88</v>
      </c>
      <c r="I52" s="1">
        <v>1.21</v>
      </c>
      <c r="J52" s="1"/>
      <c r="K52" s="1">
        <v>1</v>
      </c>
      <c r="L52" s="1"/>
      <c r="M52" s="1">
        <v>1</v>
      </c>
      <c r="N52" s="1"/>
      <c r="O52" s="1">
        <v>0.19</v>
      </c>
      <c r="P52" s="1">
        <v>0.28000000000000003</v>
      </c>
      <c r="Q52" s="1">
        <v>0.45</v>
      </c>
      <c r="R52" s="1">
        <v>12.91</v>
      </c>
      <c r="S52" s="1">
        <v>16.690000000000001</v>
      </c>
      <c r="T52" s="1">
        <v>3.41</v>
      </c>
      <c r="U52" s="1">
        <v>5.49</v>
      </c>
      <c r="V52" s="1"/>
      <c r="W52" s="1">
        <v>1</v>
      </c>
      <c r="X52" s="1"/>
      <c r="Y52" s="1"/>
      <c r="Z52" s="1"/>
      <c r="AA52" s="1"/>
      <c r="AB52" s="1">
        <v>33</v>
      </c>
      <c r="AC52" s="1">
        <v>37.92</v>
      </c>
      <c r="AD52" s="1"/>
      <c r="AE52" s="1"/>
      <c r="AF52" s="1"/>
      <c r="AG52" s="1"/>
      <c r="AH52" s="1"/>
      <c r="AI52" s="1"/>
      <c r="AJ52" s="1"/>
      <c r="AK52" s="1">
        <v>1</v>
      </c>
      <c r="AL52" s="1"/>
      <c r="AM52" s="1">
        <v>1</v>
      </c>
      <c r="AN52" s="1"/>
      <c r="AO52" s="1"/>
      <c r="AP52" s="1"/>
      <c r="AQ52" s="1"/>
      <c r="AR52" s="1">
        <v>34.409999999999997</v>
      </c>
      <c r="AS52" s="1">
        <v>44.02</v>
      </c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 t="s">
        <v>1301</v>
      </c>
      <c r="BQ52" s="1"/>
      <c r="BR52" s="1"/>
      <c r="BS52" s="1"/>
      <c r="BT52" s="1"/>
      <c r="BU52" s="123"/>
      <c r="BV52" s="1"/>
      <c r="BW52" s="1"/>
      <c r="BX52" s="1"/>
      <c r="BY52" s="1"/>
      <c r="BZ52" s="1">
        <v>267.99</v>
      </c>
      <c r="CA52" s="1">
        <v>400.33</v>
      </c>
      <c r="CB52" s="1">
        <v>7.0000000000000007E-2</v>
      </c>
      <c r="CC52" s="1">
        <v>0.11</v>
      </c>
      <c r="CD52" s="1"/>
      <c r="CE52" s="1">
        <v>1</v>
      </c>
      <c r="CF52" s="1"/>
      <c r="CG52" s="1">
        <v>1</v>
      </c>
    </row>
    <row r="53" spans="1:85" s="10" customFormat="1" x14ac:dyDescent="0.35">
      <c r="A53" s="204" t="str">
        <f t="shared" ref="A53:A58" si="4">CONCATENATE(B53,C53,BP53,BQ53)</f>
        <v>QUELLAVECOCOMPRESORPV351</v>
      </c>
      <c r="B53" s="351" t="s">
        <v>1292</v>
      </c>
      <c r="C53" s="355" t="s">
        <v>1293</v>
      </c>
      <c r="D53" s="1">
        <v>6.6</v>
      </c>
      <c r="E53" s="1">
        <v>9.06</v>
      </c>
      <c r="F53" s="1">
        <v>12.42</v>
      </c>
      <c r="G53" s="1">
        <v>18.34</v>
      </c>
      <c r="H53" s="1"/>
      <c r="I53" s="1"/>
      <c r="J53" s="1"/>
      <c r="K53" s="1"/>
      <c r="L53" s="1"/>
      <c r="M53" s="1"/>
      <c r="N53" s="1"/>
      <c r="O53" s="1"/>
      <c r="P53" s="1"/>
      <c r="Q53" s="1"/>
      <c r="R53" s="1">
        <v>22.92</v>
      </c>
      <c r="S53" s="1">
        <v>31.4</v>
      </c>
      <c r="T53" s="1">
        <v>8.1300000000000008</v>
      </c>
      <c r="U53" s="1">
        <v>11.07</v>
      </c>
      <c r="V53" s="1">
        <v>3.69</v>
      </c>
      <c r="W53" s="1">
        <v>5.05</v>
      </c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>
        <v>9.3800000000000008</v>
      </c>
      <c r="AS53" s="1">
        <v>11.4</v>
      </c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14">
        <v>18</v>
      </c>
      <c r="BG53" s="114">
        <v>19</v>
      </c>
      <c r="BH53" s="114">
        <v>16</v>
      </c>
      <c r="BI53" s="114">
        <v>17</v>
      </c>
      <c r="BJ53" s="114">
        <v>13</v>
      </c>
      <c r="BK53" s="114">
        <v>14</v>
      </c>
      <c r="BL53" s="1"/>
      <c r="BM53" s="1"/>
      <c r="BN53" s="1">
        <v>400</v>
      </c>
      <c r="BO53" s="1">
        <v>501</v>
      </c>
      <c r="BP53" s="1" t="s">
        <v>1301</v>
      </c>
      <c r="BQ53" s="1"/>
      <c r="BR53" s="1"/>
      <c r="BS53" s="1"/>
      <c r="BT53" s="1"/>
      <c r="BU53" s="123"/>
      <c r="BV53" s="1">
        <v>1.1000000000000001</v>
      </c>
      <c r="BW53" s="1">
        <v>1.91</v>
      </c>
      <c r="BX53" s="1"/>
      <c r="BY53" s="1"/>
      <c r="BZ53" s="1">
        <v>30.24</v>
      </c>
      <c r="CA53" s="1">
        <v>40.92</v>
      </c>
      <c r="CB53" s="1"/>
      <c r="CC53" s="1"/>
      <c r="CD53" s="1"/>
      <c r="CE53" s="1"/>
      <c r="CF53" s="1"/>
      <c r="CG53" s="1"/>
    </row>
    <row r="54" spans="1:85" s="10" customFormat="1" x14ac:dyDescent="0.35">
      <c r="A54" s="208" t="str">
        <f t="shared" si="4"/>
        <v>QUELLAVECOSISTEMA HIDRAULICOPV351</v>
      </c>
      <c r="B54" s="352" t="s">
        <v>1292</v>
      </c>
      <c r="C54" s="356" t="s">
        <v>79</v>
      </c>
      <c r="D54" s="1">
        <v>6.23</v>
      </c>
      <c r="E54" s="1">
        <v>8.7100000000000009</v>
      </c>
      <c r="F54" s="1">
        <v>0.48</v>
      </c>
      <c r="G54" s="1">
        <v>0.71</v>
      </c>
      <c r="H54" s="1">
        <v>2.83</v>
      </c>
      <c r="I54" s="1">
        <v>3.51</v>
      </c>
      <c r="J54" s="1">
        <v>0.17</v>
      </c>
      <c r="K54" s="1">
        <v>0.28999999999999998</v>
      </c>
      <c r="L54" s="114"/>
      <c r="M54" s="1">
        <v>1</v>
      </c>
      <c r="N54" s="1">
        <v>0.78</v>
      </c>
      <c r="O54" s="1">
        <v>1.01</v>
      </c>
      <c r="P54" s="1">
        <v>0.28999999999999998</v>
      </c>
      <c r="Q54" s="1">
        <v>0.46</v>
      </c>
      <c r="R54" s="114"/>
      <c r="S54" s="114"/>
      <c r="T54" s="1">
        <v>3.13</v>
      </c>
      <c r="U54" s="1">
        <v>4.9000000000000004</v>
      </c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>
        <v>1</v>
      </c>
      <c r="AL54" s="114"/>
      <c r="AM54" s="114"/>
      <c r="AN54" s="114"/>
      <c r="AO54" s="114"/>
      <c r="AP54" s="114"/>
      <c r="AQ54" s="114"/>
      <c r="AR54" s="1">
        <v>8.08</v>
      </c>
      <c r="AS54" s="1">
        <v>10.39</v>
      </c>
      <c r="AT54" s="114"/>
      <c r="AU54" s="114"/>
      <c r="AV54" s="114"/>
      <c r="AW54" s="114"/>
      <c r="AX54" s="114"/>
      <c r="AY54" s="114"/>
      <c r="AZ54" s="114"/>
      <c r="BA54" s="114"/>
      <c r="BB54" s="114"/>
      <c r="BC54" s="114"/>
      <c r="BD54" s="114"/>
      <c r="BE54" s="114"/>
      <c r="BF54" s="114">
        <v>18</v>
      </c>
      <c r="BG54" s="114">
        <v>19</v>
      </c>
      <c r="BH54" s="114">
        <v>16</v>
      </c>
      <c r="BI54" s="114">
        <v>17</v>
      </c>
      <c r="BJ54" s="114">
        <v>13</v>
      </c>
      <c r="BK54" s="114">
        <v>14</v>
      </c>
      <c r="BL54" s="114"/>
      <c r="BM54" s="114"/>
      <c r="BN54" s="1">
        <v>400</v>
      </c>
      <c r="BO54" s="1">
        <v>501</v>
      </c>
      <c r="BP54" s="1" t="s">
        <v>1301</v>
      </c>
      <c r="BQ54" s="114"/>
      <c r="BR54" s="114"/>
      <c r="BS54" s="114"/>
      <c r="BT54" s="114"/>
      <c r="BU54" s="225"/>
      <c r="BV54" s="114"/>
      <c r="BW54" s="114"/>
      <c r="BX54" s="114"/>
      <c r="BY54" s="114"/>
      <c r="BZ54" s="1">
        <v>38.1</v>
      </c>
      <c r="CA54" s="1">
        <v>57.04</v>
      </c>
      <c r="CB54" s="1">
        <v>0.09</v>
      </c>
      <c r="CC54" s="1">
        <v>0.13</v>
      </c>
      <c r="CD54" s="1"/>
      <c r="CE54" s="1">
        <v>1</v>
      </c>
      <c r="CF54" s="1"/>
      <c r="CG54" s="1">
        <v>1</v>
      </c>
    </row>
    <row r="55" spans="1:85" s="10" customFormat="1" x14ac:dyDescent="0.35">
      <c r="A55" s="208" t="str">
        <f t="shared" si="4"/>
        <v>QUELLAVECOPTOPV351</v>
      </c>
      <c r="B55" s="352" t="s">
        <v>1292</v>
      </c>
      <c r="C55" s="356" t="s">
        <v>87</v>
      </c>
      <c r="D55" s="1">
        <v>392.3</v>
      </c>
      <c r="E55" s="1">
        <v>599.41999999999996</v>
      </c>
      <c r="F55" s="114"/>
      <c r="G55" s="1">
        <v>0.68</v>
      </c>
      <c r="H55" s="114"/>
      <c r="I55" s="1">
        <v>0.4</v>
      </c>
      <c r="J55" s="114"/>
      <c r="K55" s="114"/>
      <c r="L55" s="114"/>
      <c r="M55" s="114"/>
      <c r="N55" s="1">
        <v>2.27</v>
      </c>
      <c r="O55" s="1">
        <v>3.3</v>
      </c>
      <c r="P55" s="114"/>
      <c r="Q55" s="1">
        <v>0.52</v>
      </c>
      <c r="R55" s="1">
        <v>24.99</v>
      </c>
      <c r="S55" s="1">
        <v>33.72</v>
      </c>
      <c r="T55" s="1">
        <v>4.57</v>
      </c>
      <c r="U55" s="1">
        <v>6.98</v>
      </c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">
        <v>73.709999999999994</v>
      </c>
      <c r="AS55" s="1">
        <v>98.64</v>
      </c>
      <c r="AT55" s="114"/>
      <c r="AU55" s="114"/>
      <c r="AV55" s="114"/>
      <c r="AW55" s="114"/>
      <c r="AX55" s="114"/>
      <c r="AY55" s="114"/>
      <c r="AZ55" s="114"/>
      <c r="BA55" s="114"/>
      <c r="BB55" s="114"/>
      <c r="BC55" s="114"/>
      <c r="BD55" s="1"/>
      <c r="BE55" s="1">
        <v>1.58</v>
      </c>
      <c r="BF55" s="114"/>
      <c r="BG55" s="114"/>
      <c r="BH55" s="114"/>
      <c r="BI55" s="114"/>
      <c r="BJ55" s="114"/>
      <c r="BK55" s="114"/>
      <c r="BL55" s="114"/>
      <c r="BM55" s="114"/>
      <c r="BN55" s="114"/>
      <c r="BO55" s="114"/>
      <c r="BP55" s="1" t="s">
        <v>1301</v>
      </c>
      <c r="BQ55" s="114"/>
      <c r="BR55" s="114"/>
      <c r="BS55" s="114"/>
      <c r="BT55" s="114"/>
      <c r="BU55" s="225"/>
      <c r="BV55" s="1">
        <v>1.19</v>
      </c>
      <c r="BW55" s="1">
        <v>2</v>
      </c>
      <c r="BX55" s="114"/>
      <c r="BY55" s="114"/>
      <c r="BZ55" s="1">
        <v>267.99</v>
      </c>
      <c r="CA55" s="1">
        <v>400.33</v>
      </c>
      <c r="CB55" s="1"/>
      <c r="CC55" s="1">
        <v>0.52</v>
      </c>
      <c r="CD55" s="1"/>
      <c r="CE55" s="1"/>
      <c r="CF55" s="1"/>
      <c r="CG55" s="1"/>
    </row>
    <row r="56" spans="1:85" s="10" customFormat="1" x14ac:dyDescent="0.35">
      <c r="A56" s="208" t="str">
        <f t="shared" si="4"/>
        <v>QUELLAVECOCABEZAL GIRATORIOPV351</v>
      </c>
      <c r="B56" s="352" t="s">
        <v>1292</v>
      </c>
      <c r="C56" s="356" t="s">
        <v>1302</v>
      </c>
      <c r="D56" s="1">
        <v>4.04</v>
      </c>
      <c r="E56" s="1">
        <v>6.15</v>
      </c>
      <c r="F56" s="114"/>
      <c r="G56" s="114"/>
      <c r="H56" s="114"/>
      <c r="I56" s="1">
        <v>0.16</v>
      </c>
      <c r="J56" s="114"/>
      <c r="K56" s="1">
        <v>7.0000000000000007E-2</v>
      </c>
      <c r="L56" s="114"/>
      <c r="M56" s="114"/>
      <c r="N56" s="114"/>
      <c r="O56" s="114"/>
      <c r="P56" s="1"/>
      <c r="Q56" s="1">
        <v>0.37</v>
      </c>
      <c r="R56" s="1">
        <v>4.4400000000000004</v>
      </c>
      <c r="S56" s="1">
        <v>5.84</v>
      </c>
      <c r="T56" s="114"/>
      <c r="U56" s="1">
        <v>1.21</v>
      </c>
      <c r="V56" s="114"/>
      <c r="W56" s="114"/>
      <c r="X56" s="114"/>
      <c r="Y56" s="114"/>
      <c r="Z56" s="114"/>
      <c r="AA56" s="114"/>
      <c r="AB56" s="1">
        <v>29.83</v>
      </c>
      <c r="AC56" s="1">
        <v>33.26</v>
      </c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">
        <v>12.81</v>
      </c>
      <c r="AS56" s="1">
        <v>16</v>
      </c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">
        <v>400</v>
      </c>
      <c r="BO56" s="1">
        <v>501</v>
      </c>
      <c r="BP56" s="1" t="s">
        <v>1301</v>
      </c>
      <c r="BQ56" s="114"/>
      <c r="BR56" s="114"/>
      <c r="BS56" s="114"/>
      <c r="BT56" s="114"/>
      <c r="BU56" s="225"/>
      <c r="BV56" s="114"/>
      <c r="BW56" s="114"/>
      <c r="BX56" s="114"/>
      <c r="BY56" s="114"/>
      <c r="BZ56" s="1">
        <v>267.99</v>
      </c>
      <c r="CA56" s="1">
        <v>400.33</v>
      </c>
      <c r="CB56" s="1"/>
      <c r="CC56" s="1">
        <v>0.11</v>
      </c>
      <c r="CD56" s="1"/>
      <c r="CE56" s="1"/>
      <c r="CF56" s="1"/>
      <c r="CG56" s="1"/>
    </row>
    <row r="57" spans="1:85" s="10" customFormat="1" x14ac:dyDescent="0.35">
      <c r="A57" s="208" t="str">
        <f t="shared" si="4"/>
        <v>QUELLAVECOBOMBA INYECCION AGUAPV351</v>
      </c>
      <c r="B57" s="352" t="s">
        <v>1292</v>
      </c>
      <c r="C57" s="356" t="s">
        <v>1303</v>
      </c>
      <c r="D57" s="1">
        <v>2.6</v>
      </c>
      <c r="E57" s="1">
        <v>3.27</v>
      </c>
      <c r="F57" s="1">
        <v>11.59</v>
      </c>
      <c r="G57" s="1">
        <v>17.12</v>
      </c>
      <c r="H57" s="1">
        <v>1.01</v>
      </c>
      <c r="I57" s="1">
        <v>1.57</v>
      </c>
      <c r="J57" s="114"/>
      <c r="K57" s="1">
        <v>0.78</v>
      </c>
      <c r="L57" s="114"/>
      <c r="M57" s="1">
        <v>1</v>
      </c>
      <c r="N57" s="114"/>
      <c r="O57" s="1">
        <v>0.1</v>
      </c>
      <c r="P57" s="114"/>
      <c r="Q57" s="1">
        <v>0.05</v>
      </c>
      <c r="R57" s="1">
        <v>27</v>
      </c>
      <c r="S57" s="1">
        <v>33</v>
      </c>
      <c r="T57" s="114"/>
      <c r="U57" s="114">
        <v>1</v>
      </c>
      <c r="V57" s="114"/>
      <c r="W57" s="114">
        <v>1</v>
      </c>
      <c r="X57" s="114"/>
      <c r="Y57" s="114"/>
      <c r="Z57" s="114"/>
      <c r="AA57" s="114"/>
      <c r="AB57" s="114"/>
      <c r="AC57" s="1">
        <v>355.37</v>
      </c>
      <c r="AD57" s="114"/>
      <c r="AE57" s="114"/>
      <c r="AF57" s="114"/>
      <c r="AG57" s="114"/>
      <c r="AH57" s="114"/>
      <c r="AI57" s="114"/>
      <c r="AJ57" s="114"/>
      <c r="AK57" s="114">
        <v>1</v>
      </c>
      <c r="AL57" s="114"/>
      <c r="AM57" s="114">
        <v>1</v>
      </c>
      <c r="AN57" s="114"/>
      <c r="AO57" s="114"/>
      <c r="AP57" s="114"/>
      <c r="AQ57" s="114"/>
      <c r="AR57" s="1">
        <v>9</v>
      </c>
      <c r="AS57" s="1">
        <v>11</v>
      </c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">
        <v>45.52</v>
      </c>
      <c r="BF57" s="114"/>
      <c r="BG57" s="114"/>
      <c r="BH57" s="114"/>
      <c r="BI57" s="114"/>
      <c r="BJ57" s="114"/>
      <c r="BK57" s="114"/>
      <c r="BL57" s="114"/>
      <c r="BM57" s="114"/>
      <c r="BN57" s="1">
        <v>400</v>
      </c>
      <c r="BO57" s="1">
        <v>501</v>
      </c>
      <c r="BP57" s="1" t="s">
        <v>1301</v>
      </c>
      <c r="BQ57" s="114"/>
      <c r="BR57" s="114"/>
      <c r="BS57" s="114"/>
      <c r="BT57" s="114"/>
      <c r="BU57" s="225"/>
      <c r="BV57" s="114"/>
      <c r="BW57" s="114"/>
      <c r="BX57" s="114"/>
      <c r="BY57" s="114"/>
      <c r="BZ57" s="1">
        <v>78.72</v>
      </c>
      <c r="CA57" s="1">
        <v>117.59</v>
      </c>
      <c r="CB57" s="1"/>
      <c r="CC57" s="1">
        <v>0.05</v>
      </c>
      <c r="CD57" s="1"/>
      <c r="CE57" s="1">
        <v>1</v>
      </c>
      <c r="CF57" s="1"/>
      <c r="CG57" s="1">
        <v>1</v>
      </c>
    </row>
    <row r="58" spans="1:85" s="10" customFormat="1" x14ac:dyDescent="0.35">
      <c r="A58" s="208" t="str">
        <f t="shared" si="4"/>
        <v>QUELLAVECOMANDO FINAL DELANTERO LHWE2350</v>
      </c>
      <c r="B58" s="352" t="s">
        <v>1292</v>
      </c>
      <c r="C58" s="356" t="s">
        <v>1311</v>
      </c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 t="s">
        <v>1310</v>
      </c>
      <c r="BQ58" s="114"/>
      <c r="BR58" s="114"/>
      <c r="BS58" s="114"/>
      <c r="BT58" s="114"/>
      <c r="BU58" s="225"/>
      <c r="BV58" s="114"/>
      <c r="BW58" s="114"/>
      <c r="BX58" s="114"/>
      <c r="BY58" s="114"/>
      <c r="BZ58" s="114"/>
      <c r="CA58" s="114"/>
      <c r="CB58" s="114"/>
      <c r="CC58" s="114"/>
      <c r="CD58" s="114"/>
      <c r="CE58" s="114"/>
      <c r="CF58" s="114"/>
      <c r="CG58" s="114"/>
    </row>
    <row r="59" spans="1:85" s="10" customFormat="1" x14ac:dyDescent="0.35">
      <c r="A59" s="204" t="str">
        <f t="shared" ref="A59:A63" si="5">CONCATENATE(B59,C59,BP59,BQ59)</f>
        <v>QUELLAVECOMANDO FINAL DELANTERO RHWE2350</v>
      </c>
      <c r="B59" s="352" t="s">
        <v>1292</v>
      </c>
      <c r="C59" s="356" t="s">
        <v>1312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 t="s">
        <v>1310</v>
      </c>
      <c r="BQ59" s="1"/>
      <c r="BR59" s="1"/>
      <c r="BS59" s="1"/>
      <c r="BT59" s="1"/>
      <c r="BU59" s="123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</row>
    <row r="60" spans="1:85" s="10" customFormat="1" x14ac:dyDescent="0.35">
      <c r="A60" s="204" t="str">
        <f t="shared" si="5"/>
        <v>QUELLAVECOMANDO FINAL POSTERIOR LHWE2350</v>
      </c>
      <c r="B60" s="352" t="s">
        <v>1292</v>
      </c>
      <c r="C60" s="355" t="s">
        <v>1313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 t="s">
        <v>1310</v>
      </c>
      <c r="BQ60" s="1"/>
      <c r="BR60" s="1"/>
      <c r="BS60" s="1"/>
      <c r="BT60" s="1"/>
      <c r="BU60" s="123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</row>
    <row r="61" spans="1:85" s="10" customFormat="1" x14ac:dyDescent="0.35">
      <c r="A61" s="204" t="str">
        <f t="shared" si="5"/>
        <v>QUELLAVECOMANDO FINAL POSTERIOR RHWE2350</v>
      </c>
      <c r="B61" s="352" t="s">
        <v>1292</v>
      </c>
      <c r="C61" s="355" t="s">
        <v>1314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 t="s">
        <v>1310</v>
      </c>
      <c r="BQ61" s="1"/>
      <c r="BR61" s="1"/>
      <c r="BS61" s="1"/>
      <c r="BT61" s="1"/>
      <c r="BU61" s="123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</row>
    <row r="62" spans="1:85" s="10" customFormat="1" x14ac:dyDescent="0.35">
      <c r="A62" s="204" t="str">
        <f t="shared" si="5"/>
        <v>QUELLAVECOMOTORWE2350</v>
      </c>
      <c r="B62" s="352" t="s">
        <v>1292</v>
      </c>
      <c r="C62" s="355" t="s">
        <v>80</v>
      </c>
      <c r="D62" s="1">
        <v>30</v>
      </c>
      <c r="E62" s="1">
        <v>35</v>
      </c>
      <c r="F62" s="1">
        <v>2.4</v>
      </c>
      <c r="G62" s="1">
        <v>3.2</v>
      </c>
      <c r="H62" s="1">
        <v>6.5</v>
      </c>
      <c r="I62" s="1">
        <v>13</v>
      </c>
      <c r="J62" s="1">
        <v>0.8</v>
      </c>
      <c r="K62" s="1">
        <v>1.8</v>
      </c>
      <c r="L62" s="1"/>
      <c r="M62" s="1">
        <v>1</v>
      </c>
      <c r="N62" s="1">
        <v>0.9</v>
      </c>
      <c r="O62" s="1">
        <v>1.8</v>
      </c>
      <c r="P62" s="1"/>
      <c r="Q62" s="1"/>
      <c r="R62" s="91">
        <v>10</v>
      </c>
      <c r="S62" s="91">
        <v>12</v>
      </c>
      <c r="T62" s="1">
        <v>3</v>
      </c>
      <c r="U62" s="1">
        <v>6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>
        <v>13.5</v>
      </c>
      <c r="AO62" s="1">
        <v>12</v>
      </c>
      <c r="AP62" s="1">
        <v>16.5</v>
      </c>
      <c r="AQ62" s="1">
        <v>17.5</v>
      </c>
      <c r="AR62" s="1"/>
      <c r="AS62" s="1"/>
      <c r="AT62" s="1"/>
      <c r="AU62" s="1"/>
      <c r="AV62" s="1"/>
      <c r="AW62" s="1"/>
      <c r="AX62" s="1"/>
      <c r="AY62" s="1"/>
      <c r="AZ62" s="114">
        <v>9</v>
      </c>
      <c r="BA62" s="114">
        <v>6</v>
      </c>
      <c r="BB62" s="1">
        <v>2</v>
      </c>
      <c r="BC62" s="1">
        <v>2.5</v>
      </c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 t="s">
        <v>1310</v>
      </c>
      <c r="BQ62" s="1"/>
      <c r="BR62" s="1"/>
      <c r="BS62" s="1"/>
      <c r="BT62" s="1"/>
      <c r="BU62" s="123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</row>
    <row r="63" spans="1:85" s="10" customFormat="1" x14ac:dyDescent="0.35">
      <c r="A63" s="208" t="str">
        <f t="shared" si="5"/>
        <v>QUELLAVECOPTOWE2350</v>
      </c>
      <c r="B63" s="352" t="s">
        <v>1292</v>
      </c>
      <c r="C63" s="356" t="s">
        <v>87</v>
      </c>
      <c r="D63" s="1">
        <v>7</v>
      </c>
      <c r="E63" s="1">
        <v>10</v>
      </c>
      <c r="F63" s="1">
        <v>3</v>
      </c>
      <c r="G63" s="1">
        <v>5</v>
      </c>
      <c r="H63" s="114"/>
      <c r="I63" s="114"/>
      <c r="J63" s="1">
        <v>3</v>
      </c>
      <c r="K63" s="1">
        <v>5</v>
      </c>
      <c r="L63" s="1">
        <v>3</v>
      </c>
      <c r="M63" s="1">
        <v>5</v>
      </c>
      <c r="N63" s="1">
        <v>3</v>
      </c>
      <c r="O63" s="1">
        <v>5</v>
      </c>
      <c r="P63" s="1">
        <v>3</v>
      </c>
      <c r="Q63" s="1">
        <v>5</v>
      </c>
      <c r="R63" s="1">
        <v>4</v>
      </c>
      <c r="S63" s="1">
        <v>7</v>
      </c>
      <c r="T63" s="1">
        <v>5</v>
      </c>
      <c r="U63" s="1">
        <v>8</v>
      </c>
      <c r="V63" s="1">
        <v>3</v>
      </c>
      <c r="W63" s="1">
        <v>5</v>
      </c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">
        <v>17</v>
      </c>
      <c r="AS63" s="1">
        <v>31</v>
      </c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  <c r="BL63" s="114"/>
      <c r="BM63" s="114"/>
      <c r="BN63" s="1">
        <v>400</v>
      </c>
      <c r="BO63" s="1">
        <v>501</v>
      </c>
      <c r="BP63" s="114" t="s">
        <v>1310</v>
      </c>
      <c r="BQ63" s="114"/>
      <c r="BR63" s="114"/>
      <c r="BS63" s="114"/>
      <c r="BT63" s="114"/>
      <c r="BU63" s="225"/>
      <c r="BV63" s="114"/>
      <c r="BW63" s="114"/>
      <c r="BX63" s="114"/>
      <c r="BY63" s="114"/>
      <c r="BZ63" s="1">
        <v>120</v>
      </c>
      <c r="CA63" s="1">
        <v>165.85</v>
      </c>
      <c r="CB63" s="114"/>
      <c r="CC63" s="114"/>
      <c r="CD63" s="114"/>
      <c r="CE63" s="114"/>
      <c r="CF63" s="114"/>
      <c r="CG63" s="114"/>
    </row>
    <row r="64" spans="1:85" s="10" customFormat="1" x14ac:dyDescent="0.35">
      <c r="A64" s="208" t="str">
        <f>CONCATENATE(B64,C64,BP64,BQ64)</f>
        <v>QUELLAVECOSISTEMA HIDRAULICOWE2350</v>
      </c>
      <c r="B64" s="352" t="s">
        <v>1292</v>
      </c>
      <c r="C64" s="356" t="s">
        <v>79</v>
      </c>
      <c r="D64" s="1">
        <v>4</v>
      </c>
      <c r="E64" s="1">
        <v>6</v>
      </c>
      <c r="F64" s="1">
        <v>3</v>
      </c>
      <c r="G64" s="1">
        <v>5</v>
      </c>
      <c r="H64" s="1">
        <v>6</v>
      </c>
      <c r="I64" s="1">
        <v>9</v>
      </c>
      <c r="J64" s="1">
        <v>3</v>
      </c>
      <c r="K64" s="1">
        <v>5</v>
      </c>
      <c r="L64" s="1">
        <v>3</v>
      </c>
      <c r="M64" s="1">
        <v>5</v>
      </c>
      <c r="N64" s="1">
        <v>3</v>
      </c>
      <c r="O64" s="1">
        <v>5</v>
      </c>
      <c r="P64" s="1">
        <v>3</v>
      </c>
      <c r="Q64" s="1">
        <v>5</v>
      </c>
      <c r="R64" s="1">
        <v>7.9</v>
      </c>
      <c r="S64" s="1">
        <v>11</v>
      </c>
      <c r="T64" s="1">
        <v>5</v>
      </c>
      <c r="U64" s="1">
        <v>7</v>
      </c>
      <c r="V64" s="1">
        <v>3</v>
      </c>
      <c r="W64" s="1">
        <v>5</v>
      </c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">
        <v>6</v>
      </c>
      <c r="AS64" s="1">
        <v>8</v>
      </c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>
        <v>18</v>
      </c>
      <c r="BG64" s="114">
        <v>19</v>
      </c>
      <c r="BH64" s="114">
        <v>16</v>
      </c>
      <c r="BI64" s="114">
        <v>17</v>
      </c>
      <c r="BJ64" s="114">
        <v>13</v>
      </c>
      <c r="BK64" s="114">
        <v>14</v>
      </c>
      <c r="BL64" s="114"/>
      <c r="BM64" s="114"/>
      <c r="BN64" s="1">
        <v>400</v>
      </c>
      <c r="BO64" s="1">
        <v>501</v>
      </c>
      <c r="BP64" s="114" t="s">
        <v>1310</v>
      </c>
      <c r="BQ64" s="114"/>
      <c r="BR64" s="114"/>
      <c r="BS64" s="114"/>
      <c r="BT64" s="114"/>
      <c r="BU64" s="225"/>
      <c r="BV64" s="114"/>
      <c r="BW64" s="114"/>
      <c r="BX64" s="114"/>
      <c r="BY64" s="114"/>
      <c r="BZ64" s="1">
        <v>38.18</v>
      </c>
      <c r="CA64" s="1">
        <v>57.04</v>
      </c>
      <c r="CB64" s="114"/>
      <c r="CC64" s="114"/>
      <c r="CD64" s="114"/>
      <c r="CE64" s="114"/>
      <c r="CF64" s="114"/>
      <c r="CG64" s="114"/>
    </row>
    <row r="65" spans="1:85" x14ac:dyDescent="0.35">
      <c r="A65" s="208" t="str">
        <f>CONCATENATE(B65,C65,BP65,BQ65)</f>
        <v>CERRO VERDEMOTOR980E5SE</v>
      </c>
      <c r="B65" s="235" t="s">
        <v>82</v>
      </c>
      <c r="C65" s="15" t="s">
        <v>80</v>
      </c>
      <c r="D65" s="1">
        <v>10.5</v>
      </c>
      <c r="E65" s="1">
        <v>12.5</v>
      </c>
      <c r="F65" s="114">
        <v>2.5</v>
      </c>
      <c r="G65" s="114">
        <v>3.5</v>
      </c>
      <c r="H65" s="114">
        <v>2</v>
      </c>
      <c r="I65" s="114">
        <v>3</v>
      </c>
      <c r="J65" s="114">
        <v>2</v>
      </c>
      <c r="K65" s="114">
        <v>3</v>
      </c>
      <c r="L65" s="114"/>
      <c r="M65" s="114"/>
      <c r="N65" s="114">
        <v>1.5</v>
      </c>
      <c r="O65" s="114">
        <v>2.5</v>
      </c>
      <c r="P65" s="114"/>
      <c r="Q65" s="114"/>
      <c r="R65" s="114">
        <v>8.5</v>
      </c>
      <c r="S65" s="114">
        <v>9.5</v>
      </c>
      <c r="T65" s="114">
        <v>5</v>
      </c>
      <c r="U65" s="114">
        <v>8</v>
      </c>
      <c r="V65" s="114">
        <v>3</v>
      </c>
      <c r="W65" s="114">
        <v>4</v>
      </c>
      <c r="X65" s="114"/>
      <c r="Y65" s="114"/>
      <c r="Z65" s="114"/>
      <c r="AA65" s="114"/>
      <c r="AB65" s="114">
        <v>50</v>
      </c>
      <c r="AC65" s="114">
        <v>55</v>
      </c>
      <c r="AD65" s="114"/>
      <c r="AE65" s="114"/>
      <c r="AF65" s="114"/>
      <c r="AG65" s="114"/>
      <c r="AH65" s="114"/>
      <c r="AI65" s="114"/>
      <c r="AJ65" s="114"/>
      <c r="AK65" s="114"/>
      <c r="AL65" s="114"/>
      <c r="AM65" s="114"/>
      <c r="AN65" s="114">
        <v>13.2</v>
      </c>
      <c r="AO65" s="114">
        <v>12.9</v>
      </c>
      <c r="AP65" s="114">
        <v>15</v>
      </c>
      <c r="AQ65" s="114">
        <v>15.5</v>
      </c>
      <c r="AR65" s="114">
        <v>4</v>
      </c>
      <c r="AS65" s="114">
        <v>5</v>
      </c>
      <c r="AT65" s="114">
        <v>25.4</v>
      </c>
      <c r="AU65" s="114">
        <v>26.2</v>
      </c>
      <c r="AV65" s="114">
        <v>27</v>
      </c>
      <c r="AW65" s="114">
        <v>28</v>
      </c>
      <c r="AX65" s="114">
        <v>8</v>
      </c>
      <c r="AY65" s="114">
        <v>8.5</v>
      </c>
      <c r="AZ65" s="114"/>
      <c r="BA65" s="114"/>
      <c r="BB65" s="114">
        <v>14</v>
      </c>
      <c r="BC65" s="114">
        <v>17</v>
      </c>
      <c r="BD65" s="114"/>
      <c r="BE65" s="114"/>
      <c r="BF65" s="112"/>
      <c r="BG65" s="114"/>
      <c r="BH65" s="114"/>
      <c r="BI65" s="114"/>
      <c r="BJ65" s="114"/>
      <c r="BK65" s="114"/>
      <c r="BL65" s="112"/>
      <c r="BM65" s="112"/>
      <c r="BN65" s="112">
        <v>50</v>
      </c>
      <c r="BO65" s="112">
        <v>100</v>
      </c>
      <c r="BP65" s="114" t="s">
        <v>75</v>
      </c>
      <c r="BQ65" s="114" t="s">
        <v>84</v>
      </c>
      <c r="BR65" s="112"/>
      <c r="BS65" s="112"/>
      <c r="BT65" s="112"/>
      <c r="BU65" s="217"/>
      <c r="BV65" s="114"/>
      <c r="BW65" s="114"/>
      <c r="BX65" s="114">
        <v>0.5</v>
      </c>
      <c r="BY65" s="114">
        <v>1</v>
      </c>
      <c r="BZ65" s="114"/>
      <c r="CA65" s="114"/>
      <c r="CB65" s="112"/>
      <c r="CC65" s="112"/>
      <c r="CD65" s="112"/>
      <c r="CE65" s="112"/>
      <c r="CF65" s="112"/>
      <c r="CG65" s="112"/>
    </row>
    <row r="77" spans="1:85" x14ac:dyDescent="0.35">
      <c r="AN77" s="10" t="s">
        <v>1329</v>
      </c>
    </row>
  </sheetData>
  <phoneticPr fontId="56" type="noConversion"/>
  <pageMargins left="0.25" right="0.25" top="0.75" bottom="0.75" header="0.3" footer="0.3"/>
  <pageSetup paperSize="9" scale="2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FFFF"/>
  </sheetPr>
  <dimension ref="F3:M5"/>
  <sheetViews>
    <sheetView showGridLines="0" workbookViewId="0">
      <selection activeCell="O3" sqref="O3"/>
    </sheetView>
  </sheetViews>
  <sheetFormatPr baseColWidth="10" defaultColWidth="11.453125" defaultRowHeight="14.5" x14ac:dyDescent="0.35"/>
  <cols>
    <col min="6" max="6" width="12" bestFit="1" customWidth="1"/>
    <col min="7" max="7" width="13.453125" customWidth="1"/>
    <col min="8" max="11" width="8.54296875" customWidth="1"/>
  </cols>
  <sheetData>
    <row r="3" spans="6:13" ht="36" x14ac:dyDescent="0.35">
      <c r="F3" s="198" t="s">
        <v>1</v>
      </c>
      <c r="G3" s="198" t="s">
        <v>2</v>
      </c>
      <c r="H3" s="199" t="s">
        <v>97</v>
      </c>
      <c r="I3" s="200" t="s">
        <v>98</v>
      </c>
      <c r="J3" s="199" t="s">
        <v>99</v>
      </c>
      <c r="K3" s="200" t="s">
        <v>100</v>
      </c>
      <c r="L3" s="198" t="s">
        <v>67</v>
      </c>
      <c r="M3" s="198" t="s">
        <v>68</v>
      </c>
    </row>
    <row r="4" spans="6:13" x14ac:dyDescent="0.35">
      <c r="F4" s="15" t="s">
        <v>73</v>
      </c>
      <c r="G4" s="15" t="s">
        <v>80</v>
      </c>
      <c r="H4" s="1">
        <v>0.2</v>
      </c>
      <c r="I4" s="1">
        <v>0.31</v>
      </c>
      <c r="J4" s="1">
        <v>20</v>
      </c>
      <c r="K4" s="1">
        <v>31</v>
      </c>
      <c r="L4" s="1" t="s">
        <v>85</v>
      </c>
      <c r="M4" s="1" t="s">
        <v>86</v>
      </c>
    </row>
    <row r="5" spans="6:13" x14ac:dyDescent="0.35">
      <c r="F5" s="15" t="s">
        <v>73</v>
      </c>
      <c r="G5" s="15" t="s">
        <v>80</v>
      </c>
      <c r="H5" s="1">
        <v>0.2</v>
      </c>
      <c r="I5" s="1">
        <v>0.31</v>
      </c>
      <c r="J5" s="1">
        <v>20</v>
      </c>
      <c r="K5" s="1">
        <v>31</v>
      </c>
      <c r="L5" s="1" t="s">
        <v>92</v>
      </c>
      <c r="M5" s="1" t="s">
        <v>93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R6"/>
  <sheetViews>
    <sheetView showGridLines="0" workbookViewId="0">
      <selection activeCell="O14" sqref="O14"/>
    </sheetView>
  </sheetViews>
  <sheetFormatPr baseColWidth="10" defaultColWidth="11.453125" defaultRowHeight="14.5" x14ac:dyDescent="0.35"/>
  <cols>
    <col min="1" max="1" width="12.453125" bestFit="1" customWidth="1"/>
    <col min="2" max="2" width="22.26953125" bestFit="1" customWidth="1"/>
    <col min="3" max="4" width="3.7265625" bestFit="1" customWidth="1"/>
    <col min="5" max="22" width="3.453125" bestFit="1" customWidth="1"/>
    <col min="23" max="23" width="4.7265625" bestFit="1" customWidth="1"/>
    <col min="24" max="26" width="3.7265625" bestFit="1" customWidth="1"/>
    <col min="27" max="30" width="3.453125" bestFit="1" customWidth="1"/>
    <col min="31" max="32" width="4.7265625" bestFit="1" customWidth="1"/>
    <col min="33" max="38" width="3.453125" bestFit="1" customWidth="1"/>
    <col min="39" max="42" width="4.453125" bestFit="1" customWidth="1"/>
    <col min="43" max="44" width="3.7265625" bestFit="1" customWidth="1"/>
  </cols>
  <sheetData>
    <row r="1" spans="1:44" ht="91.5" customHeight="1" x14ac:dyDescent="0.35">
      <c r="A1" s="4" t="s">
        <v>1</v>
      </c>
      <c r="B1" s="4" t="s">
        <v>2</v>
      </c>
      <c r="C1" s="28" t="s">
        <v>3</v>
      </c>
      <c r="D1" s="29" t="s">
        <v>4</v>
      </c>
      <c r="E1" s="28" t="s">
        <v>5</v>
      </c>
      <c r="F1" s="29" t="s">
        <v>6</v>
      </c>
      <c r="G1" s="28" t="s">
        <v>7</v>
      </c>
      <c r="H1" s="29" t="s">
        <v>8</v>
      </c>
      <c r="I1" s="28" t="s">
        <v>9</v>
      </c>
      <c r="J1" s="29" t="s">
        <v>10</v>
      </c>
      <c r="K1" s="28" t="s">
        <v>11</v>
      </c>
      <c r="L1" s="29" t="s">
        <v>12</v>
      </c>
      <c r="M1" s="28" t="s">
        <v>13</v>
      </c>
      <c r="N1" s="29" t="s">
        <v>14</v>
      </c>
      <c r="O1" s="28" t="s">
        <v>15</v>
      </c>
      <c r="P1" s="29" t="s">
        <v>16</v>
      </c>
      <c r="Q1" s="28" t="s">
        <v>17</v>
      </c>
      <c r="R1" s="29" t="s">
        <v>18</v>
      </c>
      <c r="S1" s="28" t="s">
        <v>19</v>
      </c>
      <c r="T1" s="29" t="s">
        <v>20</v>
      </c>
      <c r="U1" s="28" t="s">
        <v>21</v>
      </c>
      <c r="V1" s="29" t="s">
        <v>22</v>
      </c>
      <c r="W1" s="28" t="s">
        <v>23</v>
      </c>
      <c r="X1" s="29" t="s">
        <v>24</v>
      </c>
      <c r="Y1" s="28" t="s">
        <v>25</v>
      </c>
      <c r="Z1" s="29" t="s">
        <v>26</v>
      </c>
      <c r="AA1" s="28" t="s">
        <v>27</v>
      </c>
      <c r="AB1" s="29" t="s">
        <v>28</v>
      </c>
      <c r="AC1" s="28" t="s">
        <v>29</v>
      </c>
      <c r="AD1" s="29" t="s">
        <v>30</v>
      </c>
      <c r="AE1" s="28" t="s">
        <v>31</v>
      </c>
      <c r="AF1" s="29" t="s">
        <v>32</v>
      </c>
      <c r="AG1" s="28" t="s">
        <v>33</v>
      </c>
      <c r="AH1" s="29" t="s">
        <v>34</v>
      </c>
      <c r="AI1" s="28" t="s">
        <v>35</v>
      </c>
      <c r="AJ1" s="29" t="s">
        <v>36</v>
      </c>
      <c r="AK1" s="28" t="s">
        <v>37</v>
      </c>
      <c r="AL1" s="29" t="s">
        <v>38</v>
      </c>
      <c r="AM1" s="28" t="s">
        <v>39</v>
      </c>
      <c r="AN1" s="29" t="s">
        <v>40</v>
      </c>
      <c r="AO1" s="28" t="s">
        <v>41</v>
      </c>
      <c r="AP1" s="29" t="s">
        <v>42</v>
      </c>
      <c r="AQ1" s="28" t="s">
        <v>43</v>
      </c>
      <c r="AR1" s="29" t="s">
        <v>44</v>
      </c>
    </row>
    <row r="2" spans="1:44" x14ac:dyDescent="0.35">
      <c r="A2" s="3" t="s">
        <v>81</v>
      </c>
      <c r="B2" s="3" t="s">
        <v>76</v>
      </c>
      <c r="C2" s="5">
        <v>145</v>
      </c>
      <c r="D2" s="5">
        <v>165</v>
      </c>
      <c r="E2" s="5">
        <v>1</v>
      </c>
      <c r="F2" s="5">
        <v>2</v>
      </c>
      <c r="G2" s="5">
        <v>6</v>
      </c>
      <c r="H2" s="5">
        <v>10</v>
      </c>
      <c r="I2" s="5">
        <v>2</v>
      </c>
      <c r="J2" s="5">
        <v>3</v>
      </c>
      <c r="K2" s="5"/>
      <c r="L2" s="5"/>
      <c r="M2" s="5">
        <v>1</v>
      </c>
      <c r="N2" s="5">
        <v>2</v>
      </c>
      <c r="O2" s="5"/>
      <c r="P2" s="5"/>
      <c r="Q2" s="5">
        <v>21</v>
      </c>
      <c r="R2" s="5">
        <v>26</v>
      </c>
      <c r="S2" s="5">
        <v>1</v>
      </c>
      <c r="T2" s="5">
        <v>2</v>
      </c>
      <c r="U2" s="5"/>
      <c r="V2" s="5"/>
      <c r="W2" s="5"/>
      <c r="X2" s="5"/>
      <c r="Y2" s="5"/>
      <c r="Z2" s="5">
        <v>239</v>
      </c>
      <c r="AA2" s="5"/>
      <c r="AB2" s="5">
        <v>19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8"/>
      <c r="AN2" s="8">
        <v>71.400000000000006</v>
      </c>
      <c r="AO2" s="8"/>
      <c r="AP2" s="8">
        <v>87.2</v>
      </c>
      <c r="AQ2" s="5">
        <v>130</v>
      </c>
      <c r="AR2" s="5">
        <v>150</v>
      </c>
    </row>
    <row r="3" spans="1:44" x14ac:dyDescent="0.35">
      <c r="A3" s="3" t="s">
        <v>81</v>
      </c>
      <c r="B3" s="3" t="s">
        <v>74</v>
      </c>
      <c r="C3" s="5">
        <v>145</v>
      </c>
      <c r="D3" s="5">
        <v>165</v>
      </c>
      <c r="E3" s="5">
        <v>1</v>
      </c>
      <c r="F3" s="5">
        <v>2</v>
      </c>
      <c r="G3" s="5">
        <v>6</v>
      </c>
      <c r="H3" s="5">
        <v>10</v>
      </c>
      <c r="I3" s="5">
        <v>2</v>
      </c>
      <c r="J3" s="5">
        <v>3</v>
      </c>
      <c r="K3" s="5"/>
      <c r="L3" s="5"/>
      <c r="M3" s="5">
        <v>1</v>
      </c>
      <c r="N3" s="5">
        <v>2</v>
      </c>
      <c r="O3" s="5"/>
      <c r="P3" s="5"/>
      <c r="Q3" s="5">
        <v>21</v>
      </c>
      <c r="R3" s="5">
        <v>26</v>
      </c>
      <c r="S3" s="5">
        <v>1</v>
      </c>
      <c r="T3" s="5">
        <v>2</v>
      </c>
      <c r="U3" s="5"/>
      <c r="V3" s="5"/>
      <c r="W3" s="5"/>
      <c r="X3" s="5"/>
      <c r="Y3" s="5"/>
      <c r="Z3" s="5">
        <v>239</v>
      </c>
      <c r="AA3" s="5"/>
      <c r="AB3" s="5">
        <v>19</v>
      </c>
      <c r="AC3" s="5"/>
      <c r="AD3" s="5"/>
      <c r="AE3" s="5"/>
      <c r="AF3" s="5"/>
      <c r="AG3" s="5"/>
      <c r="AH3" s="5"/>
      <c r="AI3" s="5"/>
      <c r="AJ3" s="5"/>
      <c r="AK3" s="5"/>
      <c r="AL3" s="5"/>
      <c r="AM3" s="8"/>
      <c r="AN3" s="8">
        <v>71.400000000000006</v>
      </c>
      <c r="AO3" s="8"/>
      <c r="AP3" s="8">
        <v>87.2</v>
      </c>
      <c r="AQ3" s="5">
        <v>130</v>
      </c>
      <c r="AR3" s="5">
        <v>150</v>
      </c>
    </row>
    <row r="4" spans="1:44" x14ac:dyDescent="0.35">
      <c r="A4" s="3" t="s">
        <v>81</v>
      </c>
      <c r="B4" s="3" t="s">
        <v>78</v>
      </c>
      <c r="C4" s="5">
        <v>80</v>
      </c>
      <c r="D4" s="5">
        <v>140</v>
      </c>
      <c r="E4" s="5">
        <v>2</v>
      </c>
      <c r="F4" s="5">
        <v>3</v>
      </c>
      <c r="G4" s="5">
        <v>1</v>
      </c>
      <c r="H4" s="5">
        <v>2</v>
      </c>
      <c r="I4" s="5">
        <v>2</v>
      </c>
      <c r="J4" s="5">
        <v>3</v>
      </c>
      <c r="K4" s="5"/>
      <c r="L4" s="5"/>
      <c r="M4" s="5">
        <v>1</v>
      </c>
      <c r="N4" s="5">
        <v>2</v>
      </c>
      <c r="O4" s="5"/>
      <c r="P4" s="5"/>
      <c r="Q4" s="5">
        <v>9</v>
      </c>
      <c r="R4" s="5">
        <v>11</v>
      </c>
      <c r="S4" s="5">
        <v>4</v>
      </c>
      <c r="T4" s="5">
        <v>5</v>
      </c>
      <c r="U4" s="5"/>
      <c r="V4" s="5"/>
      <c r="W4" s="5">
        <v>1009.6</v>
      </c>
      <c r="X4" s="5">
        <v>757.19999999999993</v>
      </c>
      <c r="Y4" s="5">
        <v>684.80000000000007</v>
      </c>
      <c r="Z4" s="5">
        <v>513.6</v>
      </c>
      <c r="AA4" s="5"/>
      <c r="AB4" s="5"/>
      <c r="AC4" s="5"/>
      <c r="AD4" s="5"/>
      <c r="AE4" s="5">
        <v>2294.4</v>
      </c>
      <c r="AF4" s="5">
        <v>1720.8</v>
      </c>
      <c r="AG4" s="5">
        <v>8.4</v>
      </c>
      <c r="AH4" s="5">
        <v>6.3</v>
      </c>
      <c r="AI4" s="5"/>
      <c r="AJ4" s="5"/>
      <c r="AK4" s="5"/>
      <c r="AL4" s="5"/>
      <c r="AM4" s="8">
        <v>17</v>
      </c>
      <c r="AN4" s="8">
        <v>16</v>
      </c>
      <c r="AO4" s="8">
        <v>20</v>
      </c>
      <c r="AP4" s="8">
        <v>21</v>
      </c>
      <c r="AQ4" s="5">
        <v>35</v>
      </c>
      <c r="AR4" s="5">
        <v>50</v>
      </c>
    </row>
    <row r="5" spans="1:44" x14ac:dyDescent="0.35">
      <c r="A5" s="3" t="s">
        <v>81</v>
      </c>
      <c r="B5" s="3" t="s">
        <v>77</v>
      </c>
      <c r="C5" s="7">
        <v>80</v>
      </c>
      <c r="D5" s="7">
        <v>140</v>
      </c>
      <c r="E5" s="7">
        <v>2</v>
      </c>
      <c r="F5" s="7">
        <v>3</v>
      </c>
      <c r="G5" s="7">
        <v>1</v>
      </c>
      <c r="H5" s="7">
        <v>2</v>
      </c>
      <c r="I5" s="7">
        <v>2</v>
      </c>
      <c r="J5" s="7">
        <v>3</v>
      </c>
      <c r="K5" s="7"/>
      <c r="L5" s="7"/>
      <c r="M5" s="7">
        <v>1</v>
      </c>
      <c r="N5" s="7">
        <v>2</v>
      </c>
      <c r="O5" s="7"/>
      <c r="P5" s="7"/>
      <c r="Q5" s="7">
        <v>9</v>
      </c>
      <c r="R5" s="7">
        <v>11</v>
      </c>
      <c r="S5" s="7">
        <v>4</v>
      </c>
      <c r="T5" s="7">
        <v>5</v>
      </c>
      <c r="U5" s="7"/>
      <c r="V5" s="7"/>
      <c r="W5" s="7">
        <v>1009.6</v>
      </c>
      <c r="X5" s="7">
        <v>757.19999999999993</v>
      </c>
      <c r="Y5" s="7">
        <v>684.80000000000007</v>
      </c>
      <c r="Z5" s="7">
        <v>513.6</v>
      </c>
      <c r="AA5" s="7"/>
      <c r="AB5" s="7"/>
      <c r="AC5" s="7"/>
      <c r="AD5" s="7"/>
      <c r="AE5" s="7">
        <v>2294.4</v>
      </c>
      <c r="AF5" s="7">
        <v>1720.8</v>
      </c>
      <c r="AG5" s="7">
        <v>8.4</v>
      </c>
      <c r="AH5" s="7">
        <v>6.3</v>
      </c>
      <c r="AI5" s="7"/>
      <c r="AJ5" s="7"/>
      <c r="AK5" s="7"/>
      <c r="AL5" s="7"/>
      <c r="AM5" s="8">
        <v>17</v>
      </c>
      <c r="AN5" s="8">
        <v>16</v>
      </c>
      <c r="AO5" s="8">
        <v>20</v>
      </c>
      <c r="AP5" s="8">
        <v>21</v>
      </c>
      <c r="AQ5" s="7">
        <v>35</v>
      </c>
      <c r="AR5" s="7">
        <v>50</v>
      </c>
    </row>
    <row r="6" spans="1:44" x14ac:dyDescent="0.35">
      <c r="A6" s="3" t="s">
        <v>81</v>
      </c>
      <c r="B6" s="3" t="s">
        <v>79</v>
      </c>
      <c r="C6" s="5">
        <v>6</v>
      </c>
      <c r="D6" s="5">
        <v>7</v>
      </c>
      <c r="E6" s="5">
        <v>5</v>
      </c>
      <c r="F6" s="5">
        <v>7</v>
      </c>
      <c r="G6" s="5">
        <v>2</v>
      </c>
      <c r="H6" s="5">
        <v>3</v>
      </c>
      <c r="I6" s="5">
        <v>3</v>
      </c>
      <c r="J6" s="5">
        <v>5</v>
      </c>
      <c r="K6" s="5"/>
      <c r="L6" s="5"/>
      <c r="M6" s="5">
        <v>1</v>
      </c>
      <c r="N6" s="5">
        <v>2</v>
      </c>
      <c r="O6" s="5"/>
      <c r="P6" s="5"/>
      <c r="Q6" s="5">
        <v>11</v>
      </c>
      <c r="R6" s="5">
        <v>13</v>
      </c>
      <c r="S6" s="5">
        <v>5</v>
      </c>
      <c r="T6" s="5">
        <v>6</v>
      </c>
      <c r="U6" s="5"/>
      <c r="V6" s="5"/>
      <c r="W6" s="5">
        <v>1106.4000000000001</v>
      </c>
      <c r="X6" s="5">
        <v>829.8</v>
      </c>
      <c r="Y6" s="5">
        <v>702.40000000000009</v>
      </c>
      <c r="Z6" s="5">
        <v>526.79999999999995</v>
      </c>
      <c r="AA6" s="5"/>
      <c r="AB6" s="5"/>
      <c r="AC6" s="5"/>
      <c r="AD6" s="5"/>
      <c r="AE6" s="5">
        <v>2388.8000000000002</v>
      </c>
      <c r="AF6" s="5">
        <v>1791.6</v>
      </c>
      <c r="AG6" s="5">
        <v>9.6</v>
      </c>
      <c r="AH6" s="5">
        <v>7.2</v>
      </c>
      <c r="AI6" s="5"/>
      <c r="AJ6" s="5"/>
      <c r="AK6" s="5"/>
      <c r="AL6" s="5"/>
      <c r="AM6" s="8">
        <v>5.7</v>
      </c>
      <c r="AN6" s="8">
        <v>5.5</v>
      </c>
      <c r="AO6" s="8">
        <v>6.6</v>
      </c>
      <c r="AP6" s="8">
        <v>6.9</v>
      </c>
      <c r="AQ6" s="5">
        <v>11</v>
      </c>
      <c r="AR6" s="5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00FFFF"/>
  </sheetPr>
  <dimension ref="A1:AT683"/>
  <sheetViews>
    <sheetView showGridLines="0" zoomScale="55" zoomScaleNormal="55" workbookViewId="0">
      <pane xSplit="5" ySplit="1" topLeftCell="F597" activePane="bottomRight" state="frozen"/>
      <selection pane="topRight" activeCell="F1" sqref="F1"/>
      <selection pane="bottomLeft" activeCell="A2" sqref="A2"/>
      <selection pane="bottomRight" activeCell="C683" sqref="C683"/>
    </sheetView>
  </sheetViews>
  <sheetFormatPr baseColWidth="10" defaultColWidth="11.453125" defaultRowHeight="14.5" x14ac:dyDescent="0.35"/>
  <cols>
    <col min="1" max="1" width="10.453125" customWidth="1"/>
    <col min="2" max="2" width="14.453125" customWidth="1"/>
    <col min="3" max="3" width="23.26953125" style="10" customWidth="1"/>
    <col min="4" max="4" width="18.7265625" bestFit="1" customWidth="1"/>
    <col min="5" max="5" width="20.54296875" customWidth="1"/>
    <col min="6" max="37" width="11.54296875" customWidth="1"/>
    <col min="38" max="40" width="11.54296875" style="10" bestFit="1" customWidth="1"/>
    <col min="41" max="41" width="12.26953125" customWidth="1"/>
    <col min="42" max="42" width="7.54296875" customWidth="1"/>
    <col min="43" max="43" width="9" customWidth="1"/>
    <col min="44" max="44" width="11.54296875" bestFit="1" customWidth="1"/>
    <col min="45" max="45" width="22.7265625" style="102" customWidth="1"/>
    <col min="46" max="46" width="19.7265625" customWidth="1"/>
  </cols>
  <sheetData>
    <row r="1" spans="1:46" ht="145.5" customHeight="1" x14ac:dyDescent="0.35">
      <c r="A1" s="203" t="s">
        <v>0</v>
      </c>
      <c r="B1" s="96" t="s">
        <v>101</v>
      </c>
      <c r="C1" s="96" t="s">
        <v>102</v>
      </c>
      <c r="D1" s="96" t="s">
        <v>103</v>
      </c>
      <c r="E1" s="96" t="s">
        <v>104</v>
      </c>
      <c r="F1" s="97" t="s">
        <v>105</v>
      </c>
      <c r="G1" s="97" t="s">
        <v>106</v>
      </c>
      <c r="H1" s="97" t="s">
        <v>107</v>
      </c>
      <c r="I1" s="97" t="s">
        <v>108</v>
      </c>
      <c r="J1" s="97" t="s">
        <v>109</v>
      </c>
      <c r="K1" s="97" t="s">
        <v>110</v>
      </c>
      <c r="L1" s="97" t="s">
        <v>111</v>
      </c>
      <c r="M1" s="97" t="s">
        <v>112</v>
      </c>
      <c r="N1" s="97" t="s">
        <v>113</v>
      </c>
      <c r="O1" s="97" t="s">
        <v>114</v>
      </c>
      <c r="P1" s="97" t="s">
        <v>115</v>
      </c>
      <c r="Q1" s="97" t="s">
        <v>116</v>
      </c>
      <c r="R1" s="97" t="s">
        <v>117</v>
      </c>
      <c r="S1" s="97" t="s">
        <v>118</v>
      </c>
      <c r="T1" s="97" t="s">
        <v>119</v>
      </c>
      <c r="U1" s="97" t="s">
        <v>120</v>
      </c>
      <c r="V1" s="97" t="s">
        <v>121</v>
      </c>
      <c r="W1" s="97" t="s">
        <v>122</v>
      </c>
      <c r="X1" s="97" t="s">
        <v>123</v>
      </c>
      <c r="Y1" s="97" t="s">
        <v>124</v>
      </c>
      <c r="Z1" s="97" t="s">
        <v>125</v>
      </c>
      <c r="AA1" s="97" t="s">
        <v>126</v>
      </c>
      <c r="AB1" s="97" t="s">
        <v>127</v>
      </c>
      <c r="AC1" s="97" t="s">
        <v>128</v>
      </c>
      <c r="AD1" s="97" t="s">
        <v>129</v>
      </c>
      <c r="AE1" s="97" t="s">
        <v>130</v>
      </c>
      <c r="AF1" s="97" t="s">
        <v>131</v>
      </c>
      <c r="AG1" s="97" t="s">
        <v>132</v>
      </c>
      <c r="AH1" s="97" t="s">
        <v>133</v>
      </c>
      <c r="AI1" s="97" t="s">
        <v>134</v>
      </c>
      <c r="AJ1" s="97" t="s">
        <v>135</v>
      </c>
      <c r="AK1" s="97" t="s">
        <v>136</v>
      </c>
      <c r="AL1" s="97" t="s">
        <v>137</v>
      </c>
      <c r="AM1" s="97" t="s">
        <v>138</v>
      </c>
      <c r="AN1" s="97" t="s">
        <v>139</v>
      </c>
      <c r="AO1" s="97" t="s">
        <v>140</v>
      </c>
      <c r="AP1" s="97" t="s">
        <v>141</v>
      </c>
      <c r="AQ1" s="97" t="s">
        <v>142</v>
      </c>
      <c r="AR1" s="97" t="s">
        <v>143</v>
      </c>
      <c r="AS1" s="103" t="s">
        <v>144</v>
      </c>
      <c r="AT1" s="205" t="s">
        <v>145</v>
      </c>
    </row>
    <row r="2" spans="1:46" s="6" customFormat="1" x14ac:dyDescent="0.35">
      <c r="A2" s="204">
        <v>1</v>
      </c>
      <c r="B2" s="14" t="s">
        <v>82</v>
      </c>
      <c r="C2" s="1" t="s">
        <v>146</v>
      </c>
      <c r="D2" s="1" t="s">
        <v>147</v>
      </c>
      <c r="E2" s="12">
        <v>44056</v>
      </c>
      <c r="F2" s="201">
        <v>2</v>
      </c>
      <c r="G2" s="201">
        <v>1</v>
      </c>
      <c r="H2" s="201">
        <v>0</v>
      </c>
      <c r="I2" s="201">
        <v>0</v>
      </c>
      <c r="J2" s="201">
        <v>0</v>
      </c>
      <c r="K2" s="201">
        <v>0</v>
      </c>
      <c r="L2" s="201">
        <v>0</v>
      </c>
      <c r="M2" s="201">
        <v>18</v>
      </c>
      <c r="N2" s="201">
        <v>2</v>
      </c>
      <c r="O2" s="201">
        <v>1</v>
      </c>
      <c r="P2" s="201">
        <v>1195</v>
      </c>
      <c r="Q2" s="201">
        <v>819</v>
      </c>
      <c r="R2" s="201">
        <v>2</v>
      </c>
      <c r="S2" s="201">
        <v>0</v>
      </c>
      <c r="T2" s="201">
        <v>3502</v>
      </c>
      <c r="U2" s="201">
        <v>14</v>
      </c>
      <c r="V2" s="201">
        <v>0</v>
      </c>
      <c r="W2" s="201">
        <v>0</v>
      </c>
      <c r="X2" s="201">
        <v>1</v>
      </c>
      <c r="Y2" s="201">
        <v>2</v>
      </c>
      <c r="Z2" s="201"/>
      <c r="AA2" s="61">
        <v>0</v>
      </c>
      <c r="AB2" s="201">
        <v>0</v>
      </c>
      <c r="AC2" s="61">
        <v>0</v>
      </c>
      <c r="AD2" s="201">
        <v>18.5</v>
      </c>
      <c r="AE2" s="61"/>
      <c r="AF2" s="61">
        <v>6.2</v>
      </c>
      <c r="AG2" s="61">
        <v>14.3</v>
      </c>
      <c r="AH2" s="61">
        <v>3.9</v>
      </c>
      <c r="AI2" s="61"/>
      <c r="AJ2" s="61"/>
      <c r="AK2" s="61">
        <v>3.6</v>
      </c>
      <c r="AL2" s="291">
        <v>22</v>
      </c>
      <c r="AM2" s="201">
        <v>20</v>
      </c>
      <c r="AN2" s="201">
        <v>13</v>
      </c>
      <c r="AO2" s="61">
        <v>0</v>
      </c>
      <c r="AP2" s="61">
        <v>10</v>
      </c>
      <c r="AQ2" s="61"/>
      <c r="AR2" s="61">
        <v>16.399999999999999</v>
      </c>
      <c r="AS2" s="101" t="s">
        <v>148</v>
      </c>
      <c r="AT2" s="206" t="str">
        <f t="shared" ref="AT2:AT65" si="0">CONCATENATE(E2,"-",A2)</f>
        <v>44056-1</v>
      </c>
    </row>
    <row r="3" spans="1:46" s="6" customFormat="1" x14ac:dyDescent="0.35">
      <c r="A3" s="204">
        <v>2</v>
      </c>
      <c r="B3" s="14" t="s">
        <v>82</v>
      </c>
      <c r="C3" s="1" t="s">
        <v>146</v>
      </c>
      <c r="D3" s="1" t="s">
        <v>147</v>
      </c>
      <c r="E3" s="12">
        <v>44077</v>
      </c>
      <c r="F3" s="201">
        <v>1</v>
      </c>
      <c r="G3" s="201">
        <v>2</v>
      </c>
      <c r="H3" s="201">
        <v>0</v>
      </c>
      <c r="I3" s="201">
        <v>0</v>
      </c>
      <c r="J3" s="201">
        <v>0</v>
      </c>
      <c r="K3" s="201">
        <v>0</v>
      </c>
      <c r="L3" s="201">
        <v>0</v>
      </c>
      <c r="M3" s="201">
        <v>21</v>
      </c>
      <c r="N3" s="201">
        <v>2</v>
      </c>
      <c r="O3" s="201">
        <v>1</v>
      </c>
      <c r="P3" s="201">
        <v>1212</v>
      </c>
      <c r="Q3" s="201">
        <v>872</v>
      </c>
      <c r="R3" s="201">
        <v>2</v>
      </c>
      <c r="S3" s="201">
        <v>2</v>
      </c>
      <c r="T3" s="201">
        <v>3455</v>
      </c>
      <c r="U3" s="201">
        <v>17</v>
      </c>
      <c r="V3" s="201">
        <v>0</v>
      </c>
      <c r="W3" s="201">
        <v>0</v>
      </c>
      <c r="X3" s="201">
        <v>0</v>
      </c>
      <c r="Y3" s="201">
        <v>0</v>
      </c>
      <c r="Z3" s="201"/>
      <c r="AA3" s="61">
        <v>0</v>
      </c>
      <c r="AB3" s="201">
        <v>0</v>
      </c>
      <c r="AC3" s="61">
        <v>0</v>
      </c>
      <c r="AD3" s="201">
        <v>18.899999999999999</v>
      </c>
      <c r="AE3" s="61"/>
      <c r="AF3" s="61">
        <v>6.3</v>
      </c>
      <c r="AG3" s="61">
        <v>14.5</v>
      </c>
      <c r="AH3" s="61">
        <v>3.9</v>
      </c>
      <c r="AI3" s="61"/>
      <c r="AJ3" s="61"/>
      <c r="AK3" s="61">
        <v>3.8</v>
      </c>
      <c r="AL3" s="291">
        <v>23</v>
      </c>
      <c r="AM3" s="201">
        <v>21</v>
      </c>
      <c r="AN3" s="201">
        <v>13</v>
      </c>
      <c r="AO3" s="61">
        <v>0</v>
      </c>
      <c r="AP3" s="61">
        <v>10.9</v>
      </c>
      <c r="AQ3" s="61"/>
      <c r="AR3" s="61">
        <v>16.600000000000001</v>
      </c>
      <c r="AS3" s="101" t="s">
        <v>148</v>
      </c>
      <c r="AT3" s="206" t="str">
        <f t="shared" si="0"/>
        <v>44077-2</v>
      </c>
    </row>
    <row r="4" spans="1:46" s="6" customFormat="1" x14ac:dyDescent="0.35">
      <c r="A4" s="204">
        <v>3</v>
      </c>
      <c r="B4" s="14" t="s">
        <v>73</v>
      </c>
      <c r="C4" s="1" t="s">
        <v>149</v>
      </c>
      <c r="D4" s="1" t="s">
        <v>150</v>
      </c>
      <c r="E4" s="12">
        <v>44118</v>
      </c>
      <c r="F4" s="201">
        <v>2</v>
      </c>
      <c r="G4" s="201">
        <v>1</v>
      </c>
      <c r="H4" s="201">
        <v>0</v>
      </c>
      <c r="I4" s="201">
        <v>1</v>
      </c>
      <c r="J4" s="201">
        <v>0</v>
      </c>
      <c r="K4" s="201">
        <v>0</v>
      </c>
      <c r="L4" s="201">
        <v>0</v>
      </c>
      <c r="M4" s="201">
        <v>6</v>
      </c>
      <c r="N4" s="201">
        <v>5</v>
      </c>
      <c r="O4" s="201">
        <v>1</v>
      </c>
      <c r="P4" s="201">
        <v>1168</v>
      </c>
      <c r="Q4" s="201">
        <v>956</v>
      </c>
      <c r="R4" s="201">
        <v>0</v>
      </c>
      <c r="S4" s="201">
        <v>0</v>
      </c>
      <c r="T4" s="201">
        <v>2380</v>
      </c>
      <c r="U4" s="201">
        <v>12</v>
      </c>
      <c r="V4" s="201">
        <v>0</v>
      </c>
      <c r="W4" s="201">
        <v>0</v>
      </c>
      <c r="X4" s="201">
        <v>1</v>
      </c>
      <c r="Y4" s="201">
        <v>1</v>
      </c>
      <c r="Z4" s="201">
        <v>1</v>
      </c>
      <c r="AA4" s="61"/>
      <c r="AB4" s="201">
        <v>0</v>
      </c>
      <c r="AC4" s="61"/>
      <c r="AD4" s="201">
        <v>18.53</v>
      </c>
      <c r="AE4" s="61"/>
      <c r="AF4" s="61"/>
      <c r="AG4" s="61"/>
      <c r="AH4" s="61"/>
      <c r="AI4" s="61"/>
      <c r="AJ4" s="61"/>
      <c r="AK4" s="61"/>
      <c r="AL4" s="291">
        <v>21</v>
      </c>
      <c r="AM4" s="201">
        <v>19</v>
      </c>
      <c r="AN4" s="201">
        <v>13</v>
      </c>
      <c r="AO4" s="61"/>
      <c r="AP4" s="61"/>
      <c r="AQ4" s="61"/>
      <c r="AR4" s="61"/>
      <c r="AS4" s="101" t="s">
        <v>151</v>
      </c>
      <c r="AT4" s="206" t="str">
        <f t="shared" si="0"/>
        <v>44118-3</v>
      </c>
    </row>
    <row r="5" spans="1:46" s="6" customFormat="1" x14ac:dyDescent="0.35">
      <c r="A5" s="204">
        <v>4</v>
      </c>
      <c r="B5" s="14" t="s">
        <v>73</v>
      </c>
      <c r="C5" s="1" t="s">
        <v>152</v>
      </c>
      <c r="D5" s="1" t="s">
        <v>150</v>
      </c>
      <c r="E5" s="12">
        <v>44119</v>
      </c>
      <c r="F5" s="201">
        <v>1</v>
      </c>
      <c r="G5" s="201">
        <v>1</v>
      </c>
      <c r="H5" s="201">
        <v>0</v>
      </c>
      <c r="I5" s="201">
        <v>1</v>
      </c>
      <c r="J5" s="201">
        <v>0</v>
      </c>
      <c r="K5" s="201">
        <v>0</v>
      </c>
      <c r="L5" s="201">
        <v>0</v>
      </c>
      <c r="M5" s="201">
        <v>7</v>
      </c>
      <c r="N5" s="201">
        <v>3</v>
      </c>
      <c r="O5" s="201">
        <v>1</v>
      </c>
      <c r="P5" s="201">
        <v>1300</v>
      </c>
      <c r="Q5" s="201">
        <v>1056</v>
      </c>
      <c r="R5" s="201">
        <v>0</v>
      </c>
      <c r="S5" s="201">
        <v>0</v>
      </c>
      <c r="T5" s="201">
        <v>2439</v>
      </c>
      <c r="U5" s="201">
        <v>14</v>
      </c>
      <c r="V5" s="201">
        <v>0</v>
      </c>
      <c r="W5" s="201">
        <v>0</v>
      </c>
      <c r="X5" s="201">
        <v>0</v>
      </c>
      <c r="Y5" s="201">
        <v>1</v>
      </c>
      <c r="Z5" s="201">
        <v>0</v>
      </c>
      <c r="AA5" s="61"/>
      <c r="AB5" s="201">
        <v>0</v>
      </c>
      <c r="AC5" s="61"/>
      <c r="AD5" s="201">
        <v>6.1760000000000002</v>
      </c>
      <c r="AE5" s="61"/>
      <c r="AF5" s="61"/>
      <c r="AG5" s="61"/>
      <c r="AH5" s="61"/>
      <c r="AI5" s="61"/>
      <c r="AJ5" s="61"/>
      <c r="AK5" s="61"/>
      <c r="AL5" s="291">
        <v>20</v>
      </c>
      <c r="AM5" s="201">
        <v>17</v>
      </c>
      <c r="AN5" s="201">
        <v>12</v>
      </c>
      <c r="AO5" s="61"/>
      <c r="AP5" s="61"/>
      <c r="AQ5" s="61"/>
      <c r="AR5" s="61"/>
      <c r="AS5" s="101" t="s">
        <v>153</v>
      </c>
      <c r="AT5" s="206" t="str">
        <f t="shared" si="0"/>
        <v>44119-4</v>
      </c>
    </row>
    <row r="6" spans="1:46" s="6" customFormat="1" x14ac:dyDescent="0.35">
      <c r="A6" s="204">
        <v>5</v>
      </c>
      <c r="B6" s="14" t="s">
        <v>73</v>
      </c>
      <c r="C6" s="1" t="s">
        <v>154</v>
      </c>
      <c r="D6" s="1" t="s">
        <v>150</v>
      </c>
      <c r="E6" s="12">
        <v>44119</v>
      </c>
      <c r="F6" s="201">
        <v>0</v>
      </c>
      <c r="G6" s="201">
        <v>0</v>
      </c>
      <c r="H6" s="201">
        <v>0</v>
      </c>
      <c r="I6" s="201">
        <v>0</v>
      </c>
      <c r="J6" s="201">
        <v>0</v>
      </c>
      <c r="K6" s="201">
        <v>0</v>
      </c>
      <c r="L6" s="201">
        <v>0</v>
      </c>
      <c r="M6" s="201">
        <v>8</v>
      </c>
      <c r="N6" s="201">
        <v>1</v>
      </c>
      <c r="O6" s="201">
        <v>0</v>
      </c>
      <c r="P6" s="201">
        <v>1414</v>
      </c>
      <c r="Q6" s="201">
        <v>1128</v>
      </c>
      <c r="R6" s="201">
        <v>0</v>
      </c>
      <c r="S6" s="201">
        <v>0</v>
      </c>
      <c r="T6" s="201">
        <v>911</v>
      </c>
      <c r="U6" s="201">
        <v>1505</v>
      </c>
      <c r="V6" s="201">
        <v>0</v>
      </c>
      <c r="W6" s="201">
        <v>1</v>
      </c>
      <c r="X6" s="201">
        <v>0</v>
      </c>
      <c r="Y6" s="201">
        <v>41</v>
      </c>
      <c r="Z6" s="201">
        <v>0</v>
      </c>
      <c r="AA6" s="61"/>
      <c r="AB6" s="201">
        <v>0</v>
      </c>
      <c r="AC6" s="61"/>
      <c r="AD6" s="201">
        <v>14.53</v>
      </c>
      <c r="AE6" s="61">
        <v>107</v>
      </c>
      <c r="AF6" s="61"/>
      <c r="AG6" s="61"/>
      <c r="AH6" s="61"/>
      <c r="AI6" s="61"/>
      <c r="AJ6" s="61"/>
      <c r="AK6" s="61"/>
      <c r="AL6" s="291">
        <v>23</v>
      </c>
      <c r="AM6" s="201">
        <v>20</v>
      </c>
      <c r="AN6" s="201">
        <v>1</v>
      </c>
      <c r="AO6" s="61"/>
      <c r="AP6" s="61"/>
      <c r="AQ6" s="61"/>
      <c r="AR6" s="61"/>
      <c r="AS6" s="101" t="s">
        <v>153</v>
      </c>
      <c r="AT6" s="206" t="str">
        <f t="shared" si="0"/>
        <v>44119-5</v>
      </c>
    </row>
    <row r="7" spans="1:46" s="6" customFormat="1" x14ac:dyDescent="0.35">
      <c r="A7" s="204">
        <v>6</v>
      </c>
      <c r="B7" s="14" t="s">
        <v>73</v>
      </c>
      <c r="C7" s="1" t="s">
        <v>155</v>
      </c>
      <c r="D7" s="1" t="s">
        <v>150</v>
      </c>
      <c r="E7" s="12">
        <v>44119</v>
      </c>
      <c r="F7" s="201">
        <v>1</v>
      </c>
      <c r="G7" s="201">
        <v>1</v>
      </c>
      <c r="H7" s="201"/>
      <c r="I7" s="201">
        <v>0</v>
      </c>
      <c r="J7" s="201">
        <v>1</v>
      </c>
      <c r="K7" s="201"/>
      <c r="L7" s="201">
        <v>0</v>
      </c>
      <c r="M7" s="201">
        <v>9</v>
      </c>
      <c r="N7" s="201">
        <v>2</v>
      </c>
      <c r="O7" s="201">
        <v>1</v>
      </c>
      <c r="P7" s="201">
        <v>1319</v>
      </c>
      <c r="Q7" s="201">
        <v>863</v>
      </c>
      <c r="R7" s="201">
        <v>0</v>
      </c>
      <c r="S7" s="201"/>
      <c r="T7" s="201">
        <v>2060</v>
      </c>
      <c r="U7" s="201">
        <v>17</v>
      </c>
      <c r="V7" s="201">
        <v>0</v>
      </c>
      <c r="W7" s="201">
        <v>0</v>
      </c>
      <c r="X7" s="201">
        <v>0</v>
      </c>
      <c r="Y7" s="201">
        <v>2</v>
      </c>
      <c r="Z7" s="201"/>
      <c r="AA7" s="61"/>
      <c r="AB7" s="201"/>
      <c r="AC7" s="61"/>
      <c r="AD7" s="201">
        <v>24.42</v>
      </c>
      <c r="AE7" s="61">
        <v>344.1</v>
      </c>
      <c r="AF7" s="61"/>
      <c r="AG7" s="61"/>
      <c r="AH7" s="61"/>
      <c r="AI7" s="61"/>
      <c r="AJ7" s="61"/>
      <c r="AK7" s="61"/>
      <c r="AL7" s="291">
        <v>21</v>
      </c>
      <c r="AM7" s="201">
        <v>17</v>
      </c>
      <c r="AN7" s="201">
        <v>11</v>
      </c>
      <c r="AO7" s="61"/>
      <c r="AP7" s="61"/>
      <c r="AQ7" s="61"/>
      <c r="AR7" s="61"/>
      <c r="AS7" s="101" t="s">
        <v>156</v>
      </c>
      <c r="AT7" s="206" t="str">
        <f t="shared" si="0"/>
        <v>44119-6</v>
      </c>
    </row>
    <row r="8" spans="1:46" s="6" customFormat="1" x14ac:dyDescent="0.35">
      <c r="A8" s="204">
        <v>7</v>
      </c>
      <c r="B8" s="14" t="s">
        <v>82</v>
      </c>
      <c r="C8" s="1" t="s">
        <v>146</v>
      </c>
      <c r="D8" s="1" t="s">
        <v>147</v>
      </c>
      <c r="E8" s="12">
        <v>44126</v>
      </c>
      <c r="F8" s="201">
        <v>2</v>
      </c>
      <c r="G8" s="201">
        <v>2</v>
      </c>
      <c r="H8" s="201">
        <v>0</v>
      </c>
      <c r="I8" s="201">
        <v>0</v>
      </c>
      <c r="J8" s="201">
        <v>0</v>
      </c>
      <c r="K8" s="201">
        <v>0</v>
      </c>
      <c r="L8" s="201">
        <v>0</v>
      </c>
      <c r="M8" s="201">
        <v>13</v>
      </c>
      <c r="N8" s="201">
        <v>2</v>
      </c>
      <c r="O8" s="201">
        <v>1</v>
      </c>
      <c r="P8" s="201">
        <v>1154</v>
      </c>
      <c r="Q8" s="201">
        <v>899</v>
      </c>
      <c r="R8" s="201">
        <v>2</v>
      </c>
      <c r="S8" s="201">
        <v>0</v>
      </c>
      <c r="T8" s="201">
        <v>3171</v>
      </c>
      <c r="U8" s="201">
        <v>15</v>
      </c>
      <c r="V8" s="201">
        <v>0</v>
      </c>
      <c r="W8" s="201">
        <v>0</v>
      </c>
      <c r="X8" s="201">
        <v>1</v>
      </c>
      <c r="Y8" s="201">
        <v>0</v>
      </c>
      <c r="Z8" s="201"/>
      <c r="AA8" s="61">
        <v>0</v>
      </c>
      <c r="AB8" s="201">
        <v>0</v>
      </c>
      <c r="AC8" s="61">
        <v>0</v>
      </c>
      <c r="AD8" s="201">
        <v>18.8</v>
      </c>
      <c r="AE8" s="61"/>
      <c r="AF8" s="61">
        <v>6.4</v>
      </c>
      <c r="AG8" s="61">
        <v>13.6</v>
      </c>
      <c r="AH8" s="61">
        <v>4</v>
      </c>
      <c r="AI8" s="61"/>
      <c r="AJ8" s="61"/>
      <c r="AK8" s="61">
        <v>1.7</v>
      </c>
      <c r="AL8" s="291">
        <v>22</v>
      </c>
      <c r="AM8" s="201">
        <v>21</v>
      </c>
      <c r="AN8" s="201">
        <v>12</v>
      </c>
      <c r="AO8" s="61">
        <v>0</v>
      </c>
      <c r="AP8" s="61">
        <v>9.4</v>
      </c>
      <c r="AQ8" s="61"/>
      <c r="AR8" s="61">
        <v>16.100000000000001</v>
      </c>
      <c r="AS8" s="101" t="s">
        <v>148</v>
      </c>
      <c r="AT8" s="206" t="str">
        <f t="shared" si="0"/>
        <v>44126-7</v>
      </c>
    </row>
    <row r="9" spans="1:46" s="6" customFormat="1" x14ac:dyDescent="0.35">
      <c r="A9" s="204">
        <v>8</v>
      </c>
      <c r="B9" s="14" t="s">
        <v>82</v>
      </c>
      <c r="C9" s="1" t="s">
        <v>146</v>
      </c>
      <c r="D9" s="1" t="s">
        <v>147</v>
      </c>
      <c r="E9" s="12">
        <v>44157</v>
      </c>
      <c r="F9" s="201">
        <v>2</v>
      </c>
      <c r="G9" s="201">
        <v>1</v>
      </c>
      <c r="H9" s="201">
        <v>0</v>
      </c>
      <c r="I9" s="201">
        <v>0</v>
      </c>
      <c r="J9" s="201">
        <v>0</v>
      </c>
      <c r="K9" s="201">
        <v>0</v>
      </c>
      <c r="L9" s="201">
        <v>0</v>
      </c>
      <c r="M9" s="201">
        <v>17</v>
      </c>
      <c r="N9" s="201">
        <v>2</v>
      </c>
      <c r="O9" s="201">
        <v>1</v>
      </c>
      <c r="P9" s="201">
        <v>1152</v>
      </c>
      <c r="Q9" s="201">
        <v>983</v>
      </c>
      <c r="R9" s="201">
        <v>1</v>
      </c>
      <c r="S9" s="201">
        <v>0</v>
      </c>
      <c r="T9" s="201">
        <v>3240</v>
      </c>
      <c r="U9" s="201">
        <v>14</v>
      </c>
      <c r="V9" s="201">
        <v>0</v>
      </c>
      <c r="W9" s="201">
        <v>0</v>
      </c>
      <c r="X9" s="201">
        <v>0</v>
      </c>
      <c r="Y9" s="201">
        <v>0</v>
      </c>
      <c r="Z9" s="201"/>
      <c r="AA9" s="61">
        <v>0</v>
      </c>
      <c r="AB9" s="201">
        <v>0</v>
      </c>
      <c r="AC9" s="61">
        <v>0</v>
      </c>
      <c r="AD9" s="201">
        <v>18.7</v>
      </c>
      <c r="AE9" s="61"/>
      <c r="AF9" s="61">
        <v>6.8</v>
      </c>
      <c r="AG9" s="61">
        <v>14.4</v>
      </c>
      <c r="AH9" s="61">
        <v>4.2</v>
      </c>
      <c r="AI9" s="61"/>
      <c r="AJ9" s="61"/>
      <c r="AK9" s="61">
        <v>1.9</v>
      </c>
      <c r="AL9" s="291">
        <v>22</v>
      </c>
      <c r="AM9" s="201">
        <v>21</v>
      </c>
      <c r="AN9" s="201">
        <v>13</v>
      </c>
      <c r="AO9" s="61">
        <v>0</v>
      </c>
      <c r="AP9" s="61">
        <v>10.6</v>
      </c>
      <c r="AQ9" s="61"/>
      <c r="AR9" s="61">
        <v>17.100000000000001</v>
      </c>
      <c r="AS9" s="101" t="s">
        <v>148</v>
      </c>
      <c r="AT9" s="206" t="str">
        <f t="shared" si="0"/>
        <v>44157-8</v>
      </c>
    </row>
    <row r="10" spans="1:46" x14ac:dyDescent="0.35">
      <c r="A10" s="204">
        <v>9</v>
      </c>
      <c r="B10" s="14" t="s">
        <v>73</v>
      </c>
      <c r="C10" s="1" t="s">
        <v>157</v>
      </c>
      <c r="D10" s="1" t="s">
        <v>150</v>
      </c>
      <c r="E10" s="12">
        <v>44174</v>
      </c>
      <c r="F10" s="201">
        <v>0</v>
      </c>
      <c r="G10" s="201">
        <v>0</v>
      </c>
      <c r="H10" s="201">
        <v>0</v>
      </c>
      <c r="I10" s="201">
        <v>0</v>
      </c>
      <c r="J10" s="201">
        <v>1</v>
      </c>
      <c r="K10" s="201">
        <v>0</v>
      </c>
      <c r="L10" s="201">
        <v>0</v>
      </c>
      <c r="M10" s="201">
        <v>11</v>
      </c>
      <c r="N10" s="201">
        <v>0</v>
      </c>
      <c r="O10" s="201">
        <v>0</v>
      </c>
      <c r="P10" s="201">
        <v>2</v>
      </c>
      <c r="Q10" s="201">
        <v>244</v>
      </c>
      <c r="R10" s="201">
        <v>29</v>
      </c>
      <c r="S10" s="201">
        <v>0</v>
      </c>
      <c r="T10" s="201">
        <v>0</v>
      </c>
      <c r="U10" s="201">
        <v>1</v>
      </c>
      <c r="V10" s="201">
        <v>0</v>
      </c>
      <c r="W10" s="201">
        <v>0</v>
      </c>
      <c r="X10" s="201">
        <v>0</v>
      </c>
      <c r="Y10" s="201">
        <v>0</v>
      </c>
      <c r="Z10" s="201">
        <v>0</v>
      </c>
      <c r="AA10" s="61"/>
      <c r="AB10" s="201">
        <v>0</v>
      </c>
      <c r="AC10" s="61"/>
      <c r="AD10" s="201">
        <v>75.39</v>
      </c>
      <c r="AE10" s="61"/>
      <c r="AF10" s="61"/>
      <c r="AG10" s="61"/>
      <c r="AH10" s="61"/>
      <c r="AI10" s="61"/>
      <c r="AJ10" s="61"/>
      <c r="AK10" s="61"/>
      <c r="AL10" s="291">
        <v>22</v>
      </c>
      <c r="AM10" s="201">
        <v>20</v>
      </c>
      <c r="AN10" s="201">
        <v>16</v>
      </c>
      <c r="AO10" s="61"/>
      <c r="AP10" s="61"/>
      <c r="AQ10" s="61"/>
      <c r="AR10" s="61"/>
      <c r="AS10" s="101" t="s">
        <v>158</v>
      </c>
      <c r="AT10" s="206" t="str">
        <f t="shared" si="0"/>
        <v>44174-9</v>
      </c>
    </row>
    <row r="11" spans="1:46" x14ac:dyDescent="0.35">
      <c r="A11" s="204">
        <v>10</v>
      </c>
      <c r="B11" s="14" t="s">
        <v>73</v>
      </c>
      <c r="C11" s="1" t="s">
        <v>155</v>
      </c>
      <c r="D11" s="1" t="s">
        <v>150</v>
      </c>
      <c r="E11" s="12">
        <v>44212</v>
      </c>
      <c r="F11" s="201">
        <v>0</v>
      </c>
      <c r="G11" s="201">
        <v>0</v>
      </c>
      <c r="H11" s="201"/>
      <c r="I11" s="201">
        <v>1</v>
      </c>
      <c r="J11" s="201">
        <v>0</v>
      </c>
      <c r="K11" s="201"/>
      <c r="L11" s="201">
        <v>0</v>
      </c>
      <c r="M11" s="201">
        <v>2</v>
      </c>
      <c r="N11" s="201">
        <v>4</v>
      </c>
      <c r="O11" s="201">
        <v>0</v>
      </c>
      <c r="P11" s="201">
        <v>0</v>
      </c>
      <c r="Q11" s="201">
        <v>83</v>
      </c>
      <c r="R11" s="201">
        <v>46</v>
      </c>
      <c r="S11" s="201"/>
      <c r="T11" s="201">
        <v>170</v>
      </c>
      <c r="U11" s="201">
        <v>1</v>
      </c>
      <c r="V11" s="201">
        <v>1</v>
      </c>
      <c r="W11" s="201">
        <v>0</v>
      </c>
      <c r="X11" s="201">
        <v>0</v>
      </c>
      <c r="Y11" s="201">
        <v>0</v>
      </c>
      <c r="Z11" s="201"/>
      <c r="AA11" s="61"/>
      <c r="AB11" s="201"/>
      <c r="AC11" s="61"/>
      <c r="AD11" s="201">
        <v>25.3</v>
      </c>
      <c r="AE11" s="61">
        <v>0</v>
      </c>
      <c r="AF11" s="61"/>
      <c r="AG11" s="61"/>
      <c r="AH11" s="61"/>
      <c r="AI11" s="61"/>
      <c r="AJ11" s="61"/>
      <c r="AK11" s="61"/>
      <c r="AL11" s="291"/>
      <c r="AM11" s="201"/>
      <c r="AN11" s="201"/>
      <c r="AO11" s="61"/>
      <c r="AP11" s="61"/>
      <c r="AQ11" s="61"/>
      <c r="AR11" s="61"/>
      <c r="AS11" s="101" t="s">
        <v>159</v>
      </c>
      <c r="AT11" s="206" t="str">
        <f t="shared" si="0"/>
        <v>44212-10</v>
      </c>
    </row>
    <row r="12" spans="1:46" x14ac:dyDescent="0.35">
      <c r="A12" s="204">
        <v>11</v>
      </c>
      <c r="B12" s="14" t="s">
        <v>73</v>
      </c>
      <c r="C12" s="1" t="s">
        <v>155</v>
      </c>
      <c r="D12" s="1" t="s">
        <v>150</v>
      </c>
      <c r="E12" s="12">
        <v>44212</v>
      </c>
      <c r="F12" s="201">
        <v>1</v>
      </c>
      <c r="G12" s="201">
        <v>0</v>
      </c>
      <c r="H12" s="201"/>
      <c r="I12" s="201">
        <v>1</v>
      </c>
      <c r="J12" s="201">
        <v>0</v>
      </c>
      <c r="K12" s="201"/>
      <c r="L12" s="201">
        <v>1</v>
      </c>
      <c r="M12" s="201">
        <v>2</v>
      </c>
      <c r="N12" s="201">
        <v>4</v>
      </c>
      <c r="O12" s="201">
        <v>0</v>
      </c>
      <c r="P12" s="201">
        <v>0</v>
      </c>
      <c r="Q12" s="201">
        <v>92</v>
      </c>
      <c r="R12" s="201">
        <v>46</v>
      </c>
      <c r="S12" s="201"/>
      <c r="T12" s="201">
        <v>164</v>
      </c>
      <c r="U12" s="201">
        <v>1</v>
      </c>
      <c r="V12" s="201">
        <v>1</v>
      </c>
      <c r="W12" s="201">
        <v>0</v>
      </c>
      <c r="X12" s="201">
        <v>1</v>
      </c>
      <c r="Y12" s="201">
        <v>0</v>
      </c>
      <c r="Z12" s="201"/>
      <c r="AA12" s="61"/>
      <c r="AB12" s="201"/>
      <c r="AC12" s="61"/>
      <c r="AD12" s="201">
        <v>25.58</v>
      </c>
      <c r="AE12" s="61">
        <v>0</v>
      </c>
      <c r="AF12" s="61"/>
      <c r="AG12" s="61"/>
      <c r="AH12" s="61"/>
      <c r="AI12" s="61"/>
      <c r="AJ12" s="61"/>
      <c r="AK12" s="61"/>
      <c r="AL12" s="291"/>
      <c r="AM12" s="201"/>
      <c r="AN12" s="201"/>
      <c r="AO12" s="61"/>
      <c r="AP12" s="61"/>
      <c r="AQ12" s="61"/>
      <c r="AR12" s="61"/>
      <c r="AS12" s="101" t="s">
        <v>159</v>
      </c>
      <c r="AT12" s="206" t="str">
        <f t="shared" si="0"/>
        <v>44212-11</v>
      </c>
    </row>
    <row r="13" spans="1:46" x14ac:dyDescent="0.35">
      <c r="A13" s="204">
        <v>12</v>
      </c>
      <c r="B13" s="14" t="s">
        <v>73</v>
      </c>
      <c r="C13" s="1" t="s">
        <v>155</v>
      </c>
      <c r="D13" s="1" t="s">
        <v>150</v>
      </c>
      <c r="E13" s="12">
        <v>44212</v>
      </c>
      <c r="F13" s="201">
        <v>0</v>
      </c>
      <c r="G13" s="201">
        <v>0</v>
      </c>
      <c r="H13" s="201"/>
      <c r="I13" s="201">
        <v>1</v>
      </c>
      <c r="J13" s="201">
        <v>0</v>
      </c>
      <c r="K13" s="201"/>
      <c r="L13" s="201">
        <v>1</v>
      </c>
      <c r="M13" s="201">
        <v>2</v>
      </c>
      <c r="N13" s="201">
        <v>4</v>
      </c>
      <c r="O13" s="201">
        <v>0</v>
      </c>
      <c r="P13" s="201">
        <v>0</v>
      </c>
      <c r="Q13" s="201">
        <v>89</v>
      </c>
      <c r="R13" s="201">
        <v>45</v>
      </c>
      <c r="S13" s="201"/>
      <c r="T13" s="201">
        <v>162</v>
      </c>
      <c r="U13" s="201">
        <v>1</v>
      </c>
      <c r="V13" s="201">
        <v>1</v>
      </c>
      <c r="W13" s="201">
        <v>0</v>
      </c>
      <c r="X13" s="201">
        <v>1</v>
      </c>
      <c r="Y13" s="201">
        <v>0</v>
      </c>
      <c r="Z13" s="201"/>
      <c r="AA13" s="61"/>
      <c r="AB13" s="201"/>
      <c r="AC13" s="61"/>
      <c r="AD13" s="201">
        <v>25.23</v>
      </c>
      <c r="AE13" s="61">
        <v>0</v>
      </c>
      <c r="AF13" s="61"/>
      <c r="AG13" s="61"/>
      <c r="AH13" s="61"/>
      <c r="AI13" s="61"/>
      <c r="AJ13" s="61"/>
      <c r="AK13" s="61"/>
      <c r="AL13" s="291"/>
      <c r="AM13" s="201"/>
      <c r="AN13" s="201"/>
      <c r="AO13" s="61"/>
      <c r="AP13" s="61"/>
      <c r="AQ13" s="61"/>
      <c r="AR13" s="61"/>
      <c r="AS13" s="101" t="s">
        <v>159</v>
      </c>
      <c r="AT13" s="206" t="str">
        <f t="shared" si="0"/>
        <v>44212-12</v>
      </c>
    </row>
    <row r="14" spans="1:46" x14ac:dyDescent="0.35">
      <c r="A14" s="204">
        <v>13</v>
      </c>
      <c r="B14" s="14" t="s">
        <v>83</v>
      </c>
      <c r="C14" s="1" t="s">
        <v>160</v>
      </c>
      <c r="D14" s="1" t="s">
        <v>161</v>
      </c>
      <c r="E14" s="12">
        <v>44234</v>
      </c>
      <c r="F14" s="201">
        <v>1.4</v>
      </c>
      <c r="G14" s="201">
        <v>1.2</v>
      </c>
      <c r="H14" s="201">
        <v>0</v>
      </c>
      <c r="I14" s="201">
        <v>0</v>
      </c>
      <c r="J14" s="201">
        <v>0</v>
      </c>
      <c r="K14" s="201">
        <v>0</v>
      </c>
      <c r="L14" s="201"/>
      <c r="M14" s="201">
        <v>8.5</v>
      </c>
      <c r="N14" s="201">
        <v>0</v>
      </c>
      <c r="O14" s="201">
        <v>2.1</v>
      </c>
      <c r="P14" s="201">
        <v>1147.2</v>
      </c>
      <c r="Q14" s="201">
        <v>1351.8</v>
      </c>
      <c r="R14" s="201"/>
      <c r="S14" s="201"/>
      <c r="T14" s="201">
        <v>2170.6</v>
      </c>
      <c r="U14" s="201">
        <v>458.2</v>
      </c>
      <c r="V14" s="201"/>
      <c r="W14" s="201"/>
      <c r="X14" s="201"/>
      <c r="Y14" s="201"/>
      <c r="Z14" s="201"/>
      <c r="AA14" s="61"/>
      <c r="AB14" s="201"/>
      <c r="AC14" s="61"/>
      <c r="AD14" s="201">
        <v>15.3</v>
      </c>
      <c r="AE14" s="61"/>
      <c r="AF14" s="61">
        <v>0</v>
      </c>
      <c r="AG14" s="61"/>
      <c r="AH14" s="61"/>
      <c r="AI14" s="61"/>
      <c r="AJ14" s="61"/>
      <c r="AK14" s="61"/>
      <c r="AL14" s="291">
        <v>23</v>
      </c>
      <c r="AM14" s="201">
        <v>21</v>
      </c>
      <c r="AN14" s="201">
        <v>13</v>
      </c>
      <c r="AO14" s="61"/>
      <c r="AP14" s="61"/>
      <c r="AQ14" s="61"/>
      <c r="AR14" s="61"/>
      <c r="AS14" s="101" t="s">
        <v>162</v>
      </c>
      <c r="AT14" s="206" t="str">
        <f t="shared" si="0"/>
        <v>44234-13</v>
      </c>
    </row>
    <row r="15" spans="1:46" x14ac:dyDescent="0.35">
      <c r="A15" s="204">
        <v>14</v>
      </c>
      <c r="B15" s="14" t="s">
        <v>83</v>
      </c>
      <c r="C15" s="1" t="s">
        <v>152</v>
      </c>
      <c r="D15" s="1" t="s">
        <v>161</v>
      </c>
      <c r="E15" s="12">
        <v>44234</v>
      </c>
      <c r="F15" s="201">
        <v>1.8</v>
      </c>
      <c r="G15" s="201">
        <v>0.9</v>
      </c>
      <c r="H15" s="201">
        <v>0.1</v>
      </c>
      <c r="I15" s="201">
        <v>0</v>
      </c>
      <c r="J15" s="201">
        <v>0</v>
      </c>
      <c r="K15" s="201">
        <v>0</v>
      </c>
      <c r="L15" s="201"/>
      <c r="M15" s="201">
        <v>3.6</v>
      </c>
      <c r="N15" s="201">
        <v>2.6</v>
      </c>
      <c r="O15" s="201">
        <v>1.1000000000000001</v>
      </c>
      <c r="P15" s="201">
        <v>1150.5</v>
      </c>
      <c r="Q15" s="201">
        <v>1238.2</v>
      </c>
      <c r="R15" s="201"/>
      <c r="S15" s="201"/>
      <c r="T15" s="201">
        <v>2912.1</v>
      </c>
      <c r="U15" s="201">
        <v>10.9</v>
      </c>
      <c r="V15" s="201"/>
      <c r="W15" s="201"/>
      <c r="X15" s="201"/>
      <c r="Y15" s="201"/>
      <c r="Z15" s="201"/>
      <c r="AA15" s="61"/>
      <c r="AB15" s="201"/>
      <c r="AC15" s="61"/>
      <c r="AD15" s="201">
        <v>6</v>
      </c>
      <c r="AE15" s="61"/>
      <c r="AF15" s="61">
        <v>0</v>
      </c>
      <c r="AG15" s="61"/>
      <c r="AH15" s="61"/>
      <c r="AI15" s="61"/>
      <c r="AJ15" s="61"/>
      <c r="AK15" s="61"/>
      <c r="AL15" s="291">
        <v>20</v>
      </c>
      <c r="AM15" s="201">
        <v>18</v>
      </c>
      <c r="AN15" s="201">
        <v>14</v>
      </c>
      <c r="AO15" s="61"/>
      <c r="AP15" s="61"/>
      <c r="AQ15" s="61"/>
      <c r="AR15" s="61"/>
      <c r="AS15" s="101" t="s">
        <v>163</v>
      </c>
      <c r="AT15" s="206" t="str">
        <f t="shared" si="0"/>
        <v>44234-14</v>
      </c>
    </row>
    <row r="16" spans="1:46" x14ac:dyDescent="0.35">
      <c r="A16" s="204">
        <v>15</v>
      </c>
      <c r="B16" s="14" t="s">
        <v>83</v>
      </c>
      <c r="C16" s="1" t="s">
        <v>160</v>
      </c>
      <c r="D16" s="1" t="s">
        <v>161</v>
      </c>
      <c r="E16" s="12">
        <v>44234</v>
      </c>
      <c r="F16" s="201">
        <v>1.3</v>
      </c>
      <c r="G16" s="201">
        <v>1.3</v>
      </c>
      <c r="H16" s="201">
        <v>0.1</v>
      </c>
      <c r="I16" s="201">
        <v>0</v>
      </c>
      <c r="J16" s="201">
        <v>0</v>
      </c>
      <c r="K16" s="201">
        <v>0</v>
      </c>
      <c r="L16" s="201"/>
      <c r="M16" s="201">
        <v>8.3000000000000007</v>
      </c>
      <c r="N16" s="201">
        <v>0.4</v>
      </c>
      <c r="O16" s="201">
        <v>1.6</v>
      </c>
      <c r="P16" s="201">
        <v>1139.7</v>
      </c>
      <c r="Q16" s="201">
        <v>1297.5</v>
      </c>
      <c r="R16" s="201"/>
      <c r="S16" s="201"/>
      <c r="T16" s="201">
        <v>2177.9</v>
      </c>
      <c r="U16" s="201">
        <v>445.2</v>
      </c>
      <c r="V16" s="201"/>
      <c r="W16" s="201"/>
      <c r="X16" s="201"/>
      <c r="Y16" s="201"/>
      <c r="Z16" s="201"/>
      <c r="AA16" s="61"/>
      <c r="AB16" s="201"/>
      <c r="AC16" s="61"/>
      <c r="AD16" s="201">
        <v>15.3</v>
      </c>
      <c r="AE16" s="61"/>
      <c r="AF16" s="61">
        <v>0</v>
      </c>
      <c r="AG16" s="61"/>
      <c r="AH16" s="61"/>
      <c r="AI16" s="61"/>
      <c r="AJ16" s="61"/>
      <c r="AK16" s="61"/>
      <c r="AL16" s="291">
        <v>23</v>
      </c>
      <c r="AM16" s="201">
        <v>22</v>
      </c>
      <c r="AN16" s="201">
        <v>14</v>
      </c>
      <c r="AO16" s="61"/>
      <c r="AP16" s="61"/>
      <c r="AQ16" s="61"/>
      <c r="AR16" s="61"/>
      <c r="AS16" s="101" t="s">
        <v>164</v>
      </c>
      <c r="AT16" s="206" t="str">
        <f t="shared" si="0"/>
        <v>44234-15</v>
      </c>
    </row>
    <row r="17" spans="1:46" x14ac:dyDescent="0.35">
      <c r="A17" s="204">
        <v>16</v>
      </c>
      <c r="B17" s="14" t="s">
        <v>73</v>
      </c>
      <c r="C17" s="1" t="s">
        <v>157</v>
      </c>
      <c r="D17" s="1" t="s">
        <v>150</v>
      </c>
      <c r="E17" s="12">
        <v>44252</v>
      </c>
      <c r="F17" s="201">
        <v>0</v>
      </c>
      <c r="G17" s="201">
        <v>1</v>
      </c>
      <c r="H17" s="201">
        <v>0</v>
      </c>
      <c r="I17" s="201">
        <v>0</v>
      </c>
      <c r="J17" s="201">
        <v>2</v>
      </c>
      <c r="K17" s="201">
        <v>0</v>
      </c>
      <c r="L17" s="201">
        <v>0</v>
      </c>
      <c r="M17" s="201">
        <v>22</v>
      </c>
      <c r="N17" s="201">
        <v>0</v>
      </c>
      <c r="O17" s="201">
        <v>0</v>
      </c>
      <c r="P17" s="201">
        <v>21</v>
      </c>
      <c r="Q17" s="201">
        <v>254</v>
      </c>
      <c r="R17" s="201">
        <v>35</v>
      </c>
      <c r="S17" s="201">
        <v>0</v>
      </c>
      <c r="T17" s="201">
        <v>29</v>
      </c>
      <c r="U17" s="201">
        <v>0</v>
      </c>
      <c r="V17" s="201">
        <v>0</v>
      </c>
      <c r="W17" s="201">
        <v>0</v>
      </c>
      <c r="X17" s="201">
        <v>0</v>
      </c>
      <c r="Y17" s="201">
        <v>1</v>
      </c>
      <c r="Z17" s="201">
        <v>0</v>
      </c>
      <c r="AA17" s="61"/>
      <c r="AB17" s="201">
        <v>0</v>
      </c>
      <c r="AC17" s="61"/>
      <c r="AD17" s="201">
        <v>74.03</v>
      </c>
      <c r="AE17" s="61"/>
      <c r="AF17" s="61"/>
      <c r="AG17" s="61"/>
      <c r="AH17" s="61"/>
      <c r="AI17" s="61"/>
      <c r="AJ17" s="61"/>
      <c r="AK17" s="61"/>
      <c r="AL17" s="291">
        <v>17</v>
      </c>
      <c r="AM17" s="201">
        <v>16</v>
      </c>
      <c r="AN17" s="201">
        <v>14</v>
      </c>
      <c r="AO17" s="61"/>
      <c r="AP17" s="61"/>
      <c r="AQ17" s="61"/>
      <c r="AR17" s="61"/>
      <c r="AS17" s="101" t="s">
        <v>165</v>
      </c>
      <c r="AT17" s="206" t="str">
        <f t="shared" si="0"/>
        <v>44252-16</v>
      </c>
    </row>
    <row r="18" spans="1:46" x14ac:dyDescent="0.35">
      <c r="A18" s="204">
        <v>17</v>
      </c>
      <c r="B18" s="14" t="s">
        <v>73</v>
      </c>
      <c r="C18" s="1" t="s">
        <v>157</v>
      </c>
      <c r="D18" s="1" t="s">
        <v>150</v>
      </c>
      <c r="E18" s="12">
        <v>44252</v>
      </c>
      <c r="F18" s="201">
        <v>0</v>
      </c>
      <c r="G18" s="201">
        <v>0</v>
      </c>
      <c r="H18" s="201">
        <v>0</v>
      </c>
      <c r="I18" s="201">
        <v>0</v>
      </c>
      <c r="J18" s="201">
        <v>1</v>
      </c>
      <c r="K18" s="201">
        <v>0</v>
      </c>
      <c r="L18" s="201">
        <v>0</v>
      </c>
      <c r="M18" s="201">
        <v>22</v>
      </c>
      <c r="N18" s="201">
        <v>0</v>
      </c>
      <c r="O18" s="201">
        <v>0</v>
      </c>
      <c r="P18" s="201">
        <v>0</v>
      </c>
      <c r="Q18" s="201">
        <v>250</v>
      </c>
      <c r="R18" s="201">
        <v>34</v>
      </c>
      <c r="S18" s="201">
        <v>0</v>
      </c>
      <c r="T18" s="201">
        <v>0</v>
      </c>
      <c r="U18" s="201">
        <v>0</v>
      </c>
      <c r="V18" s="201">
        <v>0</v>
      </c>
      <c r="W18" s="201">
        <v>0</v>
      </c>
      <c r="X18" s="201">
        <v>0</v>
      </c>
      <c r="Y18" s="201">
        <v>0</v>
      </c>
      <c r="Z18" s="201">
        <v>0</v>
      </c>
      <c r="AA18" s="61"/>
      <c r="AB18" s="201">
        <v>0</v>
      </c>
      <c r="AC18" s="61"/>
      <c r="AD18" s="201">
        <v>73.5</v>
      </c>
      <c r="AE18" s="61"/>
      <c r="AF18" s="61"/>
      <c r="AG18" s="61"/>
      <c r="AH18" s="61"/>
      <c r="AI18" s="61"/>
      <c r="AJ18" s="61"/>
      <c r="AK18" s="61"/>
      <c r="AL18" s="291">
        <v>19</v>
      </c>
      <c r="AM18" s="201">
        <v>16</v>
      </c>
      <c r="AN18" s="201">
        <v>13</v>
      </c>
      <c r="AO18" s="61"/>
      <c r="AP18" s="61"/>
      <c r="AQ18" s="61"/>
      <c r="AR18" s="61"/>
      <c r="AS18" s="101" t="s">
        <v>166</v>
      </c>
      <c r="AT18" s="206" t="str">
        <f t="shared" si="0"/>
        <v>44252-17</v>
      </c>
    </row>
    <row r="19" spans="1:46" x14ac:dyDescent="0.35">
      <c r="A19" s="204">
        <v>18</v>
      </c>
      <c r="B19" s="14" t="s">
        <v>73</v>
      </c>
      <c r="C19" s="1" t="s">
        <v>149</v>
      </c>
      <c r="D19" s="1" t="s">
        <v>150</v>
      </c>
      <c r="E19" s="12">
        <v>44252</v>
      </c>
      <c r="F19" s="201">
        <v>2</v>
      </c>
      <c r="G19" s="201">
        <v>1</v>
      </c>
      <c r="H19" s="201">
        <v>0</v>
      </c>
      <c r="I19" s="201">
        <v>0</v>
      </c>
      <c r="J19" s="201">
        <v>0</v>
      </c>
      <c r="K19" s="201">
        <v>0</v>
      </c>
      <c r="L19" s="201">
        <v>0</v>
      </c>
      <c r="M19" s="201">
        <v>7</v>
      </c>
      <c r="N19" s="201">
        <v>3</v>
      </c>
      <c r="O19" s="201">
        <v>1</v>
      </c>
      <c r="P19" s="201">
        <v>1548</v>
      </c>
      <c r="Q19" s="201">
        <v>919</v>
      </c>
      <c r="R19" s="201">
        <v>1</v>
      </c>
      <c r="S19" s="201">
        <v>0</v>
      </c>
      <c r="T19" s="201">
        <v>3676</v>
      </c>
      <c r="U19" s="201">
        <v>18</v>
      </c>
      <c r="V19" s="201">
        <v>0</v>
      </c>
      <c r="W19" s="201">
        <v>0</v>
      </c>
      <c r="X19" s="201">
        <v>0</v>
      </c>
      <c r="Y19" s="201">
        <v>1</v>
      </c>
      <c r="Z19" s="201">
        <v>0</v>
      </c>
      <c r="AA19" s="61"/>
      <c r="AB19" s="201">
        <v>1</v>
      </c>
      <c r="AC19" s="61"/>
      <c r="AD19" s="201">
        <v>18.27</v>
      </c>
      <c r="AE19" s="61"/>
      <c r="AF19" s="61"/>
      <c r="AG19" s="61"/>
      <c r="AH19" s="61"/>
      <c r="AI19" s="61"/>
      <c r="AJ19" s="61"/>
      <c r="AK19" s="61"/>
      <c r="AL19" s="291">
        <v>21</v>
      </c>
      <c r="AM19" s="201">
        <v>18</v>
      </c>
      <c r="AN19" s="201">
        <v>12</v>
      </c>
      <c r="AO19" s="61"/>
      <c r="AP19" s="61"/>
      <c r="AQ19" s="61"/>
      <c r="AR19" s="61"/>
      <c r="AS19" s="101" t="s">
        <v>167</v>
      </c>
      <c r="AT19" s="206" t="str">
        <f t="shared" si="0"/>
        <v>44252-18</v>
      </c>
    </row>
    <row r="20" spans="1:46" x14ac:dyDescent="0.35">
      <c r="A20" s="204">
        <v>19</v>
      </c>
      <c r="B20" s="14" t="s">
        <v>73</v>
      </c>
      <c r="C20" s="1" t="s">
        <v>149</v>
      </c>
      <c r="D20" s="1" t="s">
        <v>150</v>
      </c>
      <c r="E20" s="12">
        <v>44252</v>
      </c>
      <c r="F20" s="201">
        <v>2</v>
      </c>
      <c r="G20" s="201">
        <v>1</v>
      </c>
      <c r="H20" s="201">
        <v>0</v>
      </c>
      <c r="I20" s="201">
        <v>0</v>
      </c>
      <c r="J20" s="201">
        <v>0</v>
      </c>
      <c r="K20" s="201">
        <v>0</v>
      </c>
      <c r="L20" s="201">
        <v>0</v>
      </c>
      <c r="M20" s="201">
        <v>7</v>
      </c>
      <c r="N20" s="201">
        <v>3</v>
      </c>
      <c r="O20" s="201">
        <v>1</v>
      </c>
      <c r="P20" s="201">
        <v>1643</v>
      </c>
      <c r="Q20" s="201">
        <v>966</v>
      </c>
      <c r="R20" s="201">
        <v>1</v>
      </c>
      <c r="S20" s="201">
        <v>0</v>
      </c>
      <c r="T20" s="201">
        <v>3795</v>
      </c>
      <c r="U20" s="201">
        <v>18</v>
      </c>
      <c r="V20" s="201">
        <v>0</v>
      </c>
      <c r="W20" s="201">
        <v>1</v>
      </c>
      <c r="X20" s="201">
        <v>0</v>
      </c>
      <c r="Y20" s="201">
        <v>1</v>
      </c>
      <c r="Z20" s="201">
        <v>0</v>
      </c>
      <c r="AA20" s="61"/>
      <c r="AB20" s="201">
        <v>1</v>
      </c>
      <c r="AC20" s="61"/>
      <c r="AD20" s="201">
        <v>18.21</v>
      </c>
      <c r="AE20" s="61"/>
      <c r="AF20" s="61"/>
      <c r="AG20" s="61"/>
      <c r="AH20" s="61"/>
      <c r="AI20" s="61"/>
      <c r="AJ20" s="61"/>
      <c r="AK20" s="61"/>
      <c r="AL20" s="291">
        <v>21</v>
      </c>
      <c r="AM20" s="201">
        <v>17</v>
      </c>
      <c r="AN20" s="201">
        <v>10</v>
      </c>
      <c r="AO20" s="61"/>
      <c r="AP20" s="61"/>
      <c r="AQ20" s="61"/>
      <c r="AR20" s="61"/>
      <c r="AS20" s="101" t="s">
        <v>168</v>
      </c>
      <c r="AT20" s="206" t="str">
        <f t="shared" si="0"/>
        <v>44252-19</v>
      </c>
    </row>
    <row r="21" spans="1:46" x14ac:dyDescent="0.35">
      <c r="A21" s="204">
        <v>20</v>
      </c>
      <c r="B21" s="14" t="s">
        <v>73</v>
      </c>
      <c r="C21" s="1" t="s">
        <v>152</v>
      </c>
      <c r="D21" s="1" t="s">
        <v>150</v>
      </c>
      <c r="E21" s="12">
        <v>44254</v>
      </c>
      <c r="F21" s="201">
        <v>3</v>
      </c>
      <c r="G21" s="201">
        <v>1</v>
      </c>
      <c r="H21" s="201">
        <v>0</v>
      </c>
      <c r="I21" s="201">
        <v>0</v>
      </c>
      <c r="J21" s="201">
        <v>0</v>
      </c>
      <c r="K21" s="201">
        <v>0</v>
      </c>
      <c r="L21" s="201">
        <v>0</v>
      </c>
      <c r="M21" s="201">
        <v>7</v>
      </c>
      <c r="N21" s="201">
        <v>3</v>
      </c>
      <c r="O21" s="201">
        <v>1</v>
      </c>
      <c r="P21" s="201">
        <v>1832</v>
      </c>
      <c r="Q21" s="201">
        <v>1009</v>
      </c>
      <c r="R21" s="201">
        <v>0</v>
      </c>
      <c r="S21" s="201">
        <v>0</v>
      </c>
      <c r="T21" s="201">
        <v>3506</v>
      </c>
      <c r="U21" s="201">
        <v>17</v>
      </c>
      <c r="V21" s="201">
        <v>0</v>
      </c>
      <c r="W21" s="201">
        <v>0</v>
      </c>
      <c r="X21" s="201">
        <v>0</v>
      </c>
      <c r="Y21" s="201">
        <v>0</v>
      </c>
      <c r="Z21" s="201">
        <v>0</v>
      </c>
      <c r="AA21" s="61"/>
      <c r="AB21" s="201">
        <v>0</v>
      </c>
      <c r="AC21" s="61"/>
      <c r="AD21" s="201">
        <v>5.9409999999999998</v>
      </c>
      <c r="AE21" s="61"/>
      <c r="AF21" s="61"/>
      <c r="AG21" s="61"/>
      <c r="AH21" s="61"/>
      <c r="AI21" s="61"/>
      <c r="AJ21" s="61"/>
      <c r="AK21" s="61"/>
      <c r="AL21" s="291">
        <v>20</v>
      </c>
      <c r="AM21" s="201">
        <v>17</v>
      </c>
      <c r="AN21" s="201">
        <v>11</v>
      </c>
      <c r="AO21" s="61"/>
      <c r="AP21" s="61"/>
      <c r="AQ21" s="61"/>
      <c r="AR21" s="61"/>
      <c r="AS21" s="101" t="s">
        <v>169</v>
      </c>
      <c r="AT21" s="206" t="str">
        <f t="shared" si="0"/>
        <v>44254-20</v>
      </c>
    </row>
    <row r="22" spans="1:46" x14ac:dyDescent="0.35">
      <c r="A22" s="204">
        <v>21</v>
      </c>
      <c r="B22" s="14" t="s">
        <v>73</v>
      </c>
      <c r="C22" s="1" t="s">
        <v>154</v>
      </c>
      <c r="D22" s="1" t="s">
        <v>150</v>
      </c>
      <c r="E22" s="12">
        <v>44254</v>
      </c>
      <c r="F22" s="201">
        <v>1</v>
      </c>
      <c r="G22" s="201">
        <v>1</v>
      </c>
      <c r="H22" s="201">
        <v>0</v>
      </c>
      <c r="I22" s="201">
        <v>0</v>
      </c>
      <c r="J22" s="201">
        <v>0</v>
      </c>
      <c r="K22" s="201">
        <v>0</v>
      </c>
      <c r="L22" s="201">
        <v>1</v>
      </c>
      <c r="M22" s="201">
        <v>10</v>
      </c>
      <c r="N22" s="201">
        <v>2</v>
      </c>
      <c r="O22" s="201">
        <v>0</v>
      </c>
      <c r="P22" s="201">
        <v>1953</v>
      </c>
      <c r="Q22" s="201">
        <v>1129</v>
      </c>
      <c r="R22" s="201">
        <v>0</v>
      </c>
      <c r="S22" s="201">
        <v>0</v>
      </c>
      <c r="T22" s="201">
        <v>1171</v>
      </c>
      <c r="U22" s="201">
        <v>1386</v>
      </c>
      <c r="V22" s="201">
        <v>1</v>
      </c>
      <c r="W22" s="201">
        <v>0</v>
      </c>
      <c r="X22" s="201">
        <v>0</v>
      </c>
      <c r="Y22" s="201">
        <v>49</v>
      </c>
      <c r="Z22" s="201">
        <v>0</v>
      </c>
      <c r="AA22" s="61"/>
      <c r="AB22" s="201">
        <v>0</v>
      </c>
      <c r="AC22" s="61"/>
      <c r="AD22" s="201">
        <v>14.25</v>
      </c>
      <c r="AE22" s="61"/>
      <c r="AF22" s="61"/>
      <c r="AG22" s="61"/>
      <c r="AH22" s="61"/>
      <c r="AI22" s="61"/>
      <c r="AJ22" s="61"/>
      <c r="AK22" s="61"/>
      <c r="AL22" s="291">
        <v>23</v>
      </c>
      <c r="AM22" s="201">
        <v>20</v>
      </c>
      <c r="AN22" s="201">
        <v>12</v>
      </c>
      <c r="AO22" s="61"/>
      <c r="AP22" s="61"/>
      <c r="AQ22" s="61"/>
      <c r="AR22" s="61"/>
      <c r="AS22" s="101" t="s">
        <v>169</v>
      </c>
      <c r="AT22" s="206" t="str">
        <f t="shared" si="0"/>
        <v>44254-21</v>
      </c>
    </row>
    <row r="23" spans="1:46" x14ac:dyDescent="0.35">
      <c r="A23" s="204">
        <v>22</v>
      </c>
      <c r="B23" s="14" t="s">
        <v>73</v>
      </c>
      <c r="C23" s="1" t="s">
        <v>155</v>
      </c>
      <c r="D23" s="1" t="s">
        <v>150</v>
      </c>
      <c r="E23" s="12">
        <v>44254</v>
      </c>
      <c r="F23" s="201">
        <v>2</v>
      </c>
      <c r="G23" s="201">
        <v>1</v>
      </c>
      <c r="H23" s="201"/>
      <c r="I23" s="201">
        <v>0</v>
      </c>
      <c r="J23" s="201">
        <v>0</v>
      </c>
      <c r="K23" s="201"/>
      <c r="L23" s="201">
        <v>0</v>
      </c>
      <c r="M23" s="201">
        <v>9</v>
      </c>
      <c r="N23" s="201">
        <v>2</v>
      </c>
      <c r="O23" s="201">
        <v>0</v>
      </c>
      <c r="P23" s="201">
        <v>1282</v>
      </c>
      <c r="Q23" s="201">
        <v>851</v>
      </c>
      <c r="R23" s="201">
        <v>0</v>
      </c>
      <c r="S23" s="201"/>
      <c r="T23" s="201">
        <v>2710</v>
      </c>
      <c r="U23" s="201">
        <v>16</v>
      </c>
      <c r="V23" s="201">
        <v>0</v>
      </c>
      <c r="W23" s="201">
        <v>0</v>
      </c>
      <c r="X23" s="201">
        <v>0</v>
      </c>
      <c r="Y23" s="201">
        <v>0</v>
      </c>
      <c r="Z23" s="201"/>
      <c r="AA23" s="61"/>
      <c r="AB23" s="201"/>
      <c r="AC23" s="61"/>
      <c r="AD23" s="201">
        <v>25.46</v>
      </c>
      <c r="AE23" s="61">
        <v>0</v>
      </c>
      <c r="AF23" s="61"/>
      <c r="AG23" s="61"/>
      <c r="AH23" s="61"/>
      <c r="AI23" s="61"/>
      <c r="AJ23" s="61"/>
      <c r="AK23" s="61"/>
      <c r="AL23" s="291">
        <v>21</v>
      </c>
      <c r="AM23" s="201">
        <v>17</v>
      </c>
      <c r="AN23" s="201">
        <v>1</v>
      </c>
      <c r="AO23" s="61"/>
      <c r="AP23" s="61"/>
      <c r="AQ23" s="61"/>
      <c r="AR23" s="61"/>
      <c r="AS23" s="101" t="s">
        <v>170</v>
      </c>
      <c r="AT23" s="206" t="str">
        <f t="shared" si="0"/>
        <v>44254-22</v>
      </c>
    </row>
    <row r="24" spans="1:46" x14ac:dyDescent="0.35">
      <c r="A24" s="204">
        <v>23</v>
      </c>
      <c r="B24" s="14" t="s">
        <v>73</v>
      </c>
      <c r="C24" s="1" t="s">
        <v>157</v>
      </c>
      <c r="D24" s="1" t="s">
        <v>150</v>
      </c>
      <c r="E24" s="12">
        <v>44257</v>
      </c>
      <c r="F24" s="201">
        <v>0</v>
      </c>
      <c r="G24" s="201">
        <v>0</v>
      </c>
      <c r="H24" s="201">
        <v>0</v>
      </c>
      <c r="I24" s="201">
        <v>0</v>
      </c>
      <c r="J24" s="201">
        <v>1</v>
      </c>
      <c r="K24" s="201">
        <v>0</v>
      </c>
      <c r="L24" s="201">
        <v>0</v>
      </c>
      <c r="M24" s="201">
        <v>20</v>
      </c>
      <c r="N24" s="201">
        <v>0</v>
      </c>
      <c r="O24" s="201">
        <v>0</v>
      </c>
      <c r="P24" s="201">
        <v>0</v>
      </c>
      <c r="Q24" s="201">
        <v>284</v>
      </c>
      <c r="R24" s="201">
        <v>33</v>
      </c>
      <c r="S24" s="201">
        <v>0</v>
      </c>
      <c r="T24" s="201">
        <v>1</v>
      </c>
      <c r="U24" s="201">
        <v>0</v>
      </c>
      <c r="V24" s="201">
        <v>0</v>
      </c>
      <c r="W24" s="201">
        <v>0</v>
      </c>
      <c r="X24" s="201">
        <v>0</v>
      </c>
      <c r="Y24" s="201">
        <v>0</v>
      </c>
      <c r="Z24" s="201">
        <v>0</v>
      </c>
      <c r="AA24" s="61"/>
      <c r="AB24" s="201">
        <v>0</v>
      </c>
      <c r="AC24" s="61"/>
      <c r="AD24" s="201">
        <v>74.010000000000005</v>
      </c>
      <c r="AE24" s="61"/>
      <c r="AF24" s="61"/>
      <c r="AG24" s="61"/>
      <c r="AH24" s="61"/>
      <c r="AI24" s="61"/>
      <c r="AJ24" s="61"/>
      <c r="AK24" s="61"/>
      <c r="AL24" s="291">
        <v>23</v>
      </c>
      <c r="AM24" s="201">
        <v>20</v>
      </c>
      <c r="AN24" s="201">
        <v>15</v>
      </c>
      <c r="AO24" s="61"/>
      <c r="AP24" s="61"/>
      <c r="AQ24" s="61"/>
      <c r="AR24" s="61"/>
      <c r="AS24" s="101" t="s">
        <v>165</v>
      </c>
      <c r="AT24" s="206" t="str">
        <f t="shared" si="0"/>
        <v>44257-23</v>
      </c>
    </row>
    <row r="25" spans="1:46" x14ac:dyDescent="0.35">
      <c r="A25" s="204">
        <v>24</v>
      </c>
      <c r="B25" s="14" t="s">
        <v>73</v>
      </c>
      <c r="C25" s="1" t="s">
        <v>154</v>
      </c>
      <c r="D25" s="1" t="s">
        <v>150</v>
      </c>
      <c r="E25" s="12">
        <v>44257</v>
      </c>
      <c r="F25" s="201">
        <v>1</v>
      </c>
      <c r="G25" s="201">
        <v>0</v>
      </c>
      <c r="H25" s="201">
        <v>0</v>
      </c>
      <c r="I25" s="201">
        <v>0</v>
      </c>
      <c r="J25" s="201">
        <v>0</v>
      </c>
      <c r="K25" s="201">
        <v>0</v>
      </c>
      <c r="L25" s="201">
        <v>0</v>
      </c>
      <c r="M25" s="201">
        <v>9</v>
      </c>
      <c r="N25" s="201">
        <v>2</v>
      </c>
      <c r="O25" s="201">
        <v>0</v>
      </c>
      <c r="P25" s="201">
        <v>2055</v>
      </c>
      <c r="Q25" s="201">
        <v>1096</v>
      </c>
      <c r="R25" s="201">
        <v>0</v>
      </c>
      <c r="S25" s="201">
        <v>0</v>
      </c>
      <c r="T25" s="201">
        <v>1266</v>
      </c>
      <c r="U25" s="201">
        <v>1443</v>
      </c>
      <c r="V25" s="201">
        <v>0</v>
      </c>
      <c r="W25" s="201">
        <v>0</v>
      </c>
      <c r="X25" s="201">
        <v>0</v>
      </c>
      <c r="Y25" s="201">
        <v>47</v>
      </c>
      <c r="Z25" s="201">
        <v>0</v>
      </c>
      <c r="AA25" s="61"/>
      <c r="AB25" s="201">
        <v>0</v>
      </c>
      <c r="AC25" s="61"/>
      <c r="AD25" s="201">
        <v>14.5</v>
      </c>
      <c r="AE25" s="61"/>
      <c r="AF25" s="61"/>
      <c r="AG25" s="61"/>
      <c r="AH25" s="61"/>
      <c r="AI25" s="61"/>
      <c r="AJ25" s="61"/>
      <c r="AK25" s="61"/>
      <c r="AL25" s="291">
        <v>23</v>
      </c>
      <c r="AM25" s="201">
        <v>20</v>
      </c>
      <c r="AN25" s="201">
        <v>12</v>
      </c>
      <c r="AO25" s="61"/>
      <c r="AP25" s="61"/>
      <c r="AQ25" s="61"/>
      <c r="AR25" s="61"/>
      <c r="AS25" s="101" t="s">
        <v>169</v>
      </c>
      <c r="AT25" s="206" t="str">
        <f t="shared" si="0"/>
        <v>44257-24</v>
      </c>
    </row>
    <row r="26" spans="1:46" x14ac:dyDescent="0.35">
      <c r="A26" s="204">
        <v>25</v>
      </c>
      <c r="B26" s="14" t="s">
        <v>83</v>
      </c>
      <c r="C26" s="1" t="s">
        <v>160</v>
      </c>
      <c r="D26" s="1" t="s">
        <v>161</v>
      </c>
      <c r="E26" s="12">
        <v>44262</v>
      </c>
      <c r="F26" s="201">
        <v>1.4</v>
      </c>
      <c r="G26" s="201">
        <v>1.2</v>
      </c>
      <c r="H26" s="201">
        <v>0</v>
      </c>
      <c r="I26" s="201">
        <v>0</v>
      </c>
      <c r="J26" s="201">
        <v>0</v>
      </c>
      <c r="K26" s="201">
        <v>0</v>
      </c>
      <c r="L26" s="201"/>
      <c r="M26" s="201">
        <v>8.9</v>
      </c>
      <c r="N26" s="201">
        <v>0.2</v>
      </c>
      <c r="O26" s="201">
        <v>1.5</v>
      </c>
      <c r="P26" s="201">
        <v>1171.9000000000001</v>
      </c>
      <c r="Q26" s="201">
        <v>1368.9</v>
      </c>
      <c r="R26" s="201"/>
      <c r="S26" s="201"/>
      <c r="T26" s="201">
        <v>2227.8000000000002</v>
      </c>
      <c r="U26" s="201">
        <v>458.8</v>
      </c>
      <c r="V26" s="201"/>
      <c r="W26" s="201"/>
      <c r="X26" s="201"/>
      <c r="Y26" s="201"/>
      <c r="Z26" s="201"/>
      <c r="AA26" s="61"/>
      <c r="AB26" s="201"/>
      <c r="AC26" s="61"/>
      <c r="AD26" s="201">
        <v>15.2</v>
      </c>
      <c r="AE26" s="61"/>
      <c r="AF26" s="61">
        <v>0</v>
      </c>
      <c r="AG26" s="61"/>
      <c r="AH26" s="61"/>
      <c r="AI26" s="61"/>
      <c r="AJ26" s="61"/>
      <c r="AK26" s="61"/>
      <c r="AL26" s="291">
        <v>24</v>
      </c>
      <c r="AM26" s="201">
        <v>22</v>
      </c>
      <c r="AN26" s="201">
        <v>16</v>
      </c>
      <c r="AO26" s="61"/>
      <c r="AP26" s="61"/>
      <c r="AQ26" s="61"/>
      <c r="AR26" s="61"/>
      <c r="AS26" s="101" t="s">
        <v>171</v>
      </c>
      <c r="AT26" s="206" t="str">
        <f t="shared" si="0"/>
        <v>44262-25</v>
      </c>
    </row>
    <row r="27" spans="1:46" x14ac:dyDescent="0.35">
      <c r="A27" s="204">
        <v>26</v>
      </c>
      <c r="B27" s="14" t="s">
        <v>83</v>
      </c>
      <c r="C27" s="1" t="s">
        <v>152</v>
      </c>
      <c r="D27" s="1" t="s">
        <v>161</v>
      </c>
      <c r="E27" s="12">
        <v>44262</v>
      </c>
      <c r="F27" s="201">
        <v>1.9</v>
      </c>
      <c r="G27" s="201">
        <v>0.9</v>
      </c>
      <c r="H27" s="201">
        <v>0</v>
      </c>
      <c r="I27" s="201">
        <v>0</v>
      </c>
      <c r="J27" s="201">
        <v>0</v>
      </c>
      <c r="K27" s="201">
        <v>0</v>
      </c>
      <c r="L27" s="201"/>
      <c r="M27" s="201">
        <v>3.6</v>
      </c>
      <c r="N27" s="201">
        <v>1.9</v>
      </c>
      <c r="O27" s="201">
        <v>1.2</v>
      </c>
      <c r="P27" s="201">
        <v>1179.8</v>
      </c>
      <c r="Q27" s="201">
        <v>1268.5999999999999</v>
      </c>
      <c r="R27" s="201"/>
      <c r="S27" s="201"/>
      <c r="T27" s="201">
        <v>3001.4</v>
      </c>
      <c r="U27" s="201">
        <v>11.6</v>
      </c>
      <c r="V27" s="201"/>
      <c r="W27" s="201"/>
      <c r="X27" s="201"/>
      <c r="Y27" s="201"/>
      <c r="Z27" s="201"/>
      <c r="AA27" s="61"/>
      <c r="AB27" s="201"/>
      <c r="AC27" s="61"/>
      <c r="AD27" s="201">
        <v>6.1</v>
      </c>
      <c r="AE27" s="61"/>
      <c r="AF27" s="61">
        <v>0</v>
      </c>
      <c r="AG27" s="61"/>
      <c r="AH27" s="61"/>
      <c r="AI27" s="61"/>
      <c r="AJ27" s="61"/>
      <c r="AK27" s="61"/>
      <c r="AL27" s="291">
        <v>18</v>
      </c>
      <c r="AM27" s="201">
        <v>17</v>
      </c>
      <c r="AN27" s="201">
        <v>12</v>
      </c>
      <c r="AO27" s="61"/>
      <c r="AP27" s="61"/>
      <c r="AQ27" s="61"/>
      <c r="AR27" s="61"/>
      <c r="AS27" s="101" t="s">
        <v>172</v>
      </c>
      <c r="AT27" s="206" t="str">
        <f t="shared" si="0"/>
        <v>44262-26</v>
      </c>
    </row>
    <row r="28" spans="1:46" x14ac:dyDescent="0.35">
      <c r="A28" s="204">
        <v>27</v>
      </c>
      <c r="B28" s="14" t="s">
        <v>83</v>
      </c>
      <c r="C28" s="1" t="s">
        <v>160</v>
      </c>
      <c r="D28" s="1" t="s">
        <v>161</v>
      </c>
      <c r="E28" s="12">
        <v>44295</v>
      </c>
      <c r="F28" s="201">
        <v>1.8</v>
      </c>
      <c r="G28" s="201">
        <v>1</v>
      </c>
      <c r="H28" s="201">
        <v>0.1</v>
      </c>
      <c r="I28" s="201">
        <v>0</v>
      </c>
      <c r="J28" s="201">
        <v>0</v>
      </c>
      <c r="K28" s="201">
        <v>0</v>
      </c>
      <c r="L28" s="201"/>
      <c r="M28" s="201">
        <v>7.9</v>
      </c>
      <c r="N28" s="201">
        <v>0.9</v>
      </c>
      <c r="O28" s="201">
        <v>1.4</v>
      </c>
      <c r="P28" s="201">
        <v>1176.4000000000001</v>
      </c>
      <c r="Q28" s="201">
        <v>1271.4000000000001</v>
      </c>
      <c r="R28" s="201"/>
      <c r="S28" s="201"/>
      <c r="T28" s="201">
        <v>2177.6999999999998</v>
      </c>
      <c r="U28" s="201">
        <v>455.9</v>
      </c>
      <c r="V28" s="201"/>
      <c r="W28" s="201"/>
      <c r="X28" s="201"/>
      <c r="Y28" s="201"/>
      <c r="Z28" s="201"/>
      <c r="AA28" s="61"/>
      <c r="AB28" s="201"/>
      <c r="AC28" s="61"/>
      <c r="AD28" s="201">
        <v>15.3</v>
      </c>
      <c r="AE28" s="61"/>
      <c r="AF28" s="61">
        <v>0</v>
      </c>
      <c r="AG28" s="61"/>
      <c r="AH28" s="61"/>
      <c r="AI28" s="61"/>
      <c r="AJ28" s="61"/>
      <c r="AK28" s="61"/>
      <c r="AL28" s="291">
        <v>24</v>
      </c>
      <c r="AM28" s="201">
        <v>22</v>
      </c>
      <c r="AN28" s="201">
        <v>15</v>
      </c>
      <c r="AO28" s="61"/>
      <c r="AP28" s="61"/>
      <c r="AQ28" s="61"/>
      <c r="AR28" s="61"/>
      <c r="AS28" s="101" t="s">
        <v>173</v>
      </c>
      <c r="AT28" s="206" t="str">
        <f t="shared" si="0"/>
        <v>44295-27</v>
      </c>
    </row>
    <row r="29" spans="1:46" x14ac:dyDescent="0.35">
      <c r="A29" s="204">
        <v>28</v>
      </c>
      <c r="B29" s="14" t="s">
        <v>83</v>
      </c>
      <c r="C29" s="1" t="s">
        <v>160</v>
      </c>
      <c r="D29" s="1" t="s">
        <v>161</v>
      </c>
      <c r="E29" s="12">
        <v>44295</v>
      </c>
      <c r="F29" s="201">
        <v>1.5</v>
      </c>
      <c r="G29" s="201">
        <v>0.8</v>
      </c>
      <c r="H29" s="201">
        <v>0</v>
      </c>
      <c r="I29" s="201">
        <v>0</v>
      </c>
      <c r="J29" s="201">
        <v>0</v>
      </c>
      <c r="K29" s="201">
        <v>0</v>
      </c>
      <c r="L29" s="201"/>
      <c r="M29" s="201">
        <v>7.1</v>
      </c>
      <c r="N29" s="201">
        <v>1.1000000000000001</v>
      </c>
      <c r="O29" s="201">
        <v>1.2</v>
      </c>
      <c r="P29" s="201">
        <v>1112.5</v>
      </c>
      <c r="Q29" s="201">
        <v>1222.3</v>
      </c>
      <c r="R29" s="201"/>
      <c r="S29" s="201"/>
      <c r="T29" s="201">
        <v>2071.1</v>
      </c>
      <c r="U29" s="201">
        <v>431.9</v>
      </c>
      <c r="V29" s="201"/>
      <c r="W29" s="201"/>
      <c r="X29" s="201"/>
      <c r="Y29" s="201"/>
      <c r="Z29" s="201"/>
      <c r="AA29" s="61"/>
      <c r="AB29" s="201"/>
      <c r="AC29" s="61"/>
      <c r="AD29" s="201">
        <v>15.1</v>
      </c>
      <c r="AE29" s="61"/>
      <c r="AF29" s="61">
        <v>0</v>
      </c>
      <c r="AG29" s="61"/>
      <c r="AH29" s="61"/>
      <c r="AI29" s="61"/>
      <c r="AJ29" s="61"/>
      <c r="AK29" s="61"/>
      <c r="AL29" s="291">
        <v>24</v>
      </c>
      <c r="AM29" s="201">
        <v>22</v>
      </c>
      <c r="AN29" s="201">
        <v>16</v>
      </c>
      <c r="AO29" s="61"/>
      <c r="AP29" s="61"/>
      <c r="AQ29" s="61"/>
      <c r="AR29" s="61"/>
      <c r="AS29" s="101" t="s">
        <v>174</v>
      </c>
      <c r="AT29" s="206" t="str">
        <f t="shared" si="0"/>
        <v>44295-28</v>
      </c>
    </row>
    <row r="30" spans="1:46" x14ac:dyDescent="0.35">
      <c r="A30" s="204">
        <v>29</v>
      </c>
      <c r="B30" s="14" t="s">
        <v>83</v>
      </c>
      <c r="C30" s="1" t="s">
        <v>152</v>
      </c>
      <c r="D30" s="1" t="s">
        <v>161</v>
      </c>
      <c r="E30" s="12">
        <v>44295</v>
      </c>
      <c r="F30" s="201">
        <v>1.7</v>
      </c>
      <c r="G30" s="201">
        <v>0.9</v>
      </c>
      <c r="H30" s="201">
        <v>0.1</v>
      </c>
      <c r="I30" s="201">
        <v>0.4</v>
      </c>
      <c r="J30" s="201">
        <v>0.1</v>
      </c>
      <c r="K30" s="201">
        <v>0</v>
      </c>
      <c r="L30" s="201"/>
      <c r="M30" s="201">
        <v>3.5</v>
      </c>
      <c r="N30" s="201">
        <v>2.5</v>
      </c>
      <c r="O30" s="201">
        <v>0</v>
      </c>
      <c r="P30" s="201">
        <v>1116.2</v>
      </c>
      <c r="Q30" s="201">
        <v>1135.9000000000001</v>
      </c>
      <c r="R30" s="201"/>
      <c r="S30" s="201"/>
      <c r="T30" s="201">
        <v>2730.8</v>
      </c>
      <c r="U30" s="201">
        <v>13.5</v>
      </c>
      <c r="V30" s="201"/>
      <c r="W30" s="201"/>
      <c r="X30" s="201"/>
      <c r="Y30" s="201"/>
      <c r="Z30" s="201"/>
      <c r="AA30" s="61"/>
      <c r="AB30" s="201"/>
      <c r="AC30" s="61"/>
      <c r="AD30" s="201">
        <v>6</v>
      </c>
      <c r="AE30" s="61"/>
      <c r="AF30" s="61">
        <v>0</v>
      </c>
      <c r="AG30" s="61"/>
      <c r="AH30" s="61"/>
      <c r="AI30" s="61"/>
      <c r="AJ30" s="61"/>
      <c r="AK30" s="61"/>
      <c r="AL30" s="291">
        <v>19</v>
      </c>
      <c r="AM30" s="201">
        <v>17</v>
      </c>
      <c r="AN30" s="201">
        <v>14</v>
      </c>
      <c r="AO30" s="61"/>
      <c r="AP30" s="61"/>
      <c r="AQ30" s="61"/>
      <c r="AR30" s="61"/>
      <c r="AS30" s="101" t="s">
        <v>175</v>
      </c>
      <c r="AT30" s="206" t="str">
        <f t="shared" si="0"/>
        <v>44295-29</v>
      </c>
    </row>
    <row r="31" spans="1:46" x14ac:dyDescent="0.35">
      <c r="A31" s="204">
        <v>30</v>
      </c>
      <c r="B31" s="14" t="s">
        <v>83</v>
      </c>
      <c r="C31" s="1" t="s">
        <v>160</v>
      </c>
      <c r="D31" s="1" t="s">
        <v>161</v>
      </c>
      <c r="E31" s="12">
        <v>44295</v>
      </c>
      <c r="F31" s="201">
        <v>1.5</v>
      </c>
      <c r="G31" s="201">
        <v>1</v>
      </c>
      <c r="H31" s="201">
        <v>0</v>
      </c>
      <c r="I31" s="201">
        <v>0.1</v>
      </c>
      <c r="J31" s="201">
        <v>0</v>
      </c>
      <c r="K31" s="201">
        <v>0</v>
      </c>
      <c r="L31" s="201"/>
      <c r="M31" s="201">
        <v>7.7</v>
      </c>
      <c r="N31" s="201">
        <v>1.5</v>
      </c>
      <c r="O31" s="201">
        <v>0.7</v>
      </c>
      <c r="P31" s="201">
        <v>1144.4000000000001</v>
      </c>
      <c r="Q31" s="201">
        <v>1251.7</v>
      </c>
      <c r="R31" s="201"/>
      <c r="S31" s="201"/>
      <c r="T31" s="201">
        <v>2135.9</v>
      </c>
      <c r="U31" s="201">
        <v>445.4</v>
      </c>
      <c r="V31" s="201"/>
      <c r="W31" s="201"/>
      <c r="X31" s="201"/>
      <c r="Y31" s="201"/>
      <c r="Z31" s="201"/>
      <c r="AA31" s="61"/>
      <c r="AB31" s="201"/>
      <c r="AC31" s="61"/>
      <c r="AD31" s="201">
        <v>15.2</v>
      </c>
      <c r="AE31" s="61"/>
      <c r="AF31" s="61">
        <v>0</v>
      </c>
      <c r="AG31" s="61"/>
      <c r="AH31" s="61"/>
      <c r="AI31" s="61"/>
      <c r="AJ31" s="61"/>
      <c r="AK31" s="61"/>
      <c r="AL31" s="291">
        <v>24</v>
      </c>
      <c r="AM31" s="201">
        <v>22</v>
      </c>
      <c r="AN31" s="201">
        <v>16</v>
      </c>
      <c r="AO31" s="61"/>
      <c r="AP31" s="61"/>
      <c r="AQ31" s="61"/>
      <c r="AR31" s="61"/>
      <c r="AS31" s="101" t="s">
        <v>176</v>
      </c>
      <c r="AT31" s="206" t="str">
        <f t="shared" si="0"/>
        <v>44295-30</v>
      </c>
    </row>
    <row r="32" spans="1:46" x14ac:dyDescent="0.35">
      <c r="A32" s="204">
        <v>31</v>
      </c>
      <c r="B32" s="14" t="s">
        <v>83</v>
      </c>
      <c r="C32" s="1" t="s">
        <v>152</v>
      </c>
      <c r="D32" s="1" t="s">
        <v>161</v>
      </c>
      <c r="E32" s="12">
        <v>44295</v>
      </c>
      <c r="F32" s="201">
        <v>1.8</v>
      </c>
      <c r="G32" s="201">
        <v>0.7</v>
      </c>
      <c r="H32" s="201">
        <v>0</v>
      </c>
      <c r="I32" s="201">
        <v>0</v>
      </c>
      <c r="J32" s="201">
        <v>0</v>
      </c>
      <c r="K32" s="201">
        <v>0</v>
      </c>
      <c r="L32" s="201"/>
      <c r="M32" s="201">
        <v>3.6</v>
      </c>
      <c r="N32" s="201">
        <v>2.5</v>
      </c>
      <c r="O32" s="201">
        <v>0</v>
      </c>
      <c r="P32" s="201">
        <v>1126.0999999999999</v>
      </c>
      <c r="Q32" s="201">
        <v>1153.8</v>
      </c>
      <c r="R32" s="201"/>
      <c r="S32" s="201"/>
      <c r="T32" s="201">
        <v>2784.7</v>
      </c>
      <c r="U32" s="201">
        <v>11.6</v>
      </c>
      <c r="V32" s="201"/>
      <c r="W32" s="201"/>
      <c r="X32" s="201"/>
      <c r="Y32" s="201"/>
      <c r="Z32" s="201"/>
      <c r="AA32" s="61"/>
      <c r="AB32" s="201"/>
      <c r="AC32" s="61"/>
      <c r="AD32" s="201">
        <v>6</v>
      </c>
      <c r="AE32" s="61"/>
      <c r="AF32" s="61">
        <v>0</v>
      </c>
      <c r="AG32" s="61"/>
      <c r="AH32" s="61"/>
      <c r="AI32" s="61"/>
      <c r="AJ32" s="61"/>
      <c r="AK32" s="61"/>
      <c r="AL32" s="291">
        <v>19</v>
      </c>
      <c r="AM32" s="201">
        <v>17</v>
      </c>
      <c r="AN32" s="201">
        <v>12</v>
      </c>
      <c r="AO32" s="61"/>
      <c r="AP32" s="61"/>
      <c r="AQ32" s="61"/>
      <c r="AR32" s="61"/>
      <c r="AS32" s="101" t="s">
        <v>177</v>
      </c>
      <c r="AT32" s="206" t="str">
        <f t="shared" si="0"/>
        <v>44295-31</v>
      </c>
    </row>
    <row r="33" spans="1:46" x14ac:dyDescent="0.35">
      <c r="A33" s="204">
        <v>32</v>
      </c>
      <c r="B33" s="14" t="s">
        <v>83</v>
      </c>
      <c r="C33" s="1" t="s">
        <v>152</v>
      </c>
      <c r="D33" s="1" t="s">
        <v>161</v>
      </c>
      <c r="E33" s="12">
        <v>44296</v>
      </c>
      <c r="F33" s="201">
        <v>1.8</v>
      </c>
      <c r="G33" s="201">
        <v>0.9</v>
      </c>
      <c r="H33" s="201">
        <v>0</v>
      </c>
      <c r="I33" s="201">
        <v>0</v>
      </c>
      <c r="J33" s="201">
        <v>0</v>
      </c>
      <c r="K33" s="201">
        <v>0</v>
      </c>
      <c r="L33" s="201"/>
      <c r="M33" s="201">
        <v>4</v>
      </c>
      <c r="N33" s="201">
        <v>2</v>
      </c>
      <c r="O33" s="201">
        <v>0.5</v>
      </c>
      <c r="P33" s="201">
        <v>1224.5</v>
      </c>
      <c r="Q33" s="201">
        <v>1262.7</v>
      </c>
      <c r="R33" s="201"/>
      <c r="S33" s="201"/>
      <c r="T33" s="201">
        <v>3175.6</v>
      </c>
      <c r="U33" s="201">
        <v>13.6</v>
      </c>
      <c r="V33" s="201"/>
      <c r="W33" s="201"/>
      <c r="X33" s="201"/>
      <c r="Y33" s="201"/>
      <c r="Z33" s="201"/>
      <c r="AA33" s="61"/>
      <c r="AB33" s="201"/>
      <c r="AC33" s="61"/>
      <c r="AD33" s="201">
        <v>6</v>
      </c>
      <c r="AE33" s="61"/>
      <c r="AF33" s="61">
        <v>0</v>
      </c>
      <c r="AG33" s="61"/>
      <c r="AH33" s="61"/>
      <c r="AI33" s="61"/>
      <c r="AJ33" s="61"/>
      <c r="AK33" s="61"/>
      <c r="AL33" s="291">
        <v>19</v>
      </c>
      <c r="AM33" s="201">
        <v>18</v>
      </c>
      <c r="AN33" s="201">
        <v>13</v>
      </c>
      <c r="AO33" s="61"/>
      <c r="AP33" s="61"/>
      <c r="AQ33" s="61"/>
      <c r="AR33" s="61"/>
      <c r="AS33" s="101" t="s">
        <v>178</v>
      </c>
      <c r="AT33" s="206" t="str">
        <f t="shared" si="0"/>
        <v>44296-32</v>
      </c>
    </row>
    <row r="34" spans="1:46" x14ac:dyDescent="0.35">
      <c r="A34" s="204">
        <v>33</v>
      </c>
      <c r="B34" s="14" t="s">
        <v>83</v>
      </c>
      <c r="C34" s="1" t="s">
        <v>160</v>
      </c>
      <c r="D34" s="1" t="s">
        <v>161</v>
      </c>
      <c r="E34" s="12">
        <v>44296</v>
      </c>
      <c r="F34" s="201">
        <v>1.4</v>
      </c>
      <c r="G34" s="201">
        <v>1.1000000000000001</v>
      </c>
      <c r="H34" s="201">
        <v>0</v>
      </c>
      <c r="I34" s="201">
        <v>0</v>
      </c>
      <c r="J34" s="201">
        <v>0</v>
      </c>
      <c r="K34" s="201">
        <v>0</v>
      </c>
      <c r="L34" s="201"/>
      <c r="M34" s="201">
        <v>8.6</v>
      </c>
      <c r="N34" s="201">
        <v>0.8</v>
      </c>
      <c r="O34" s="201">
        <v>1.1000000000000001</v>
      </c>
      <c r="P34" s="201">
        <v>1196.3</v>
      </c>
      <c r="Q34" s="201">
        <v>1338.7</v>
      </c>
      <c r="R34" s="201"/>
      <c r="S34" s="201"/>
      <c r="T34" s="201">
        <v>2294.9</v>
      </c>
      <c r="U34" s="201">
        <v>458.2</v>
      </c>
      <c r="V34" s="201"/>
      <c r="W34" s="201"/>
      <c r="X34" s="201"/>
      <c r="Y34" s="201"/>
      <c r="Z34" s="201"/>
      <c r="AA34" s="61"/>
      <c r="AB34" s="201"/>
      <c r="AC34" s="61"/>
      <c r="AD34" s="201">
        <v>15</v>
      </c>
      <c r="AE34" s="61"/>
      <c r="AF34" s="61">
        <v>0</v>
      </c>
      <c r="AG34" s="61"/>
      <c r="AH34" s="61"/>
      <c r="AI34" s="61"/>
      <c r="AJ34" s="61"/>
      <c r="AK34" s="61"/>
      <c r="AL34" s="291">
        <v>24</v>
      </c>
      <c r="AM34" s="201">
        <v>22</v>
      </c>
      <c r="AN34" s="201">
        <v>15</v>
      </c>
      <c r="AO34" s="61"/>
      <c r="AP34" s="61"/>
      <c r="AQ34" s="61"/>
      <c r="AR34" s="61"/>
      <c r="AS34" s="101" t="s">
        <v>179</v>
      </c>
      <c r="AT34" s="206" t="str">
        <f t="shared" si="0"/>
        <v>44296-33</v>
      </c>
    </row>
    <row r="35" spans="1:46" x14ac:dyDescent="0.35">
      <c r="A35" s="204">
        <v>34</v>
      </c>
      <c r="B35" s="14" t="s">
        <v>83</v>
      </c>
      <c r="C35" s="1" t="s">
        <v>160</v>
      </c>
      <c r="D35" s="1" t="s">
        <v>161</v>
      </c>
      <c r="E35" s="12">
        <v>44296</v>
      </c>
      <c r="F35" s="201">
        <v>1.4</v>
      </c>
      <c r="G35" s="201">
        <v>1.1000000000000001</v>
      </c>
      <c r="H35" s="201">
        <v>0</v>
      </c>
      <c r="I35" s="201">
        <v>0</v>
      </c>
      <c r="J35" s="201">
        <v>0</v>
      </c>
      <c r="K35" s="201">
        <v>0</v>
      </c>
      <c r="L35" s="201"/>
      <c r="M35" s="201">
        <v>8.9</v>
      </c>
      <c r="N35" s="201">
        <v>0.9</v>
      </c>
      <c r="O35" s="201">
        <v>1.6</v>
      </c>
      <c r="P35" s="201">
        <v>1233.7</v>
      </c>
      <c r="Q35" s="201">
        <v>1355.9</v>
      </c>
      <c r="R35" s="201"/>
      <c r="S35" s="201"/>
      <c r="T35" s="201">
        <v>2372</v>
      </c>
      <c r="U35" s="201">
        <v>472.4</v>
      </c>
      <c r="V35" s="201"/>
      <c r="W35" s="201"/>
      <c r="X35" s="201"/>
      <c r="Y35" s="201"/>
      <c r="Z35" s="201"/>
      <c r="AA35" s="61"/>
      <c r="AB35" s="201"/>
      <c r="AC35" s="61"/>
      <c r="AD35" s="201">
        <v>15</v>
      </c>
      <c r="AE35" s="61"/>
      <c r="AF35" s="61">
        <v>0</v>
      </c>
      <c r="AG35" s="61"/>
      <c r="AH35" s="61"/>
      <c r="AI35" s="61"/>
      <c r="AJ35" s="61"/>
      <c r="AK35" s="61"/>
      <c r="AL35" s="291">
        <v>24</v>
      </c>
      <c r="AM35" s="201">
        <v>22</v>
      </c>
      <c r="AN35" s="201">
        <v>15</v>
      </c>
      <c r="AO35" s="61"/>
      <c r="AP35" s="61"/>
      <c r="AQ35" s="61"/>
      <c r="AR35" s="61"/>
      <c r="AS35" s="101" t="s">
        <v>180</v>
      </c>
      <c r="AT35" s="206" t="str">
        <f t="shared" si="0"/>
        <v>44296-34</v>
      </c>
    </row>
    <row r="36" spans="1:46" x14ac:dyDescent="0.35">
      <c r="A36" s="204">
        <v>35</v>
      </c>
      <c r="B36" s="14" t="s">
        <v>83</v>
      </c>
      <c r="C36" s="1" t="s">
        <v>160</v>
      </c>
      <c r="D36" s="1" t="s">
        <v>161</v>
      </c>
      <c r="E36" s="12">
        <v>44322</v>
      </c>
      <c r="F36" s="201">
        <v>1.3</v>
      </c>
      <c r="G36" s="201">
        <v>1.2</v>
      </c>
      <c r="H36" s="201">
        <v>0</v>
      </c>
      <c r="I36" s="201">
        <v>0</v>
      </c>
      <c r="J36" s="201">
        <v>0</v>
      </c>
      <c r="K36" s="201">
        <v>0</v>
      </c>
      <c r="L36" s="201"/>
      <c r="M36" s="201">
        <v>9.8000000000000007</v>
      </c>
      <c r="N36" s="201">
        <v>1.7</v>
      </c>
      <c r="O36" s="201">
        <v>2.5</v>
      </c>
      <c r="P36" s="201">
        <v>1195.3</v>
      </c>
      <c r="Q36" s="201">
        <v>1479</v>
      </c>
      <c r="R36" s="201"/>
      <c r="S36" s="201"/>
      <c r="T36" s="201">
        <v>2306.4</v>
      </c>
      <c r="U36" s="201">
        <v>477.8</v>
      </c>
      <c r="V36" s="201"/>
      <c r="W36" s="201"/>
      <c r="X36" s="201"/>
      <c r="Y36" s="201"/>
      <c r="Z36" s="201"/>
      <c r="AA36" s="61"/>
      <c r="AB36" s="201"/>
      <c r="AC36" s="61"/>
      <c r="AD36" s="201">
        <v>15.5</v>
      </c>
      <c r="AE36" s="61"/>
      <c r="AF36" s="61">
        <v>0</v>
      </c>
      <c r="AG36" s="61"/>
      <c r="AH36" s="61"/>
      <c r="AI36" s="61"/>
      <c r="AJ36" s="61"/>
      <c r="AK36" s="61"/>
      <c r="AL36" s="291">
        <v>23</v>
      </c>
      <c r="AM36" s="201">
        <v>22</v>
      </c>
      <c r="AN36" s="201">
        <v>14</v>
      </c>
      <c r="AO36" s="61"/>
      <c r="AP36" s="61"/>
      <c r="AQ36" s="61"/>
      <c r="AR36" s="61"/>
      <c r="AS36" s="101" t="s">
        <v>181</v>
      </c>
      <c r="AT36" s="206" t="str">
        <f t="shared" si="0"/>
        <v>44322-35</v>
      </c>
    </row>
    <row r="37" spans="1:46" x14ac:dyDescent="0.35">
      <c r="A37" s="204">
        <v>36</v>
      </c>
      <c r="B37" s="14" t="s">
        <v>83</v>
      </c>
      <c r="C37" s="1" t="s">
        <v>152</v>
      </c>
      <c r="D37" s="1" t="s">
        <v>161</v>
      </c>
      <c r="E37" s="12">
        <v>44322</v>
      </c>
      <c r="F37" s="201">
        <v>1.7</v>
      </c>
      <c r="G37" s="201">
        <v>0.7</v>
      </c>
      <c r="H37" s="201">
        <v>0</v>
      </c>
      <c r="I37" s="201">
        <v>0</v>
      </c>
      <c r="J37" s="201">
        <v>0</v>
      </c>
      <c r="K37" s="201">
        <v>0</v>
      </c>
      <c r="L37" s="201"/>
      <c r="M37" s="201">
        <v>4.7</v>
      </c>
      <c r="N37" s="201">
        <v>2.2000000000000002</v>
      </c>
      <c r="O37" s="201">
        <v>0.1</v>
      </c>
      <c r="P37" s="201">
        <v>1186.9000000000001</v>
      </c>
      <c r="Q37" s="201">
        <v>1384.5</v>
      </c>
      <c r="R37" s="201"/>
      <c r="S37" s="201"/>
      <c r="T37" s="201">
        <v>3072.1</v>
      </c>
      <c r="U37" s="201">
        <v>11.7</v>
      </c>
      <c r="V37" s="201"/>
      <c r="W37" s="201"/>
      <c r="X37" s="201"/>
      <c r="Y37" s="201"/>
      <c r="Z37" s="201"/>
      <c r="AA37" s="61"/>
      <c r="AB37" s="201"/>
      <c r="AC37" s="61"/>
      <c r="AD37" s="201">
        <v>5.9</v>
      </c>
      <c r="AE37" s="61"/>
      <c r="AF37" s="61">
        <v>0</v>
      </c>
      <c r="AG37" s="61"/>
      <c r="AH37" s="61"/>
      <c r="AI37" s="61"/>
      <c r="AJ37" s="61"/>
      <c r="AK37" s="61"/>
      <c r="AL37" s="291">
        <v>18</v>
      </c>
      <c r="AM37" s="201">
        <v>17</v>
      </c>
      <c r="AN37" s="201">
        <v>11</v>
      </c>
      <c r="AO37" s="61"/>
      <c r="AP37" s="61"/>
      <c r="AQ37" s="61"/>
      <c r="AR37" s="61"/>
      <c r="AS37" s="101" t="s">
        <v>182</v>
      </c>
      <c r="AT37" s="206" t="str">
        <f t="shared" si="0"/>
        <v>44322-36</v>
      </c>
    </row>
    <row r="38" spans="1:46" x14ac:dyDescent="0.35">
      <c r="A38" s="204">
        <v>37</v>
      </c>
      <c r="B38" s="14" t="s">
        <v>83</v>
      </c>
      <c r="C38" s="1" t="s">
        <v>155</v>
      </c>
      <c r="D38" s="1" t="s">
        <v>161</v>
      </c>
      <c r="E38" s="12">
        <v>44322</v>
      </c>
      <c r="F38" s="201">
        <v>1.8</v>
      </c>
      <c r="G38" s="201">
        <v>0.9</v>
      </c>
      <c r="H38" s="201">
        <v>0</v>
      </c>
      <c r="I38" s="201">
        <v>0</v>
      </c>
      <c r="J38" s="201">
        <v>0</v>
      </c>
      <c r="K38" s="201">
        <v>0</v>
      </c>
      <c r="L38" s="201"/>
      <c r="M38" s="201">
        <v>9.3000000000000007</v>
      </c>
      <c r="N38" s="201">
        <v>2</v>
      </c>
      <c r="O38" s="201">
        <v>0.3</v>
      </c>
      <c r="P38" s="201">
        <v>1207.5</v>
      </c>
      <c r="Q38" s="201">
        <v>1409.5</v>
      </c>
      <c r="R38" s="201"/>
      <c r="S38" s="201"/>
      <c r="T38" s="201">
        <v>3048.2</v>
      </c>
      <c r="U38" s="201">
        <v>11.8</v>
      </c>
      <c r="V38" s="201"/>
      <c r="W38" s="201"/>
      <c r="X38" s="201"/>
      <c r="Y38" s="201"/>
      <c r="Z38" s="201"/>
      <c r="AA38" s="61"/>
      <c r="AB38" s="201"/>
      <c r="AC38" s="61"/>
      <c r="AD38" s="201">
        <v>25.5</v>
      </c>
      <c r="AE38" s="61"/>
      <c r="AF38" s="61">
        <v>0</v>
      </c>
      <c r="AG38" s="61"/>
      <c r="AH38" s="61"/>
      <c r="AI38" s="61"/>
      <c r="AJ38" s="61"/>
      <c r="AK38" s="61"/>
      <c r="AL38" s="291">
        <v>21</v>
      </c>
      <c r="AM38" s="201">
        <v>19</v>
      </c>
      <c r="AN38" s="201">
        <v>14</v>
      </c>
      <c r="AO38" s="61"/>
      <c r="AP38" s="61"/>
      <c r="AQ38" s="61"/>
      <c r="AR38" s="61"/>
      <c r="AS38" s="101" t="s">
        <v>183</v>
      </c>
      <c r="AT38" s="206" t="str">
        <f t="shared" si="0"/>
        <v>44322-37</v>
      </c>
    </row>
    <row r="39" spans="1:46" x14ac:dyDescent="0.35">
      <c r="A39" s="204">
        <v>38</v>
      </c>
      <c r="B39" s="14" t="s">
        <v>83</v>
      </c>
      <c r="C39" s="1" t="s">
        <v>152</v>
      </c>
      <c r="D39" s="1" t="s">
        <v>161</v>
      </c>
      <c r="E39" s="12">
        <v>44326</v>
      </c>
      <c r="F39" s="201">
        <v>1.6</v>
      </c>
      <c r="G39" s="201">
        <v>0.8</v>
      </c>
      <c r="H39" s="201">
        <v>0</v>
      </c>
      <c r="I39" s="201">
        <v>0</v>
      </c>
      <c r="J39" s="201">
        <v>0</v>
      </c>
      <c r="K39" s="201">
        <v>0</v>
      </c>
      <c r="L39" s="201"/>
      <c r="M39" s="201">
        <v>4</v>
      </c>
      <c r="N39" s="201">
        <v>2.1</v>
      </c>
      <c r="O39" s="201">
        <v>0.5</v>
      </c>
      <c r="P39" s="201">
        <v>1174.3</v>
      </c>
      <c r="Q39" s="201">
        <v>1218.3</v>
      </c>
      <c r="R39" s="201"/>
      <c r="S39" s="201"/>
      <c r="T39" s="201">
        <v>3035.4</v>
      </c>
      <c r="U39" s="201">
        <v>13</v>
      </c>
      <c r="V39" s="201"/>
      <c r="W39" s="201"/>
      <c r="X39" s="201"/>
      <c r="Y39" s="201"/>
      <c r="Z39" s="201"/>
      <c r="AA39" s="61"/>
      <c r="AB39" s="201"/>
      <c r="AC39" s="61"/>
      <c r="AD39" s="201">
        <v>6</v>
      </c>
      <c r="AE39" s="61"/>
      <c r="AF39" s="61">
        <v>0</v>
      </c>
      <c r="AG39" s="61"/>
      <c r="AH39" s="61"/>
      <c r="AI39" s="61"/>
      <c r="AJ39" s="61"/>
      <c r="AK39" s="61"/>
      <c r="AL39" s="291">
        <v>19</v>
      </c>
      <c r="AM39" s="201">
        <v>17</v>
      </c>
      <c r="AN39" s="201">
        <v>11</v>
      </c>
      <c r="AO39" s="61"/>
      <c r="AP39" s="61"/>
      <c r="AQ39" s="61"/>
      <c r="AR39" s="61"/>
      <c r="AS39" s="101" t="s">
        <v>184</v>
      </c>
      <c r="AT39" s="206" t="str">
        <f t="shared" si="0"/>
        <v>44326-38</v>
      </c>
    </row>
    <row r="40" spans="1:46" x14ac:dyDescent="0.35">
      <c r="A40" s="204">
        <v>39</v>
      </c>
      <c r="B40" s="14" t="s">
        <v>83</v>
      </c>
      <c r="C40" s="1" t="s">
        <v>160</v>
      </c>
      <c r="D40" s="1" t="s">
        <v>161</v>
      </c>
      <c r="E40" s="12">
        <v>44326</v>
      </c>
      <c r="F40" s="201">
        <v>1.4</v>
      </c>
      <c r="G40" s="201">
        <v>1</v>
      </c>
      <c r="H40" s="201">
        <v>0</v>
      </c>
      <c r="I40" s="201">
        <v>0</v>
      </c>
      <c r="J40" s="201">
        <v>0</v>
      </c>
      <c r="K40" s="201">
        <v>0</v>
      </c>
      <c r="L40" s="201"/>
      <c r="M40" s="201">
        <v>7.9</v>
      </c>
      <c r="N40" s="201">
        <v>0.9</v>
      </c>
      <c r="O40" s="201">
        <v>1.5</v>
      </c>
      <c r="P40" s="201">
        <v>1193.8</v>
      </c>
      <c r="Q40" s="201">
        <v>1307.7</v>
      </c>
      <c r="R40" s="201"/>
      <c r="S40" s="201"/>
      <c r="T40" s="201">
        <v>2284</v>
      </c>
      <c r="U40" s="201">
        <v>467.6</v>
      </c>
      <c r="V40" s="201"/>
      <c r="W40" s="201"/>
      <c r="X40" s="201"/>
      <c r="Y40" s="201"/>
      <c r="Z40" s="201"/>
      <c r="AA40" s="61"/>
      <c r="AB40" s="201"/>
      <c r="AC40" s="61"/>
      <c r="AD40" s="201">
        <v>14.9</v>
      </c>
      <c r="AE40" s="61"/>
      <c r="AF40" s="61">
        <v>0</v>
      </c>
      <c r="AG40" s="61"/>
      <c r="AH40" s="61"/>
      <c r="AI40" s="61"/>
      <c r="AJ40" s="61"/>
      <c r="AK40" s="61"/>
      <c r="AL40" s="291">
        <v>24</v>
      </c>
      <c r="AM40" s="201">
        <v>22</v>
      </c>
      <c r="AN40" s="201">
        <v>14</v>
      </c>
      <c r="AO40" s="61"/>
      <c r="AP40" s="61"/>
      <c r="AQ40" s="61"/>
      <c r="AR40" s="61"/>
      <c r="AS40" s="101" t="s">
        <v>185</v>
      </c>
      <c r="AT40" s="206" t="str">
        <f t="shared" si="0"/>
        <v>44326-39</v>
      </c>
    </row>
    <row r="41" spans="1:46" x14ac:dyDescent="0.35">
      <c r="A41" s="204">
        <v>40</v>
      </c>
      <c r="B41" s="14" t="s">
        <v>83</v>
      </c>
      <c r="C41" s="1" t="s">
        <v>152</v>
      </c>
      <c r="D41" s="1" t="s">
        <v>161</v>
      </c>
      <c r="E41" s="12">
        <v>44328</v>
      </c>
      <c r="F41" s="201">
        <v>1.5</v>
      </c>
      <c r="G41" s="201">
        <v>1.1000000000000001</v>
      </c>
      <c r="H41" s="201">
        <v>0</v>
      </c>
      <c r="I41" s="201">
        <v>0</v>
      </c>
      <c r="J41" s="201">
        <v>0</v>
      </c>
      <c r="K41" s="201">
        <v>0</v>
      </c>
      <c r="L41" s="201"/>
      <c r="M41" s="201">
        <v>3.7</v>
      </c>
      <c r="N41" s="201">
        <v>1.4</v>
      </c>
      <c r="O41" s="201">
        <v>0.4</v>
      </c>
      <c r="P41" s="201">
        <v>1116</v>
      </c>
      <c r="Q41" s="201">
        <v>1097.8</v>
      </c>
      <c r="R41" s="201"/>
      <c r="S41" s="201"/>
      <c r="T41" s="201">
        <v>2915.6</v>
      </c>
      <c r="U41" s="201">
        <v>10.199999999999999</v>
      </c>
      <c r="V41" s="201"/>
      <c r="W41" s="201"/>
      <c r="X41" s="201"/>
      <c r="Y41" s="201"/>
      <c r="Z41" s="201"/>
      <c r="AA41" s="61"/>
      <c r="AB41" s="201"/>
      <c r="AC41" s="61"/>
      <c r="AD41" s="201">
        <v>6</v>
      </c>
      <c r="AE41" s="61"/>
      <c r="AF41" s="61">
        <v>0</v>
      </c>
      <c r="AG41" s="61"/>
      <c r="AH41" s="61"/>
      <c r="AI41" s="61"/>
      <c r="AJ41" s="61"/>
      <c r="AK41" s="61"/>
      <c r="AL41" s="291">
        <v>23</v>
      </c>
      <c r="AM41" s="201">
        <v>21</v>
      </c>
      <c r="AN41" s="201">
        <v>16</v>
      </c>
      <c r="AO41" s="61"/>
      <c r="AP41" s="61"/>
      <c r="AQ41" s="61"/>
      <c r="AR41" s="61"/>
      <c r="AS41" s="101" t="s">
        <v>173</v>
      </c>
      <c r="AT41" s="206" t="str">
        <f t="shared" si="0"/>
        <v>44328-40</v>
      </c>
    </row>
    <row r="42" spans="1:46" x14ac:dyDescent="0.35">
      <c r="A42" s="204">
        <v>41</v>
      </c>
      <c r="B42" s="14" t="s">
        <v>83</v>
      </c>
      <c r="C42" s="1" t="s">
        <v>157</v>
      </c>
      <c r="D42" s="1" t="s">
        <v>161</v>
      </c>
      <c r="E42" s="12">
        <v>44328</v>
      </c>
      <c r="F42" s="201">
        <v>0</v>
      </c>
      <c r="G42" s="201">
        <v>0.6</v>
      </c>
      <c r="H42" s="201">
        <v>0.2</v>
      </c>
      <c r="I42" s="201">
        <v>0</v>
      </c>
      <c r="J42" s="201">
        <v>0</v>
      </c>
      <c r="K42" s="201">
        <v>0</v>
      </c>
      <c r="L42" s="201"/>
      <c r="M42" s="201">
        <v>15.2</v>
      </c>
      <c r="N42" s="201">
        <v>0</v>
      </c>
      <c r="O42" s="201">
        <v>0.5</v>
      </c>
      <c r="P42" s="201">
        <v>0.8</v>
      </c>
      <c r="Q42" s="201">
        <v>209</v>
      </c>
      <c r="R42" s="201"/>
      <c r="S42" s="201"/>
      <c r="T42" s="201">
        <v>0</v>
      </c>
      <c r="U42" s="201">
        <v>0.1</v>
      </c>
      <c r="V42" s="201"/>
      <c r="W42" s="201"/>
      <c r="X42" s="201"/>
      <c r="Y42" s="201"/>
      <c r="Z42" s="201"/>
      <c r="AA42" s="61"/>
      <c r="AB42" s="201"/>
      <c r="AC42" s="61"/>
      <c r="AD42" s="201">
        <v>79.599999999999994</v>
      </c>
      <c r="AE42" s="61"/>
      <c r="AF42" s="61">
        <v>0</v>
      </c>
      <c r="AG42" s="61"/>
      <c r="AH42" s="61"/>
      <c r="AI42" s="61"/>
      <c r="AJ42" s="61"/>
      <c r="AK42" s="61"/>
      <c r="AL42" s="291">
        <v>21</v>
      </c>
      <c r="AM42" s="201">
        <v>20</v>
      </c>
      <c r="AN42" s="201">
        <v>18</v>
      </c>
      <c r="AO42" s="61"/>
      <c r="AP42" s="61"/>
      <c r="AQ42" s="61"/>
      <c r="AR42" s="61"/>
      <c r="AS42" s="101" t="s">
        <v>174</v>
      </c>
      <c r="AT42" s="206" t="str">
        <f t="shared" si="0"/>
        <v>44328-41</v>
      </c>
    </row>
    <row r="43" spans="1:46" x14ac:dyDescent="0.35">
      <c r="A43" s="204">
        <v>42</v>
      </c>
      <c r="B43" s="14" t="s">
        <v>83</v>
      </c>
      <c r="C43" s="1" t="s">
        <v>152</v>
      </c>
      <c r="D43" s="1" t="s">
        <v>161</v>
      </c>
      <c r="E43" s="12">
        <v>44328</v>
      </c>
      <c r="F43" s="201">
        <v>1.5</v>
      </c>
      <c r="G43" s="201">
        <v>0.9</v>
      </c>
      <c r="H43" s="201">
        <v>0</v>
      </c>
      <c r="I43" s="201">
        <v>0</v>
      </c>
      <c r="J43" s="201">
        <v>0</v>
      </c>
      <c r="K43" s="201">
        <v>0</v>
      </c>
      <c r="L43" s="201"/>
      <c r="M43" s="201">
        <v>3.6</v>
      </c>
      <c r="N43" s="201">
        <v>1.5</v>
      </c>
      <c r="O43" s="201">
        <v>0.1</v>
      </c>
      <c r="P43" s="201">
        <v>1065.0999999999999</v>
      </c>
      <c r="Q43" s="201">
        <v>1060.7</v>
      </c>
      <c r="R43" s="201"/>
      <c r="S43" s="201"/>
      <c r="T43" s="201">
        <v>2799.6</v>
      </c>
      <c r="U43" s="201">
        <v>9.8000000000000007</v>
      </c>
      <c r="V43" s="201"/>
      <c r="W43" s="201"/>
      <c r="X43" s="201"/>
      <c r="Y43" s="201"/>
      <c r="Z43" s="201"/>
      <c r="AA43" s="61"/>
      <c r="AB43" s="201"/>
      <c r="AC43" s="61"/>
      <c r="AD43" s="201">
        <v>6</v>
      </c>
      <c r="AE43" s="61"/>
      <c r="AF43" s="61">
        <v>0</v>
      </c>
      <c r="AG43" s="61"/>
      <c r="AH43" s="61"/>
      <c r="AI43" s="61"/>
      <c r="AJ43" s="61"/>
      <c r="AK43" s="61"/>
      <c r="AL43" s="291">
        <v>22</v>
      </c>
      <c r="AM43" s="201">
        <v>20</v>
      </c>
      <c r="AN43" s="201">
        <v>15</v>
      </c>
      <c r="AO43" s="61"/>
      <c r="AP43" s="61"/>
      <c r="AQ43" s="61"/>
      <c r="AR43" s="61"/>
      <c r="AS43" s="101" t="s">
        <v>175</v>
      </c>
      <c r="AT43" s="206" t="str">
        <f t="shared" si="0"/>
        <v>44328-42</v>
      </c>
    </row>
    <row r="44" spans="1:46" x14ac:dyDescent="0.35">
      <c r="A44" s="204">
        <v>43</v>
      </c>
      <c r="B44" s="14" t="s">
        <v>83</v>
      </c>
      <c r="C44" s="1" t="s">
        <v>152</v>
      </c>
      <c r="D44" s="1" t="s">
        <v>161</v>
      </c>
      <c r="E44" s="12">
        <v>44331</v>
      </c>
      <c r="F44" s="201">
        <v>1.9</v>
      </c>
      <c r="G44" s="201">
        <v>0.9</v>
      </c>
      <c r="H44" s="201">
        <v>0.3</v>
      </c>
      <c r="I44" s="201">
        <v>0.1</v>
      </c>
      <c r="J44" s="201">
        <v>0.1</v>
      </c>
      <c r="K44" s="201">
        <v>0</v>
      </c>
      <c r="L44" s="201"/>
      <c r="M44" s="201">
        <v>3.8</v>
      </c>
      <c r="N44" s="201">
        <v>2.8</v>
      </c>
      <c r="O44" s="201">
        <v>0.9</v>
      </c>
      <c r="P44" s="201">
        <v>1153.5</v>
      </c>
      <c r="Q44" s="201">
        <v>1314.3</v>
      </c>
      <c r="R44" s="201"/>
      <c r="S44" s="201"/>
      <c r="T44" s="201">
        <v>2966.1</v>
      </c>
      <c r="U44" s="201">
        <v>11</v>
      </c>
      <c r="V44" s="201"/>
      <c r="W44" s="201"/>
      <c r="X44" s="201"/>
      <c r="Y44" s="201"/>
      <c r="Z44" s="201"/>
      <c r="AA44" s="61"/>
      <c r="AB44" s="201"/>
      <c r="AC44" s="61"/>
      <c r="AD44" s="201">
        <v>6.1</v>
      </c>
      <c r="AE44" s="61"/>
      <c r="AF44" s="61">
        <v>0</v>
      </c>
      <c r="AG44" s="61"/>
      <c r="AH44" s="61"/>
      <c r="AI44" s="61"/>
      <c r="AJ44" s="61"/>
      <c r="AK44" s="61"/>
      <c r="AL44" s="291">
        <v>19</v>
      </c>
      <c r="AM44" s="201">
        <v>17</v>
      </c>
      <c r="AN44" s="201">
        <v>13</v>
      </c>
      <c r="AO44" s="61"/>
      <c r="AP44" s="61"/>
      <c r="AQ44" s="61"/>
      <c r="AR44" s="61"/>
      <c r="AS44" s="101" t="s">
        <v>186</v>
      </c>
      <c r="AT44" s="206" t="str">
        <f t="shared" si="0"/>
        <v>44331-43</v>
      </c>
    </row>
    <row r="45" spans="1:46" x14ac:dyDescent="0.35">
      <c r="A45" s="204">
        <v>44</v>
      </c>
      <c r="B45" s="14" t="s">
        <v>83</v>
      </c>
      <c r="C45" s="1" t="s">
        <v>152</v>
      </c>
      <c r="D45" s="1" t="s">
        <v>161</v>
      </c>
      <c r="E45" s="12">
        <v>44331</v>
      </c>
      <c r="F45" s="201">
        <v>1.9</v>
      </c>
      <c r="G45" s="201">
        <v>0.9</v>
      </c>
      <c r="H45" s="201">
        <v>0.3</v>
      </c>
      <c r="I45" s="201">
        <v>0.1</v>
      </c>
      <c r="J45" s="201">
        <v>0.1</v>
      </c>
      <c r="K45" s="201">
        <v>0</v>
      </c>
      <c r="L45" s="201"/>
      <c r="M45" s="201">
        <v>3.8</v>
      </c>
      <c r="N45" s="201">
        <v>2.8</v>
      </c>
      <c r="O45" s="201">
        <v>0.9</v>
      </c>
      <c r="P45" s="201">
        <v>1153.5</v>
      </c>
      <c r="Q45" s="201">
        <v>1314.3</v>
      </c>
      <c r="R45" s="201"/>
      <c r="S45" s="201"/>
      <c r="T45" s="201">
        <v>2966.1</v>
      </c>
      <c r="U45" s="201">
        <v>11</v>
      </c>
      <c r="V45" s="201"/>
      <c r="W45" s="201"/>
      <c r="X45" s="201"/>
      <c r="Y45" s="201"/>
      <c r="Z45" s="201"/>
      <c r="AA45" s="61"/>
      <c r="AB45" s="201"/>
      <c r="AC45" s="61"/>
      <c r="AD45" s="201">
        <v>6.1</v>
      </c>
      <c r="AE45" s="61"/>
      <c r="AF45" s="61">
        <v>0</v>
      </c>
      <c r="AG45" s="61"/>
      <c r="AH45" s="61"/>
      <c r="AI45" s="61"/>
      <c r="AJ45" s="61"/>
      <c r="AK45" s="61"/>
      <c r="AL45" s="291">
        <v>19</v>
      </c>
      <c r="AM45" s="201">
        <v>17</v>
      </c>
      <c r="AN45" s="201">
        <v>13</v>
      </c>
      <c r="AO45" s="61"/>
      <c r="AP45" s="61"/>
      <c r="AQ45" s="61"/>
      <c r="AR45" s="61"/>
      <c r="AS45" s="101" t="s">
        <v>186</v>
      </c>
      <c r="AT45" s="206" t="str">
        <f t="shared" si="0"/>
        <v>44331-44</v>
      </c>
    </row>
    <row r="46" spans="1:46" x14ac:dyDescent="0.35">
      <c r="A46" s="204">
        <v>45</v>
      </c>
      <c r="B46" s="14" t="s">
        <v>83</v>
      </c>
      <c r="C46" s="1" t="s">
        <v>152</v>
      </c>
      <c r="D46" s="1" t="s">
        <v>161</v>
      </c>
      <c r="E46" s="12">
        <v>44331</v>
      </c>
      <c r="F46" s="201">
        <v>1.9</v>
      </c>
      <c r="G46" s="201">
        <v>1.1000000000000001</v>
      </c>
      <c r="H46" s="201">
        <v>0.1</v>
      </c>
      <c r="I46" s="201">
        <v>0</v>
      </c>
      <c r="J46" s="201">
        <v>0.2</v>
      </c>
      <c r="K46" s="201">
        <v>0</v>
      </c>
      <c r="L46" s="201"/>
      <c r="M46" s="201">
        <v>3.9</v>
      </c>
      <c r="N46" s="201">
        <v>3.1</v>
      </c>
      <c r="O46" s="201">
        <v>0.5</v>
      </c>
      <c r="P46" s="201">
        <v>1180.8</v>
      </c>
      <c r="Q46" s="201">
        <v>1337</v>
      </c>
      <c r="R46" s="201"/>
      <c r="S46" s="201"/>
      <c r="T46" s="201">
        <v>3050.9</v>
      </c>
      <c r="U46" s="201">
        <v>11.3</v>
      </c>
      <c r="V46" s="201"/>
      <c r="W46" s="201"/>
      <c r="X46" s="201"/>
      <c r="Y46" s="201"/>
      <c r="Z46" s="201"/>
      <c r="AA46" s="61"/>
      <c r="AB46" s="201"/>
      <c r="AC46" s="61"/>
      <c r="AD46" s="201">
        <v>6</v>
      </c>
      <c r="AE46" s="61"/>
      <c r="AF46" s="61">
        <v>0</v>
      </c>
      <c r="AG46" s="61"/>
      <c r="AH46" s="61"/>
      <c r="AI46" s="61"/>
      <c r="AJ46" s="61"/>
      <c r="AK46" s="61"/>
      <c r="AL46" s="291">
        <v>18</v>
      </c>
      <c r="AM46" s="201">
        <v>16</v>
      </c>
      <c r="AN46" s="201">
        <v>12</v>
      </c>
      <c r="AO46" s="61"/>
      <c r="AP46" s="61"/>
      <c r="AQ46" s="61"/>
      <c r="AR46" s="61"/>
      <c r="AS46" s="101" t="s">
        <v>187</v>
      </c>
      <c r="AT46" s="206" t="str">
        <f t="shared" si="0"/>
        <v>44331-45</v>
      </c>
    </row>
    <row r="47" spans="1:46" x14ac:dyDescent="0.35">
      <c r="A47" s="204">
        <v>46</v>
      </c>
      <c r="B47" s="14" t="s">
        <v>83</v>
      </c>
      <c r="C47" s="1" t="s">
        <v>152</v>
      </c>
      <c r="D47" s="1" t="s">
        <v>161</v>
      </c>
      <c r="E47" s="12">
        <v>44331</v>
      </c>
      <c r="F47" s="201">
        <v>1.9</v>
      </c>
      <c r="G47" s="201">
        <v>1.1000000000000001</v>
      </c>
      <c r="H47" s="201">
        <v>0.1</v>
      </c>
      <c r="I47" s="201">
        <v>0</v>
      </c>
      <c r="J47" s="201">
        <v>0.2</v>
      </c>
      <c r="K47" s="201">
        <v>0</v>
      </c>
      <c r="L47" s="201"/>
      <c r="M47" s="201">
        <v>3.9</v>
      </c>
      <c r="N47" s="201">
        <v>3.1</v>
      </c>
      <c r="O47" s="201">
        <v>0.5</v>
      </c>
      <c r="P47" s="201">
        <v>1180.8</v>
      </c>
      <c r="Q47" s="201">
        <v>1337</v>
      </c>
      <c r="R47" s="201"/>
      <c r="S47" s="201"/>
      <c r="T47" s="201">
        <v>3050.9</v>
      </c>
      <c r="U47" s="201">
        <v>11.3</v>
      </c>
      <c r="V47" s="201"/>
      <c r="W47" s="201"/>
      <c r="X47" s="201"/>
      <c r="Y47" s="201"/>
      <c r="Z47" s="201"/>
      <c r="AA47" s="61"/>
      <c r="AB47" s="201"/>
      <c r="AC47" s="61"/>
      <c r="AD47" s="201">
        <v>6</v>
      </c>
      <c r="AE47" s="61"/>
      <c r="AF47" s="61">
        <v>0</v>
      </c>
      <c r="AG47" s="61"/>
      <c r="AH47" s="61"/>
      <c r="AI47" s="61"/>
      <c r="AJ47" s="61"/>
      <c r="AK47" s="61"/>
      <c r="AL47" s="291">
        <v>18</v>
      </c>
      <c r="AM47" s="201">
        <v>16</v>
      </c>
      <c r="AN47" s="201">
        <v>12</v>
      </c>
      <c r="AO47" s="61"/>
      <c r="AP47" s="61"/>
      <c r="AQ47" s="61"/>
      <c r="AR47" s="61"/>
      <c r="AS47" s="101" t="s">
        <v>187</v>
      </c>
      <c r="AT47" s="206" t="str">
        <f t="shared" si="0"/>
        <v>44331-46</v>
      </c>
    </row>
    <row r="48" spans="1:46" x14ac:dyDescent="0.35">
      <c r="A48" s="204">
        <v>47</v>
      </c>
      <c r="B48" s="14" t="s">
        <v>83</v>
      </c>
      <c r="C48" s="1" t="s">
        <v>152</v>
      </c>
      <c r="D48" s="1" t="s">
        <v>161</v>
      </c>
      <c r="E48" s="12">
        <v>44331</v>
      </c>
      <c r="F48" s="201">
        <v>1.8</v>
      </c>
      <c r="G48" s="201">
        <v>1</v>
      </c>
      <c r="H48" s="201">
        <v>0</v>
      </c>
      <c r="I48" s="201">
        <v>0</v>
      </c>
      <c r="J48" s="201">
        <v>0.2</v>
      </c>
      <c r="K48" s="201">
        <v>0</v>
      </c>
      <c r="L48" s="201"/>
      <c r="M48" s="201">
        <v>3.9</v>
      </c>
      <c r="N48" s="201">
        <v>2.8</v>
      </c>
      <c r="O48" s="201">
        <v>0.2</v>
      </c>
      <c r="P48" s="201">
        <v>1162.8</v>
      </c>
      <c r="Q48" s="201">
        <v>1341.4</v>
      </c>
      <c r="R48" s="201"/>
      <c r="S48" s="201"/>
      <c r="T48" s="201">
        <v>3007.4</v>
      </c>
      <c r="U48" s="201">
        <v>11.3</v>
      </c>
      <c r="V48" s="201"/>
      <c r="W48" s="201"/>
      <c r="X48" s="201"/>
      <c r="Y48" s="201"/>
      <c r="Z48" s="201"/>
      <c r="AA48" s="61"/>
      <c r="AB48" s="201"/>
      <c r="AC48" s="61"/>
      <c r="AD48" s="201">
        <v>6.1</v>
      </c>
      <c r="AE48" s="61"/>
      <c r="AF48" s="61">
        <v>0</v>
      </c>
      <c r="AG48" s="61"/>
      <c r="AH48" s="61"/>
      <c r="AI48" s="61"/>
      <c r="AJ48" s="61"/>
      <c r="AK48" s="61"/>
      <c r="AL48" s="291">
        <v>19</v>
      </c>
      <c r="AM48" s="201">
        <v>17</v>
      </c>
      <c r="AN48" s="201">
        <v>12</v>
      </c>
      <c r="AO48" s="61"/>
      <c r="AP48" s="61"/>
      <c r="AQ48" s="61"/>
      <c r="AR48" s="61"/>
      <c r="AS48" s="101" t="s">
        <v>188</v>
      </c>
      <c r="AT48" s="206" t="str">
        <f t="shared" si="0"/>
        <v>44331-47</v>
      </c>
    </row>
    <row r="49" spans="1:46" x14ac:dyDescent="0.35">
      <c r="A49" s="204">
        <v>48</v>
      </c>
      <c r="B49" s="14" t="s">
        <v>83</v>
      </c>
      <c r="C49" s="1" t="s">
        <v>152</v>
      </c>
      <c r="D49" s="1" t="s">
        <v>161</v>
      </c>
      <c r="E49" s="12">
        <v>44331</v>
      </c>
      <c r="F49" s="201">
        <v>1.8</v>
      </c>
      <c r="G49" s="201">
        <v>1</v>
      </c>
      <c r="H49" s="201">
        <v>0</v>
      </c>
      <c r="I49" s="201">
        <v>0</v>
      </c>
      <c r="J49" s="201">
        <v>0.2</v>
      </c>
      <c r="K49" s="201">
        <v>0</v>
      </c>
      <c r="L49" s="201"/>
      <c r="M49" s="201">
        <v>3.9</v>
      </c>
      <c r="N49" s="201">
        <v>2.8</v>
      </c>
      <c r="O49" s="201">
        <v>0.2</v>
      </c>
      <c r="P49" s="201">
        <v>1162.8</v>
      </c>
      <c r="Q49" s="201">
        <v>1341.4</v>
      </c>
      <c r="R49" s="201"/>
      <c r="S49" s="201"/>
      <c r="T49" s="201">
        <v>3007.4</v>
      </c>
      <c r="U49" s="201">
        <v>11.3</v>
      </c>
      <c r="V49" s="201"/>
      <c r="W49" s="201"/>
      <c r="X49" s="201"/>
      <c r="Y49" s="201"/>
      <c r="Z49" s="201"/>
      <c r="AA49" s="61"/>
      <c r="AB49" s="201"/>
      <c r="AC49" s="61"/>
      <c r="AD49" s="201">
        <v>6.1</v>
      </c>
      <c r="AE49" s="61"/>
      <c r="AF49" s="61">
        <v>0</v>
      </c>
      <c r="AG49" s="61"/>
      <c r="AH49" s="61"/>
      <c r="AI49" s="61"/>
      <c r="AJ49" s="61"/>
      <c r="AK49" s="61"/>
      <c r="AL49" s="291">
        <v>19</v>
      </c>
      <c r="AM49" s="201">
        <v>17</v>
      </c>
      <c r="AN49" s="201">
        <v>12</v>
      </c>
      <c r="AO49" s="61"/>
      <c r="AP49" s="61"/>
      <c r="AQ49" s="61"/>
      <c r="AR49" s="61"/>
      <c r="AS49" s="101" t="s">
        <v>188</v>
      </c>
      <c r="AT49" s="206" t="str">
        <f t="shared" si="0"/>
        <v>44331-48</v>
      </c>
    </row>
    <row r="50" spans="1:46" x14ac:dyDescent="0.35">
      <c r="A50" s="204">
        <v>49</v>
      </c>
      <c r="B50" s="14" t="s">
        <v>83</v>
      </c>
      <c r="C50" s="1" t="s">
        <v>152</v>
      </c>
      <c r="D50" s="1" t="s">
        <v>161</v>
      </c>
      <c r="E50" s="12">
        <v>44331</v>
      </c>
      <c r="F50" s="201">
        <v>2</v>
      </c>
      <c r="G50" s="201">
        <v>1.1000000000000001</v>
      </c>
      <c r="H50" s="201">
        <v>0</v>
      </c>
      <c r="I50" s="201">
        <v>0</v>
      </c>
      <c r="J50" s="201">
        <v>0</v>
      </c>
      <c r="K50" s="201">
        <v>0</v>
      </c>
      <c r="L50" s="201"/>
      <c r="M50" s="201">
        <v>3.8</v>
      </c>
      <c r="N50" s="201">
        <v>3.1</v>
      </c>
      <c r="O50" s="201">
        <v>0</v>
      </c>
      <c r="P50" s="201">
        <v>1184.2</v>
      </c>
      <c r="Q50" s="201">
        <v>1342.8</v>
      </c>
      <c r="R50" s="201"/>
      <c r="S50" s="201"/>
      <c r="T50" s="201">
        <v>3080.6</v>
      </c>
      <c r="U50" s="201">
        <v>12.3</v>
      </c>
      <c r="V50" s="201"/>
      <c r="W50" s="201"/>
      <c r="X50" s="201"/>
      <c r="Y50" s="201"/>
      <c r="Z50" s="201"/>
      <c r="AA50" s="61"/>
      <c r="AB50" s="201"/>
      <c r="AC50" s="61"/>
      <c r="AD50" s="201">
        <v>6</v>
      </c>
      <c r="AE50" s="61"/>
      <c r="AF50" s="61">
        <v>0</v>
      </c>
      <c r="AG50" s="61"/>
      <c r="AH50" s="61"/>
      <c r="AI50" s="61"/>
      <c r="AJ50" s="61"/>
      <c r="AK50" s="61"/>
      <c r="AL50" s="291">
        <v>19</v>
      </c>
      <c r="AM50" s="201">
        <v>18</v>
      </c>
      <c r="AN50" s="201">
        <v>12</v>
      </c>
      <c r="AO50" s="61"/>
      <c r="AP50" s="61"/>
      <c r="AQ50" s="61"/>
      <c r="AR50" s="61"/>
      <c r="AS50" s="101" t="s">
        <v>189</v>
      </c>
      <c r="AT50" s="206" t="str">
        <f t="shared" si="0"/>
        <v>44331-49</v>
      </c>
    </row>
    <row r="51" spans="1:46" x14ac:dyDescent="0.35">
      <c r="A51" s="204">
        <v>50</v>
      </c>
      <c r="B51" s="14" t="s">
        <v>83</v>
      </c>
      <c r="C51" s="1" t="s">
        <v>152</v>
      </c>
      <c r="D51" s="1" t="s">
        <v>161</v>
      </c>
      <c r="E51" s="12">
        <v>44331</v>
      </c>
      <c r="F51" s="201">
        <v>2</v>
      </c>
      <c r="G51" s="201">
        <v>1.1000000000000001</v>
      </c>
      <c r="H51" s="201">
        <v>0</v>
      </c>
      <c r="I51" s="201">
        <v>0</v>
      </c>
      <c r="J51" s="201">
        <v>0</v>
      </c>
      <c r="K51" s="201">
        <v>0</v>
      </c>
      <c r="L51" s="201"/>
      <c r="M51" s="201">
        <v>3.8</v>
      </c>
      <c r="N51" s="201">
        <v>3.1</v>
      </c>
      <c r="O51" s="201">
        <v>0</v>
      </c>
      <c r="P51" s="201">
        <v>1184.2</v>
      </c>
      <c r="Q51" s="201">
        <v>1342.8</v>
      </c>
      <c r="R51" s="201"/>
      <c r="S51" s="201"/>
      <c r="T51" s="201">
        <v>3080.6</v>
      </c>
      <c r="U51" s="201">
        <v>12.3</v>
      </c>
      <c r="V51" s="201"/>
      <c r="W51" s="201"/>
      <c r="X51" s="201"/>
      <c r="Y51" s="201"/>
      <c r="Z51" s="201"/>
      <c r="AA51" s="61"/>
      <c r="AB51" s="201"/>
      <c r="AC51" s="61"/>
      <c r="AD51" s="201">
        <v>6</v>
      </c>
      <c r="AE51" s="61"/>
      <c r="AF51" s="61">
        <v>0</v>
      </c>
      <c r="AG51" s="61"/>
      <c r="AH51" s="61"/>
      <c r="AI51" s="61"/>
      <c r="AJ51" s="61"/>
      <c r="AK51" s="61"/>
      <c r="AL51" s="291">
        <v>19</v>
      </c>
      <c r="AM51" s="201">
        <v>18</v>
      </c>
      <c r="AN51" s="201">
        <v>12</v>
      </c>
      <c r="AO51" s="61"/>
      <c r="AP51" s="61"/>
      <c r="AQ51" s="61"/>
      <c r="AR51" s="61"/>
      <c r="AS51" s="101" t="s">
        <v>189</v>
      </c>
      <c r="AT51" s="206" t="str">
        <f t="shared" si="0"/>
        <v>44331-50</v>
      </c>
    </row>
    <row r="52" spans="1:46" x14ac:dyDescent="0.35">
      <c r="A52" s="204">
        <v>51</v>
      </c>
      <c r="B52" s="14" t="s">
        <v>83</v>
      </c>
      <c r="C52" s="1" t="s">
        <v>152</v>
      </c>
      <c r="D52" s="1" t="s">
        <v>161</v>
      </c>
      <c r="E52" s="12">
        <v>44331</v>
      </c>
      <c r="F52" s="201">
        <v>2</v>
      </c>
      <c r="G52" s="201">
        <v>1</v>
      </c>
      <c r="H52" s="201">
        <v>0</v>
      </c>
      <c r="I52" s="201">
        <v>0</v>
      </c>
      <c r="J52" s="201">
        <v>0</v>
      </c>
      <c r="K52" s="201">
        <v>0</v>
      </c>
      <c r="L52" s="201"/>
      <c r="M52" s="201">
        <v>3.8</v>
      </c>
      <c r="N52" s="201">
        <v>3.1</v>
      </c>
      <c r="O52" s="201">
        <v>0.3</v>
      </c>
      <c r="P52" s="201">
        <v>1178</v>
      </c>
      <c r="Q52" s="201">
        <v>1340.4</v>
      </c>
      <c r="R52" s="201"/>
      <c r="S52" s="201"/>
      <c r="T52" s="201">
        <v>3060.2</v>
      </c>
      <c r="U52" s="201">
        <v>12.6</v>
      </c>
      <c r="V52" s="201"/>
      <c r="W52" s="201"/>
      <c r="X52" s="201"/>
      <c r="Y52" s="201"/>
      <c r="Z52" s="201"/>
      <c r="AA52" s="61"/>
      <c r="AB52" s="201"/>
      <c r="AC52" s="61"/>
      <c r="AD52" s="201">
        <v>6.1</v>
      </c>
      <c r="AE52" s="61"/>
      <c r="AF52" s="61">
        <v>0</v>
      </c>
      <c r="AG52" s="61"/>
      <c r="AH52" s="61"/>
      <c r="AI52" s="61"/>
      <c r="AJ52" s="61"/>
      <c r="AK52" s="61"/>
      <c r="AL52" s="291">
        <v>20</v>
      </c>
      <c r="AM52" s="201">
        <v>18</v>
      </c>
      <c r="AN52" s="201">
        <v>12</v>
      </c>
      <c r="AO52" s="61"/>
      <c r="AP52" s="61"/>
      <c r="AQ52" s="61"/>
      <c r="AR52" s="61"/>
      <c r="AS52" s="101" t="s">
        <v>190</v>
      </c>
      <c r="AT52" s="206" t="str">
        <f t="shared" si="0"/>
        <v>44331-51</v>
      </c>
    </row>
    <row r="53" spans="1:46" x14ac:dyDescent="0.35">
      <c r="A53" s="204">
        <v>52</v>
      </c>
      <c r="B53" s="14" t="s">
        <v>83</v>
      </c>
      <c r="C53" s="1" t="s">
        <v>152</v>
      </c>
      <c r="D53" s="1" t="s">
        <v>161</v>
      </c>
      <c r="E53" s="12">
        <v>44331</v>
      </c>
      <c r="F53" s="201">
        <v>2</v>
      </c>
      <c r="G53" s="201">
        <v>1</v>
      </c>
      <c r="H53" s="201">
        <v>0</v>
      </c>
      <c r="I53" s="201">
        <v>0</v>
      </c>
      <c r="J53" s="201">
        <v>0</v>
      </c>
      <c r="K53" s="201">
        <v>0</v>
      </c>
      <c r="L53" s="201"/>
      <c r="M53" s="201">
        <v>3.8</v>
      </c>
      <c r="N53" s="201">
        <v>3.1</v>
      </c>
      <c r="O53" s="201">
        <v>0.3</v>
      </c>
      <c r="P53" s="201">
        <v>1178</v>
      </c>
      <c r="Q53" s="201">
        <v>1340.4</v>
      </c>
      <c r="R53" s="201"/>
      <c r="S53" s="201"/>
      <c r="T53" s="201">
        <v>3060.2</v>
      </c>
      <c r="U53" s="201">
        <v>12.6</v>
      </c>
      <c r="V53" s="201"/>
      <c r="W53" s="201"/>
      <c r="X53" s="201"/>
      <c r="Y53" s="201"/>
      <c r="Z53" s="201"/>
      <c r="AA53" s="61"/>
      <c r="AB53" s="201"/>
      <c r="AC53" s="61"/>
      <c r="AD53" s="201">
        <v>6.1</v>
      </c>
      <c r="AE53" s="61"/>
      <c r="AF53" s="61">
        <v>0</v>
      </c>
      <c r="AG53" s="61"/>
      <c r="AH53" s="61"/>
      <c r="AI53" s="61"/>
      <c r="AJ53" s="61"/>
      <c r="AK53" s="61"/>
      <c r="AL53" s="291">
        <v>20</v>
      </c>
      <c r="AM53" s="201">
        <v>18</v>
      </c>
      <c r="AN53" s="201">
        <v>12</v>
      </c>
      <c r="AO53" s="61"/>
      <c r="AP53" s="61"/>
      <c r="AQ53" s="61"/>
      <c r="AR53" s="61"/>
      <c r="AS53" s="101" t="s">
        <v>190</v>
      </c>
      <c r="AT53" s="206" t="str">
        <f t="shared" si="0"/>
        <v>44331-52</v>
      </c>
    </row>
    <row r="54" spans="1:46" x14ac:dyDescent="0.35">
      <c r="A54" s="204">
        <v>53</v>
      </c>
      <c r="B54" s="14" t="s">
        <v>83</v>
      </c>
      <c r="C54" s="1" t="s">
        <v>160</v>
      </c>
      <c r="D54" s="1" t="s">
        <v>161</v>
      </c>
      <c r="E54" s="12">
        <v>44340</v>
      </c>
      <c r="F54" s="201">
        <v>1.5</v>
      </c>
      <c r="G54" s="201">
        <v>1.3</v>
      </c>
      <c r="H54" s="201">
        <v>0</v>
      </c>
      <c r="I54" s="201">
        <v>0</v>
      </c>
      <c r="J54" s="201">
        <v>0</v>
      </c>
      <c r="K54" s="201">
        <v>0</v>
      </c>
      <c r="L54" s="201"/>
      <c r="M54" s="201">
        <v>9.9</v>
      </c>
      <c r="N54" s="201">
        <v>1.5</v>
      </c>
      <c r="O54" s="201">
        <v>2.2000000000000002</v>
      </c>
      <c r="P54" s="201">
        <v>1279.5999999999999</v>
      </c>
      <c r="Q54" s="201">
        <v>1172.8</v>
      </c>
      <c r="R54" s="201"/>
      <c r="S54" s="201"/>
      <c r="T54" s="201">
        <v>2489.1</v>
      </c>
      <c r="U54" s="201">
        <v>509.1</v>
      </c>
      <c r="V54" s="201"/>
      <c r="W54" s="201"/>
      <c r="X54" s="201"/>
      <c r="Y54" s="201"/>
      <c r="Z54" s="201"/>
      <c r="AA54" s="61"/>
      <c r="AB54" s="201"/>
      <c r="AC54" s="61"/>
      <c r="AD54" s="201">
        <v>15.5</v>
      </c>
      <c r="AE54" s="61"/>
      <c r="AF54" s="61">
        <v>0</v>
      </c>
      <c r="AG54" s="61"/>
      <c r="AH54" s="61"/>
      <c r="AI54" s="61"/>
      <c r="AJ54" s="61"/>
      <c r="AK54" s="61"/>
      <c r="AL54" s="291">
        <v>24</v>
      </c>
      <c r="AM54" s="201">
        <v>22</v>
      </c>
      <c r="AN54" s="201">
        <v>14</v>
      </c>
      <c r="AO54" s="61"/>
      <c r="AP54" s="61"/>
      <c r="AQ54" s="61"/>
      <c r="AR54" s="61"/>
      <c r="AS54" s="101" t="s">
        <v>162</v>
      </c>
      <c r="AT54" s="206" t="str">
        <f t="shared" si="0"/>
        <v>44340-53</v>
      </c>
    </row>
    <row r="55" spans="1:46" x14ac:dyDescent="0.35">
      <c r="A55" s="204">
        <v>54</v>
      </c>
      <c r="B55" s="14" t="s">
        <v>83</v>
      </c>
      <c r="C55" s="1" t="s">
        <v>152</v>
      </c>
      <c r="D55" s="1" t="s">
        <v>161</v>
      </c>
      <c r="E55" s="12">
        <v>44340</v>
      </c>
      <c r="F55" s="201">
        <v>2</v>
      </c>
      <c r="G55" s="201">
        <v>0.8</v>
      </c>
      <c r="H55" s="201">
        <v>0</v>
      </c>
      <c r="I55" s="201">
        <v>0</v>
      </c>
      <c r="J55" s="201">
        <v>0</v>
      </c>
      <c r="K55" s="201">
        <v>0</v>
      </c>
      <c r="L55" s="201"/>
      <c r="M55" s="201">
        <v>4.9000000000000004</v>
      </c>
      <c r="N55" s="201">
        <v>2.2999999999999998</v>
      </c>
      <c r="O55" s="201">
        <v>0.3</v>
      </c>
      <c r="P55" s="201">
        <v>1285.4000000000001</v>
      </c>
      <c r="Q55" s="201">
        <v>1116.5999999999999</v>
      </c>
      <c r="R55" s="201"/>
      <c r="S55" s="201"/>
      <c r="T55" s="201">
        <v>3292.7</v>
      </c>
      <c r="U55" s="201">
        <v>13.1</v>
      </c>
      <c r="V55" s="201"/>
      <c r="W55" s="201"/>
      <c r="X55" s="201"/>
      <c r="Y55" s="201"/>
      <c r="Z55" s="201"/>
      <c r="AA55" s="61"/>
      <c r="AB55" s="201"/>
      <c r="AC55" s="61"/>
      <c r="AD55" s="201">
        <v>6</v>
      </c>
      <c r="AE55" s="61"/>
      <c r="AF55" s="61">
        <v>0</v>
      </c>
      <c r="AG55" s="61"/>
      <c r="AH55" s="61"/>
      <c r="AI55" s="61"/>
      <c r="AJ55" s="61"/>
      <c r="AK55" s="61"/>
      <c r="AL55" s="291">
        <v>20</v>
      </c>
      <c r="AM55" s="201">
        <v>18</v>
      </c>
      <c r="AN55" s="201">
        <v>13</v>
      </c>
      <c r="AO55" s="61"/>
      <c r="AP55" s="61"/>
      <c r="AQ55" s="61"/>
      <c r="AR55" s="61"/>
      <c r="AS55" s="101" t="s">
        <v>163</v>
      </c>
      <c r="AT55" s="206" t="str">
        <f t="shared" si="0"/>
        <v>44340-54</v>
      </c>
    </row>
    <row r="56" spans="1:46" x14ac:dyDescent="0.35">
      <c r="A56" s="204">
        <v>55</v>
      </c>
      <c r="B56" s="14" t="s">
        <v>83</v>
      </c>
      <c r="C56" s="1" t="s">
        <v>152</v>
      </c>
      <c r="D56" s="1" t="s">
        <v>161</v>
      </c>
      <c r="E56" s="12">
        <v>44340</v>
      </c>
      <c r="F56" s="201">
        <v>2</v>
      </c>
      <c r="G56" s="201">
        <v>0.8</v>
      </c>
      <c r="H56" s="201">
        <v>0</v>
      </c>
      <c r="I56" s="201">
        <v>0</v>
      </c>
      <c r="J56" s="201">
        <v>0</v>
      </c>
      <c r="K56" s="201">
        <v>0</v>
      </c>
      <c r="L56" s="201"/>
      <c r="M56" s="201">
        <v>4.8</v>
      </c>
      <c r="N56" s="201">
        <v>2.2000000000000002</v>
      </c>
      <c r="O56" s="201">
        <v>0</v>
      </c>
      <c r="P56" s="201">
        <v>1274.3</v>
      </c>
      <c r="Q56" s="201">
        <v>1103.3</v>
      </c>
      <c r="R56" s="201"/>
      <c r="S56" s="201"/>
      <c r="T56" s="201">
        <v>3276.6</v>
      </c>
      <c r="U56" s="201">
        <v>15.4</v>
      </c>
      <c r="V56" s="201"/>
      <c r="W56" s="201"/>
      <c r="X56" s="201"/>
      <c r="Y56" s="201"/>
      <c r="Z56" s="201"/>
      <c r="AA56" s="61"/>
      <c r="AB56" s="201"/>
      <c r="AC56" s="61"/>
      <c r="AD56" s="201">
        <v>6</v>
      </c>
      <c r="AE56" s="61"/>
      <c r="AF56" s="61">
        <v>0</v>
      </c>
      <c r="AG56" s="61"/>
      <c r="AH56" s="61"/>
      <c r="AI56" s="61"/>
      <c r="AJ56" s="61"/>
      <c r="AK56" s="61"/>
      <c r="AL56" s="291">
        <v>19</v>
      </c>
      <c r="AM56" s="201">
        <v>17</v>
      </c>
      <c r="AN56" s="201">
        <v>12</v>
      </c>
      <c r="AO56" s="61"/>
      <c r="AP56" s="61"/>
      <c r="AQ56" s="61"/>
      <c r="AR56" s="61"/>
      <c r="AS56" s="101" t="s">
        <v>164</v>
      </c>
      <c r="AT56" s="206" t="str">
        <f t="shared" si="0"/>
        <v>44340-55</v>
      </c>
    </row>
    <row r="57" spans="1:46" x14ac:dyDescent="0.35">
      <c r="A57" s="204">
        <v>56</v>
      </c>
      <c r="B57" s="14" t="s">
        <v>83</v>
      </c>
      <c r="C57" s="1" t="s">
        <v>160</v>
      </c>
      <c r="D57" s="1" t="s">
        <v>161</v>
      </c>
      <c r="E57" s="12">
        <v>44340</v>
      </c>
      <c r="F57" s="201">
        <v>1.6</v>
      </c>
      <c r="G57" s="201">
        <v>1.3</v>
      </c>
      <c r="H57" s="201">
        <v>0</v>
      </c>
      <c r="I57" s="201">
        <v>0</v>
      </c>
      <c r="J57" s="201">
        <v>0</v>
      </c>
      <c r="K57" s="201">
        <v>0</v>
      </c>
      <c r="L57" s="201"/>
      <c r="M57" s="201">
        <v>10.6</v>
      </c>
      <c r="N57" s="201">
        <v>1.8</v>
      </c>
      <c r="O57" s="201">
        <v>1.6</v>
      </c>
      <c r="P57" s="201">
        <v>1268.5999999999999</v>
      </c>
      <c r="Q57" s="201">
        <v>1197.3</v>
      </c>
      <c r="R57" s="201"/>
      <c r="S57" s="201"/>
      <c r="T57" s="201">
        <v>2452</v>
      </c>
      <c r="U57" s="201">
        <v>500.6</v>
      </c>
      <c r="V57" s="201"/>
      <c r="W57" s="201"/>
      <c r="X57" s="201"/>
      <c r="Y57" s="201"/>
      <c r="Z57" s="201"/>
      <c r="AA57" s="61"/>
      <c r="AB57" s="201"/>
      <c r="AC57" s="61"/>
      <c r="AD57" s="201">
        <v>15.5</v>
      </c>
      <c r="AE57" s="61"/>
      <c r="AF57" s="61">
        <v>0</v>
      </c>
      <c r="AG57" s="61"/>
      <c r="AH57" s="61"/>
      <c r="AI57" s="61"/>
      <c r="AJ57" s="61"/>
      <c r="AK57" s="61"/>
      <c r="AL57" s="291">
        <v>24</v>
      </c>
      <c r="AM57" s="201">
        <v>22</v>
      </c>
      <c r="AN57" s="201">
        <v>14</v>
      </c>
      <c r="AO57" s="61"/>
      <c r="AP57" s="61"/>
      <c r="AQ57" s="61"/>
      <c r="AR57" s="61"/>
      <c r="AS57" s="101" t="s">
        <v>191</v>
      </c>
      <c r="AT57" s="206" t="str">
        <f t="shared" si="0"/>
        <v>44340-56</v>
      </c>
    </row>
    <row r="58" spans="1:46" x14ac:dyDescent="0.35">
      <c r="A58" s="204">
        <v>57</v>
      </c>
      <c r="B58" s="14" t="s">
        <v>83</v>
      </c>
      <c r="C58" s="1" t="s">
        <v>152</v>
      </c>
      <c r="D58" s="1" t="s">
        <v>161</v>
      </c>
      <c r="E58" s="12">
        <v>44340</v>
      </c>
      <c r="F58" s="201">
        <v>2.1</v>
      </c>
      <c r="G58" s="201">
        <v>0.9</v>
      </c>
      <c r="H58" s="201">
        <v>0</v>
      </c>
      <c r="I58" s="201">
        <v>0</v>
      </c>
      <c r="J58" s="201">
        <v>0</v>
      </c>
      <c r="K58" s="201">
        <v>0</v>
      </c>
      <c r="L58" s="201"/>
      <c r="M58" s="201">
        <v>4.9000000000000004</v>
      </c>
      <c r="N58" s="201">
        <v>2.5</v>
      </c>
      <c r="O58" s="201">
        <v>0.1</v>
      </c>
      <c r="P58" s="201">
        <v>1290.0999999999999</v>
      </c>
      <c r="Q58" s="201">
        <v>1129.5</v>
      </c>
      <c r="R58" s="201"/>
      <c r="S58" s="201"/>
      <c r="T58" s="201">
        <v>3346</v>
      </c>
      <c r="U58" s="201">
        <v>12.7</v>
      </c>
      <c r="V58" s="201"/>
      <c r="W58" s="201"/>
      <c r="X58" s="201"/>
      <c r="Y58" s="201"/>
      <c r="Z58" s="201"/>
      <c r="AA58" s="61"/>
      <c r="AB58" s="201"/>
      <c r="AC58" s="61"/>
      <c r="AD58" s="201">
        <v>6</v>
      </c>
      <c r="AE58" s="61"/>
      <c r="AF58" s="61">
        <v>0</v>
      </c>
      <c r="AG58" s="61"/>
      <c r="AH58" s="61"/>
      <c r="AI58" s="61"/>
      <c r="AJ58" s="61"/>
      <c r="AK58" s="61"/>
      <c r="AL58" s="291">
        <v>19</v>
      </c>
      <c r="AM58" s="201">
        <v>17</v>
      </c>
      <c r="AN58" s="201">
        <v>11</v>
      </c>
      <c r="AO58" s="61"/>
      <c r="AP58" s="61"/>
      <c r="AQ58" s="61"/>
      <c r="AR58" s="61"/>
      <c r="AS58" s="101" t="s">
        <v>172</v>
      </c>
      <c r="AT58" s="206" t="str">
        <f t="shared" si="0"/>
        <v>44340-57</v>
      </c>
    </row>
    <row r="59" spans="1:46" x14ac:dyDescent="0.35">
      <c r="A59" s="204">
        <v>58</v>
      </c>
      <c r="B59" s="14" t="s">
        <v>83</v>
      </c>
      <c r="C59" s="1" t="s">
        <v>160</v>
      </c>
      <c r="D59" s="1" t="s">
        <v>161</v>
      </c>
      <c r="E59" s="12">
        <v>44346</v>
      </c>
      <c r="F59" s="201">
        <v>1.5</v>
      </c>
      <c r="G59" s="201">
        <v>1.3</v>
      </c>
      <c r="H59" s="201">
        <v>0</v>
      </c>
      <c r="I59" s="201">
        <v>0</v>
      </c>
      <c r="J59" s="201">
        <v>0</v>
      </c>
      <c r="K59" s="201">
        <v>0</v>
      </c>
      <c r="L59" s="201"/>
      <c r="M59" s="201">
        <v>10</v>
      </c>
      <c r="N59" s="201">
        <v>1.6</v>
      </c>
      <c r="O59" s="201">
        <v>2</v>
      </c>
      <c r="P59" s="201">
        <v>1223.7</v>
      </c>
      <c r="Q59" s="201">
        <v>1421</v>
      </c>
      <c r="R59" s="201"/>
      <c r="S59" s="201"/>
      <c r="T59" s="201">
        <v>2283.4</v>
      </c>
      <c r="U59" s="201">
        <v>472.6</v>
      </c>
      <c r="V59" s="201"/>
      <c r="W59" s="201"/>
      <c r="X59" s="201"/>
      <c r="Y59" s="201"/>
      <c r="Z59" s="201"/>
      <c r="AA59" s="61"/>
      <c r="AB59" s="201"/>
      <c r="AC59" s="61"/>
      <c r="AD59" s="201">
        <v>15.5</v>
      </c>
      <c r="AE59" s="61"/>
      <c r="AF59" s="61">
        <v>0</v>
      </c>
      <c r="AG59" s="61"/>
      <c r="AH59" s="61"/>
      <c r="AI59" s="61"/>
      <c r="AJ59" s="61"/>
      <c r="AK59" s="61"/>
      <c r="AL59" s="291">
        <v>23</v>
      </c>
      <c r="AM59" s="201">
        <v>22</v>
      </c>
      <c r="AN59" s="201">
        <v>15</v>
      </c>
      <c r="AO59" s="61"/>
      <c r="AP59" s="61"/>
      <c r="AQ59" s="61"/>
      <c r="AR59" s="61"/>
      <c r="AS59" s="101" t="s">
        <v>181</v>
      </c>
      <c r="AT59" s="206" t="str">
        <f t="shared" si="0"/>
        <v>44346-58</v>
      </c>
    </row>
    <row r="60" spans="1:46" x14ac:dyDescent="0.35">
      <c r="A60" s="204">
        <v>59</v>
      </c>
      <c r="B60" s="14" t="s">
        <v>83</v>
      </c>
      <c r="C60" s="1" t="s">
        <v>152</v>
      </c>
      <c r="D60" s="1" t="s">
        <v>161</v>
      </c>
      <c r="E60" s="12">
        <v>44346</v>
      </c>
      <c r="F60" s="201">
        <v>1.8</v>
      </c>
      <c r="G60" s="201">
        <v>1.1000000000000001</v>
      </c>
      <c r="H60" s="201">
        <v>0</v>
      </c>
      <c r="I60" s="201">
        <v>0</v>
      </c>
      <c r="J60" s="201">
        <v>0</v>
      </c>
      <c r="K60" s="201">
        <v>0</v>
      </c>
      <c r="L60" s="201"/>
      <c r="M60" s="201">
        <v>6.2</v>
      </c>
      <c r="N60" s="201">
        <v>2.5</v>
      </c>
      <c r="O60" s="201">
        <v>0.4</v>
      </c>
      <c r="P60" s="201">
        <v>1239.0999999999999</v>
      </c>
      <c r="Q60" s="201">
        <v>1343.1</v>
      </c>
      <c r="R60" s="201"/>
      <c r="S60" s="201"/>
      <c r="T60" s="201">
        <v>3123.4</v>
      </c>
      <c r="U60" s="201">
        <v>11.7</v>
      </c>
      <c r="V60" s="201"/>
      <c r="W60" s="201"/>
      <c r="X60" s="201"/>
      <c r="Y60" s="201"/>
      <c r="Z60" s="201"/>
      <c r="AA60" s="61"/>
      <c r="AB60" s="201"/>
      <c r="AC60" s="61"/>
      <c r="AD60" s="201">
        <v>6</v>
      </c>
      <c r="AE60" s="61"/>
      <c r="AF60" s="61">
        <v>0</v>
      </c>
      <c r="AG60" s="61"/>
      <c r="AH60" s="61"/>
      <c r="AI60" s="61"/>
      <c r="AJ60" s="61"/>
      <c r="AK60" s="61"/>
      <c r="AL60" s="291">
        <v>19</v>
      </c>
      <c r="AM60" s="201">
        <v>17</v>
      </c>
      <c r="AN60" s="201">
        <v>13</v>
      </c>
      <c r="AO60" s="61"/>
      <c r="AP60" s="61"/>
      <c r="AQ60" s="61"/>
      <c r="AR60" s="61"/>
      <c r="AS60" s="101" t="s">
        <v>182</v>
      </c>
      <c r="AT60" s="206" t="str">
        <f t="shared" si="0"/>
        <v>44346-59</v>
      </c>
    </row>
    <row r="61" spans="1:46" x14ac:dyDescent="0.35">
      <c r="A61" s="204">
        <v>60</v>
      </c>
      <c r="B61" s="14" t="s">
        <v>83</v>
      </c>
      <c r="C61" s="1" t="s">
        <v>160</v>
      </c>
      <c r="D61" s="1" t="s">
        <v>161</v>
      </c>
      <c r="E61" s="12">
        <v>44346</v>
      </c>
      <c r="F61" s="201">
        <v>1.4</v>
      </c>
      <c r="G61" s="201">
        <v>1.5</v>
      </c>
      <c r="H61" s="201">
        <v>0</v>
      </c>
      <c r="I61" s="201">
        <v>0</v>
      </c>
      <c r="J61" s="201">
        <v>0</v>
      </c>
      <c r="K61" s="201">
        <v>0</v>
      </c>
      <c r="L61" s="201"/>
      <c r="M61" s="201">
        <v>10.199999999999999</v>
      </c>
      <c r="N61" s="201">
        <v>1.4</v>
      </c>
      <c r="O61" s="201">
        <v>1.9</v>
      </c>
      <c r="P61" s="201">
        <v>1241.8</v>
      </c>
      <c r="Q61" s="201">
        <v>1445</v>
      </c>
      <c r="R61" s="201"/>
      <c r="S61" s="201"/>
      <c r="T61" s="201">
        <v>2321.1999999999998</v>
      </c>
      <c r="U61" s="201">
        <v>480.4</v>
      </c>
      <c r="V61" s="201"/>
      <c r="W61" s="201"/>
      <c r="X61" s="201"/>
      <c r="Y61" s="201"/>
      <c r="Z61" s="201"/>
      <c r="AA61" s="61"/>
      <c r="AB61" s="201"/>
      <c r="AC61" s="61"/>
      <c r="AD61" s="201">
        <v>15.3</v>
      </c>
      <c r="AE61" s="61"/>
      <c r="AF61" s="61">
        <v>0</v>
      </c>
      <c r="AG61" s="61"/>
      <c r="AH61" s="61"/>
      <c r="AI61" s="61"/>
      <c r="AJ61" s="61"/>
      <c r="AK61" s="61"/>
      <c r="AL61" s="291">
        <v>23</v>
      </c>
      <c r="AM61" s="201">
        <v>22</v>
      </c>
      <c r="AN61" s="201">
        <v>14</v>
      </c>
      <c r="AO61" s="61"/>
      <c r="AP61" s="61"/>
      <c r="AQ61" s="61"/>
      <c r="AR61" s="61"/>
      <c r="AS61" s="101" t="s">
        <v>183</v>
      </c>
      <c r="AT61" s="206" t="str">
        <f t="shared" si="0"/>
        <v>44346-60</v>
      </c>
    </row>
    <row r="62" spans="1:46" x14ac:dyDescent="0.35">
      <c r="A62" s="204">
        <v>61</v>
      </c>
      <c r="B62" s="14" t="s">
        <v>83</v>
      </c>
      <c r="C62" s="1" t="s">
        <v>160</v>
      </c>
      <c r="D62" s="1" t="s">
        <v>161</v>
      </c>
      <c r="E62" s="12">
        <v>44347</v>
      </c>
      <c r="F62" s="201">
        <v>1.5</v>
      </c>
      <c r="G62" s="201">
        <v>1.4</v>
      </c>
      <c r="H62" s="201">
        <v>0</v>
      </c>
      <c r="I62" s="201">
        <v>0</v>
      </c>
      <c r="J62" s="201">
        <v>0</v>
      </c>
      <c r="K62" s="201">
        <v>0</v>
      </c>
      <c r="L62" s="201"/>
      <c r="M62" s="201">
        <v>10.199999999999999</v>
      </c>
      <c r="N62" s="201">
        <v>1.3</v>
      </c>
      <c r="O62" s="201">
        <v>1.6</v>
      </c>
      <c r="P62" s="201">
        <v>1250.5</v>
      </c>
      <c r="Q62" s="201">
        <v>1423.1</v>
      </c>
      <c r="R62" s="201"/>
      <c r="S62" s="201"/>
      <c r="T62" s="201">
        <v>2349.1</v>
      </c>
      <c r="U62" s="201">
        <v>485.2</v>
      </c>
      <c r="V62" s="201"/>
      <c r="W62" s="201"/>
      <c r="X62" s="201"/>
      <c r="Y62" s="201"/>
      <c r="Z62" s="201"/>
      <c r="AA62" s="61"/>
      <c r="AB62" s="201"/>
      <c r="AC62" s="61"/>
      <c r="AD62" s="201">
        <v>15.4</v>
      </c>
      <c r="AE62" s="61"/>
      <c r="AF62" s="61">
        <v>0</v>
      </c>
      <c r="AG62" s="61"/>
      <c r="AH62" s="61"/>
      <c r="AI62" s="61"/>
      <c r="AJ62" s="61"/>
      <c r="AK62" s="61"/>
      <c r="AL62" s="291">
        <v>24</v>
      </c>
      <c r="AM62" s="201">
        <v>22</v>
      </c>
      <c r="AN62" s="201">
        <v>15</v>
      </c>
      <c r="AO62" s="61"/>
      <c r="AP62" s="61"/>
      <c r="AQ62" s="61"/>
      <c r="AR62" s="61"/>
      <c r="AS62" s="101" t="s">
        <v>191</v>
      </c>
      <c r="AT62" s="206" t="str">
        <f t="shared" si="0"/>
        <v>44347-61</v>
      </c>
    </row>
    <row r="63" spans="1:46" x14ac:dyDescent="0.35">
      <c r="A63" s="204">
        <v>62</v>
      </c>
      <c r="B63" s="14" t="s">
        <v>83</v>
      </c>
      <c r="C63" s="1" t="s">
        <v>152</v>
      </c>
      <c r="D63" s="1" t="s">
        <v>161</v>
      </c>
      <c r="E63" s="12">
        <v>44347</v>
      </c>
      <c r="F63" s="201">
        <v>1.9</v>
      </c>
      <c r="G63" s="201">
        <v>1.1000000000000001</v>
      </c>
      <c r="H63" s="201">
        <v>0</v>
      </c>
      <c r="I63" s="201">
        <v>0</v>
      </c>
      <c r="J63" s="201">
        <v>0</v>
      </c>
      <c r="K63" s="201">
        <v>0</v>
      </c>
      <c r="L63" s="201"/>
      <c r="M63" s="201">
        <v>5.7</v>
      </c>
      <c r="N63" s="201">
        <v>1.8</v>
      </c>
      <c r="O63" s="201">
        <v>0</v>
      </c>
      <c r="P63" s="201">
        <v>1218.5999999999999</v>
      </c>
      <c r="Q63" s="201">
        <v>1313.9</v>
      </c>
      <c r="R63" s="201"/>
      <c r="S63" s="201"/>
      <c r="T63" s="201">
        <v>3067.5</v>
      </c>
      <c r="U63" s="201">
        <v>11.8</v>
      </c>
      <c r="V63" s="201"/>
      <c r="W63" s="201"/>
      <c r="X63" s="201"/>
      <c r="Y63" s="201"/>
      <c r="Z63" s="201"/>
      <c r="AA63" s="61"/>
      <c r="AB63" s="201"/>
      <c r="AC63" s="61"/>
      <c r="AD63" s="201">
        <v>6</v>
      </c>
      <c r="AE63" s="61"/>
      <c r="AF63" s="61">
        <v>0</v>
      </c>
      <c r="AG63" s="61"/>
      <c r="AH63" s="61"/>
      <c r="AI63" s="61"/>
      <c r="AJ63" s="61"/>
      <c r="AK63" s="61"/>
      <c r="AL63" s="291">
        <v>19</v>
      </c>
      <c r="AM63" s="201">
        <v>17</v>
      </c>
      <c r="AN63" s="201">
        <v>12</v>
      </c>
      <c r="AO63" s="61"/>
      <c r="AP63" s="61"/>
      <c r="AQ63" s="61"/>
      <c r="AR63" s="61"/>
      <c r="AS63" s="101" t="s">
        <v>172</v>
      </c>
      <c r="AT63" s="206" t="str">
        <f t="shared" si="0"/>
        <v>44347-62</v>
      </c>
    </row>
    <row r="64" spans="1:46" x14ac:dyDescent="0.35">
      <c r="A64" s="204">
        <v>63</v>
      </c>
      <c r="B64" s="14" t="s">
        <v>83</v>
      </c>
      <c r="C64" s="1" t="s">
        <v>160</v>
      </c>
      <c r="D64" s="1" t="s">
        <v>161</v>
      </c>
      <c r="E64" s="12">
        <v>44347</v>
      </c>
      <c r="F64" s="201">
        <v>1.5</v>
      </c>
      <c r="G64" s="201">
        <v>1.4</v>
      </c>
      <c r="H64" s="201">
        <v>0</v>
      </c>
      <c r="I64" s="201">
        <v>0</v>
      </c>
      <c r="J64" s="201">
        <v>0</v>
      </c>
      <c r="K64" s="201">
        <v>0</v>
      </c>
      <c r="L64" s="201"/>
      <c r="M64" s="201">
        <v>9.8000000000000007</v>
      </c>
      <c r="N64" s="201">
        <v>1.1000000000000001</v>
      </c>
      <c r="O64" s="201">
        <v>1.3</v>
      </c>
      <c r="P64" s="201">
        <v>1280.3</v>
      </c>
      <c r="Q64" s="201">
        <v>1441.6</v>
      </c>
      <c r="R64" s="201"/>
      <c r="S64" s="201"/>
      <c r="T64" s="201">
        <v>2400.1</v>
      </c>
      <c r="U64" s="201">
        <v>494.6</v>
      </c>
      <c r="V64" s="201"/>
      <c r="W64" s="201"/>
      <c r="X64" s="201"/>
      <c r="Y64" s="201"/>
      <c r="Z64" s="201"/>
      <c r="AA64" s="61"/>
      <c r="AB64" s="201"/>
      <c r="AC64" s="61"/>
      <c r="AD64" s="201">
        <v>15.5</v>
      </c>
      <c r="AE64" s="61"/>
      <c r="AF64" s="61">
        <v>0</v>
      </c>
      <c r="AG64" s="61"/>
      <c r="AH64" s="61"/>
      <c r="AI64" s="61"/>
      <c r="AJ64" s="61"/>
      <c r="AK64" s="61"/>
      <c r="AL64" s="291">
        <v>24</v>
      </c>
      <c r="AM64" s="201">
        <v>22</v>
      </c>
      <c r="AN64" s="201">
        <v>14</v>
      </c>
      <c r="AO64" s="61"/>
      <c r="AP64" s="61"/>
      <c r="AQ64" s="61"/>
      <c r="AR64" s="61"/>
      <c r="AS64" s="101" t="s">
        <v>171</v>
      </c>
      <c r="AT64" s="206" t="str">
        <f t="shared" si="0"/>
        <v>44347-63</v>
      </c>
    </row>
    <row r="65" spans="1:46" x14ac:dyDescent="0.35">
      <c r="A65" s="204">
        <v>64</v>
      </c>
      <c r="B65" s="14" t="s">
        <v>83</v>
      </c>
      <c r="C65" s="1" t="s">
        <v>160</v>
      </c>
      <c r="D65" s="1" t="s">
        <v>161</v>
      </c>
      <c r="E65" s="12">
        <v>44353</v>
      </c>
      <c r="F65" s="201">
        <v>1.4</v>
      </c>
      <c r="G65" s="201">
        <v>1.2</v>
      </c>
      <c r="H65" s="201">
        <v>0</v>
      </c>
      <c r="I65" s="201">
        <v>0</v>
      </c>
      <c r="J65" s="201">
        <v>0</v>
      </c>
      <c r="K65" s="201">
        <v>0</v>
      </c>
      <c r="L65" s="201"/>
      <c r="M65" s="201">
        <v>9.6</v>
      </c>
      <c r="N65" s="201">
        <v>1.8</v>
      </c>
      <c r="O65" s="201">
        <v>2.6</v>
      </c>
      <c r="P65" s="201">
        <v>1187.8</v>
      </c>
      <c r="Q65" s="201">
        <v>1667.6</v>
      </c>
      <c r="R65" s="201"/>
      <c r="S65" s="201"/>
      <c r="T65" s="201">
        <v>2275.9</v>
      </c>
      <c r="U65" s="201">
        <v>471.8</v>
      </c>
      <c r="V65" s="201"/>
      <c r="W65" s="201"/>
      <c r="X65" s="201"/>
      <c r="Y65" s="201"/>
      <c r="Z65" s="201"/>
      <c r="AA65" s="61"/>
      <c r="AB65" s="201"/>
      <c r="AC65" s="61"/>
      <c r="AD65" s="201">
        <v>15.5</v>
      </c>
      <c r="AE65" s="61"/>
      <c r="AF65" s="61">
        <v>0</v>
      </c>
      <c r="AG65" s="61"/>
      <c r="AH65" s="61"/>
      <c r="AI65" s="61"/>
      <c r="AJ65" s="61"/>
      <c r="AK65" s="61"/>
      <c r="AL65" s="291">
        <v>24</v>
      </c>
      <c r="AM65" s="201">
        <v>22</v>
      </c>
      <c r="AN65" s="201">
        <v>13</v>
      </c>
      <c r="AO65" s="61"/>
      <c r="AP65" s="61"/>
      <c r="AQ65" s="61"/>
      <c r="AR65" s="61"/>
      <c r="AS65" s="101" t="s">
        <v>171</v>
      </c>
      <c r="AT65" s="206" t="str">
        <f t="shared" si="0"/>
        <v>44353-64</v>
      </c>
    </row>
    <row r="66" spans="1:46" x14ac:dyDescent="0.35">
      <c r="A66" s="204">
        <v>65</v>
      </c>
      <c r="B66" s="14" t="s">
        <v>83</v>
      </c>
      <c r="C66" s="1" t="s">
        <v>152</v>
      </c>
      <c r="D66" s="1" t="s">
        <v>161</v>
      </c>
      <c r="E66" s="12">
        <v>44353</v>
      </c>
      <c r="F66" s="201">
        <v>2</v>
      </c>
      <c r="G66" s="201">
        <v>0.8</v>
      </c>
      <c r="H66" s="201">
        <v>0</v>
      </c>
      <c r="I66" s="201">
        <v>0</v>
      </c>
      <c r="J66" s="201">
        <v>0</v>
      </c>
      <c r="K66" s="201">
        <v>0</v>
      </c>
      <c r="L66" s="201"/>
      <c r="M66" s="201">
        <v>4.5</v>
      </c>
      <c r="N66" s="201">
        <v>1.9</v>
      </c>
      <c r="O66" s="201">
        <v>1.1000000000000001</v>
      </c>
      <c r="P66" s="201">
        <v>1187.5</v>
      </c>
      <c r="Q66" s="201">
        <v>1583.1</v>
      </c>
      <c r="R66" s="201"/>
      <c r="S66" s="201"/>
      <c r="T66" s="201">
        <v>3034.7</v>
      </c>
      <c r="U66" s="201">
        <v>13</v>
      </c>
      <c r="V66" s="201"/>
      <c r="W66" s="201"/>
      <c r="X66" s="201"/>
      <c r="Y66" s="201"/>
      <c r="Z66" s="201"/>
      <c r="AA66" s="61"/>
      <c r="AB66" s="201"/>
      <c r="AC66" s="61"/>
      <c r="AD66" s="201">
        <v>6</v>
      </c>
      <c r="AE66" s="61"/>
      <c r="AF66" s="61">
        <v>0</v>
      </c>
      <c r="AG66" s="61"/>
      <c r="AH66" s="61"/>
      <c r="AI66" s="61"/>
      <c r="AJ66" s="61"/>
      <c r="AK66" s="61"/>
      <c r="AL66" s="291">
        <v>19</v>
      </c>
      <c r="AM66" s="201">
        <v>17</v>
      </c>
      <c r="AN66" s="201">
        <v>11</v>
      </c>
      <c r="AO66" s="61"/>
      <c r="AP66" s="61"/>
      <c r="AQ66" s="61"/>
      <c r="AR66" s="61"/>
      <c r="AS66" s="101" t="s">
        <v>192</v>
      </c>
      <c r="AT66" s="206" t="str">
        <f t="shared" ref="AT66:AT129" si="1">CONCATENATE(E66,"-",A66)</f>
        <v>44353-65</v>
      </c>
    </row>
    <row r="67" spans="1:46" x14ac:dyDescent="0.35">
      <c r="A67" s="204">
        <v>66</v>
      </c>
      <c r="B67" s="14" t="s">
        <v>83</v>
      </c>
      <c r="C67" s="1" t="s">
        <v>155</v>
      </c>
      <c r="D67" s="1" t="s">
        <v>161</v>
      </c>
      <c r="E67" s="12">
        <v>44353</v>
      </c>
      <c r="F67" s="201">
        <v>1.8</v>
      </c>
      <c r="G67" s="201">
        <v>0.9</v>
      </c>
      <c r="H67" s="201">
        <v>0</v>
      </c>
      <c r="I67" s="201">
        <v>0</v>
      </c>
      <c r="J67" s="201">
        <v>0</v>
      </c>
      <c r="K67" s="201">
        <v>0</v>
      </c>
      <c r="L67" s="201"/>
      <c r="M67" s="201">
        <v>8.1999999999999993</v>
      </c>
      <c r="N67" s="201">
        <v>1.8</v>
      </c>
      <c r="O67" s="201">
        <v>1.1000000000000001</v>
      </c>
      <c r="P67" s="201">
        <v>1186.8</v>
      </c>
      <c r="Q67" s="201">
        <v>1558.1</v>
      </c>
      <c r="R67" s="201"/>
      <c r="S67" s="201"/>
      <c r="T67" s="201">
        <v>3033.9</v>
      </c>
      <c r="U67" s="201">
        <v>11.4</v>
      </c>
      <c r="V67" s="201"/>
      <c r="W67" s="201"/>
      <c r="X67" s="201"/>
      <c r="Y67" s="201"/>
      <c r="Z67" s="201"/>
      <c r="AA67" s="61"/>
      <c r="AB67" s="201"/>
      <c r="AC67" s="61"/>
      <c r="AD67" s="201">
        <v>25.5</v>
      </c>
      <c r="AE67" s="61"/>
      <c r="AF67" s="61">
        <v>0</v>
      </c>
      <c r="AG67" s="61"/>
      <c r="AH67" s="61"/>
      <c r="AI67" s="61"/>
      <c r="AJ67" s="61"/>
      <c r="AK67" s="61"/>
      <c r="AL67" s="291">
        <v>21</v>
      </c>
      <c r="AM67" s="201">
        <v>19</v>
      </c>
      <c r="AN67" s="201">
        <v>14</v>
      </c>
      <c r="AO67" s="61"/>
      <c r="AP67" s="61"/>
      <c r="AQ67" s="61"/>
      <c r="AR67" s="61"/>
      <c r="AS67" s="101" t="s">
        <v>193</v>
      </c>
      <c r="AT67" s="206" t="str">
        <f t="shared" si="1"/>
        <v>44353-66</v>
      </c>
    </row>
    <row r="68" spans="1:46" s="38" customFormat="1" x14ac:dyDescent="0.35">
      <c r="A68" s="204">
        <v>67</v>
      </c>
      <c r="B68" s="14" t="s">
        <v>83</v>
      </c>
      <c r="C68" s="1" t="s">
        <v>160</v>
      </c>
      <c r="D68" s="1" t="s">
        <v>161</v>
      </c>
      <c r="E68" s="12">
        <v>44353</v>
      </c>
      <c r="F68" s="201">
        <v>1.3</v>
      </c>
      <c r="G68" s="201">
        <v>1.2</v>
      </c>
      <c r="H68" s="201">
        <v>0</v>
      </c>
      <c r="I68" s="201">
        <v>0</v>
      </c>
      <c r="J68" s="201">
        <v>0</v>
      </c>
      <c r="K68" s="201">
        <v>0</v>
      </c>
      <c r="L68" s="201"/>
      <c r="M68" s="201">
        <v>9.1999999999999993</v>
      </c>
      <c r="N68" s="201">
        <v>1.8</v>
      </c>
      <c r="O68" s="201">
        <v>2.7</v>
      </c>
      <c r="P68" s="201">
        <v>1181.8</v>
      </c>
      <c r="Q68" s="201">
        <v>1668.8</v>
      </c>
      <c r="R68" s="201"/>
      <c r="S68" s="201"/>
      <c r="T68" s="201">
        <v>2271.8000000000002</v>
      </c>
      <c r="U68" s="201">
        <v>470</v>
      </c>
      <c r="V68" s="201"/>
      <c r="W68" s="201"/>
      <c r="X68" s="201"/>
      <c r="Y68" s="201"/>
      <c r="Z68" s="201"/>
      <c r="AA68" s="61"/>
      <c r="AB68" s="201"/>
      <c r="AC68" s="61"/>
      <c r="AD68" s="201">
        <v>15.2</v>
      </c>
      <c r="AE68" s="61"/>
      <c r="AF68" s="61">
        <v>0</v>
      </c>
      <c r="AG68" s="61"/>
      <c r="AH68" s="61"/>
      <c r="AI68" s="61"/>
      <c r="AJ68" s="61"/>
      <c r="AK68" s="61"/>
      <c r="AL68" s="291">
        <v>23</v>
      </c>
      <c r="AM68" s="201">
        <v>22</v>
      </c>
      <c r="AN68" s="201">
        <v>15</v>
      </c>
      <c r="AO68" s="61"/>
      <c r="AP68" s="61"/>
      <c r="AQ68" s="61"/>
      <c r="AR68" s="61"/>
      <c r="AS68" s="101" t="s">
        <v>162</v>
      </c>
      <c r="AT68" s="206" t="str">
        <f t="shared" si="1"/>
        <v>44353-67</v>
      </c>
    </row>
    <row r="69" spans="1:46" x14ac:dyDescent="0.35">
      <c r="A69" s="204">
        <v>68</v>
      </c>
      <c r="B69" s="14" t="s">
        <v>83</v>
      </c>
      <c r="C69" s="1" t="s">
        <v>157</v>
      </c>
      <c r="D69" s="1" t="s">
        <v>161</v>
      </c>
      <c r="E69" s="12">
        <v>44353</v>
      </c>
      <c r="F69" s="201">
        <v>0</v>
      </c>
      <c r="G69" s="201">
        <v>0.6</v>
      </c>
      <c r="H69" s="201">
        <v>0</v>
      </c>
      <c r="I69" s="201">
        <v>0</v>
      </c>
      <c r="J69" s="201">
        <v>0</v>
      </c>
      <c r="K69" s="201">
        <v>0</v>
      </c>
      <c r="L69" s="201"/>
      <c r="M69" s="201">
        <v>19.100000000000001</v>
      </c>
      <c r="N69" s="201">
        <v>0</v>
      </c>
      <c r="O69" s="201">
        <v>0.6</v>
      </c>
      <c r="P69" s="201">
        <v>2.2999999999999998</v>
      </c>
      <c r="Q69" s="201">
        <v>328.6</v>
      </c>
      <c r="R69" s="201"/>
      <c r="S69" s="201"/>
      <c r="T69" s="201">
        <v>0</v>
      </c>
      <c r="U69" s="201">
        <v>0.3</v>
      </c>
      <c r="V69" s="201"/>
      <c r="W69" s="201"/>
      <c r="X69" s="201"/>
      <c r="Y69" s="201"/>
      <c r="Z69" s="201"/>
      <c r="AA69" s="61"/>
      <c r="AB69" s="201"/>
      <c r="AC69" s="61"/>
      <c r="AD69" s="201">
        <v>78.900000000000006</v>
      </c>
      <c r="AE69" s="61"/>
      <c r="AF69" s="61">
        <v>0</v>
      </c>
      <c r="AG69" s="61"/>
      <c r="AH69" s="61"/>
      <c r="AI69" s="61"/>
      <c r="AJ69" s="61"/>
      <c r="AK69" s="61"/>
      <c r="AL69" s="291">
        <v>20</v>
      </c>
      <c r="AM69" s="201">
        <v>18</v>
      </c>
      <c r="AN69" s="201">
        <v>11</v>
      </c>
      <c r="AO69" s="61"/>
      <c r="AP69" s="61"/>
      <c r="AQ69" s="61"/>
      <c r="AR69" s="61"/>
      <c r="AS69" s="101" t="s">
        <v>163</v>
      </c>
      <c r="AT69" s="206" t="str">
        <f t="shared" si="1"/>
        <v>44353-68</v>
      </c>
    </row>
    <row r="70" spans="1:46" x14ac:dyDescent="0.35">
      <c r="A70" s="204">
        <v>69</v>
      </c>
      <c r="B70" s="14" t="s">
        <v>83</v>
      </c>
      <c r="C70" s="1" t="s">
        <v>152</v>
      </c>
      <c r="D70" s="1" t="s">
        <v>161</v>
      </c>
      <c r="E70" s="12">
        <v>44353</v>
      </c>
      <c r="F70" s="201">
        <v>1.7</v>
      </c>
      <c r="G70" s="201">
        <v>1</v>
      </c>
      <c r="H70" s="201">
        <v>0</v>
      </c>
      <c r="I70" s="201">
        <v>0</v>
      </c>
      <c r="J70" s="201">
        <v>0</v>
      </c>
      <c r="K70" s="201">
        <v>0</v>
      </c>
      <c r="L70" s="201"/>
      <c r="M70" s="201">
        <v>4.5999999999999996</v>
      </c>
      <c r="N70" s="201">
        <v>2.2000000000000002</v>
      </c>
      <c r="O70" s="201">
        <v>0.6</v>
      </c>
      <c r="P70" s="201">
        <v>1182.7</v>
      </c>
      <c r="Q70" s="201">
        <v>1558.4</v>
      </c>
      <c r="R70" s="201"/>
      <c r="S70" s="201"/>
      <c r="T70" s="201">
        <v>3043.6</v>
      </c>
      <c r="U70" s="201">
        <v>17</v>
      </c>
      <c r="V70" s="201"/>
      <c r="W70" s="201"/>
      <c r="X70" s="201"/>
      <c r="Y70" s="201"/>
      <c r="Z70" s="201"/>
      <c r="AA70" s="61"/>
      <c r="AB70" s="201"/>
      <c r="AC70" s="61"/>
      <c r="AD70" s="201">
        <v>6</v>
      </c>
      <c r="AE70" s="61"/>
      <c r="AF70" s="61">
        <v>0</v>
      </c>
      <c r="AG70" s="61"/>
      <c r="AH70" s="61"/>
      <c r="AI70" s="61"/>
      <c r="AJ70" s="61"/>
      <c r="AK70" s="61"/>
      <c r="AL70" s="291">
        <v>20</v>
      </c>
      <c r="AM70" s="201">
        <v>19</v>
      </c>
      <c r="AN70" s="201">
        <v>14</v>
      </c>
      <c r="AO70" s="61"/>
      <c r="AP70" s="61"/>
      <c r="AQ70" s="61"/>
      <c r="AR70" s="61"/>
      <c r="AS70" s="101" t="s">
        <v>164</v>
      </c>
      <c r="AT70" s="206" t="str">
        <f t="shared" si="1"/>
        <v>44353-69</v>
      </c>
    </row>
    <row r="71" spans="1:46" x14ac:dyDescent="0.35">
      <c r="A71" s="204">
        <v>70</v>
      </c>
      <c r="B71" s="14" t="s">
        <v>83</v>
      </c>
      <c r="C71" s="1" t="s">
        <v>160</v>
      </c>
      <c r="D71" s="1" t="s">
        <v>161</v>
      </c>
      <c r="E71" s="12">
        <v>44353</v>
      </c>
      <c r="F71" s="201">
        <v>1.4</v>
      </c>
      <c r="G71" s="201">
        <v>1.2</v>
      </c>
      <c r="H71" s="201">
        <v>0</v>
      </c>
      <c r="I71" s="201">
        <v>0</v>
      </c>
      <c r="J71" s="201">
        <v>0</v>
      </c>
      <c r="K71" s="201">
        <v>0</v>
      </c>
      <c r="L71" s="201"/>
      <c r="M71" s="201">
        <v>9.4</v>
      </c>
      <c r="N71" s="201">
        <v>1.9</v>
      </c>
      <c r="O71" s="201">
        <v>3.1</v>
      </c>
      <c r="P71" s="201">
        <v>1184</v>
      </c>
      <c r="Q71" s="201">
        <v>1679.4</v>
      </c>
      <c r="R71" s="201"/>
      <c r="S71" s="201"/>
      <c r="T71" s="201">
        <v>2259.8000000000002</v>
      </c>
      <c r="U71" s="201">
        <v>474.4</v>
      </c>
      <c r="V71" s="201"/>
      <c r="W71" s="201"/>
      <c r="X71" s="201"/>
      <c r="Y71" s="201"/>
      <c r="Z71" s="201"/>
      <c r="AA71" s="61"/>
      <c r="AB71" s="201"/>
      <c r="AC71" s="61"/>
      <c r="AD71" s="201">
        <v>15.5</v>
      </c>
      <c r="AE71" s="61"/>
      <c r="AF71" s="61">
        <v>0</v>
      </c>
      <c r="AG71" s="61"/>
      <c r="AH71" s="61"/>
      <c r="AI71" s="61"/>
      <c r="AJ71" s="61"/>
      <c r="AK71" s="61"/>
      <c r="AL71" s="291">
        <v>24</v>
      </c>
      <c r="AM71" s="201">
        <v>22</v>
      </c>
      <c r="AN71" s="201">
        <v>13</v>
      </c>
      <c r="AO71" s="61"/>
      <c r="AP71" s="61"/>
      <c r="AQ71" s="61"/>
      <c r="AR71" s="61"/>
      <c r="AS71" s="101" t="s">
        <v>191</v>
      </c>
      <c r="AT71" s="206" t="str">
        <f t="shared" si="1"/>
        <v>44353-70</v>
      </c>
    </row>
    <row r="72" spans="1:46" x14ac:dyDescent="0.35">
      <c r="A72" s="204">
        <v>71</v>
      </c>
      <c r="B72" s="14" t="s">
        <v>83</v>
      </c>
      <c r="C72" s="1" t="s">
        <v>157</v>
      </c>
      <c r="D72" s="1" t="s">
        <v>161</v>
      </c>
      <c r="E72" s="12">
        <v>44353</v>
      </c>
      <c r="F72" s="201">
        <v>0</v>
      </c>
      <c r="G72" s="201">
        <v>0.7</v>
      </c>
      <c r="H72" s="201">
        <v>0</v>
      </c>
      <c r="I72" s="201">
        <v>0</v>
      </c>
      <c r="J72" s="201">
        <v>0</v>
      </c>
      <c r="K72" s="201">
        <v>0</v>
      </c>
      <c r="L72" s="201"/>
      <c r="M72" s="201">
        <v>18.2</v>
      </c>
      <c r="N72" s="201">
        <v>0.1</v>
      </c>
      <c r="O72" s="201">
        <v>1.2</v>
      </c>
      <c r="P72" s="201">
        <v>3.1</v>
      </c>
      <c r="Q72" s="201">
        <v>338</v>
      </c>
      <c r="R72" s="201"/>
      <c r="S72" s="201"/>
      <c r="T72" s="201">
        <v>2.2000000000000002</v>
      </c>
      <c r="U72" s="201">
        <v>0.6</v>
      </c>
      <c r="V72" s="201"/>
      <c r="W72" s="201"/>
      <c r="X72" s="201"/>
      <c r="Y72" s="201"/>
      <c r="Z72" s="201"/>
      <c r="AA72" s="61"/>
      <c r="AB72" s="201"/>
      <c r="AC72" s="61"/>
      <c r="AD72" s="201">
        <v>78.2</v>
      </c>
      <c r="AE72" s="61"/>
      <c r="AF72" s="61">
        <v>0</v>
      </c>
      <c r="AG72" s="61"/>
      <c r="AH72" s="61"/>
      <c r="AI72" s="61"/>
      <c r="AJ72" s="61"/>
      <c r="AK72" s="61"/>
      <c r="AL72" s="291">
        <v>21</v>
      </c>
      <c r="AM72" s="201">
        <v>21</v>
      </c>
      <c r="AN72" s="201">
        <v>16</v>
      </c>
      <c r="AO72" s="61"/>
      <c r="AP72" s="61"/>
      <c r="AQ72" s="61"/>
      <c r="AR72" s="61"/>
      <c r="AS72" s="101" t="s">
        <v>194</v>
      </c>
      <c r="AT72" s="206" t="str">
        <f t="shared" si="1"/>
        <v>44353-71</v>
      </c>
    </row>
    <row r="73" spans="1:46" x14ac:dyDescent="0.35">
      <c r="A73" s="204">
        <v>72</v>
      </c>
      <c r="B73" s="14" t="s">
        <v>83</v>
      </c>
      <c r="C73" s="1" t="s">
        <v>152</v>
      </c>
      <c r="D73" s="1" t="s">
        <v>161</v>
      </c>
      <c r="E73" s="12">
        <v>44353</v>
      </c>
      <c r="F73" s="201">
        <v>1.8</v>
      </c>
      <c r="G73" s="201">
        <v>0.7</v>
      </c>
      <c r="H73" s="201">
        <v>0</v>
      </c>
      <c r="I73" s="201">
        <v>0</v>
      </c>
      <c r="J73" s="201">
        <v>0</v>
      </c>
      <c r="K73" s="201">
        <v>0</v>
      </c>
      <c r="L73" s="201"/>
      <c r="M73" s="201">
        <v>4.3</v>
      </c>
      <c r="N73" s="201">
        <v>2.2999999999999998</v>
      </c>
      <c r="O73" s="201">
        <v>0.9</v>
      </c>
      <c r="P73" s="201">
        <v>1173.8</v>
      </c>
      <c r="Q73" s="201">
        <v>1555.2</v>
      </c>
      <c r="R73" s="201"/>
      <c r="S73" s="201"/>
      <c r="T73" s="201">
        <v>3004.3</v>
      </c>
      <c r="U73" s="201">
        <v>11.7</v>
      </c>
      <c r="V73" s="201"/>
      <c r="W73" s="201"/>
      <c r="X73" s="201"/>
      <c r="Y73" s="201"/>
      <c r="Z73" s="201"/>
      <c r="AA73" s="61"/>
      <c r="AB73" s="201"/>
      <c r="AC73" s="61"/>
      <c r="AD73" s="201">
        <v>6</v>
      </c>
      <c r="AE73" s="61"/>
      <c r="AF73" s="61">
        <v>0</v>
      </c>
      <c r="AG73" s="61"/>
      <c r="AH73" s="61"/>
      <c r="AI73" s="61"/>
      <c r="AJ73" s="61"/>
      <c r="AK73" s="61"/>
      <c r="AL73" s="291">
        <v>19</v>
      </c>
      <c r="AM73" s="201">
        <v>17</v>
      </c>
      <c r="AN73" s="201">
        <v>12</v>
      </c>
      <c r="AO73" s="61"/>
      <c r="AP73" s="61"/>
      <c r="AQ73" s="61"/>
      <c r="AR73" s="61"/>
      <c r="AS73" s="101" t="s">
        <v>172</v>
      </c>
      <c r="AT73" s="206" t="str">
        <f t="shared" si="1"/>
        <v>44353-72</v>
      </c>
    </row>
    <row r="74" spans="1:46" x14ac:dyDescent="0.35">
      <c r="A74" s="204">
        <v>73</v>
      </c>
      <c r="B74" s="14" t="s">
        <v>83</v>
      </c>
      <c r="C74" s="1" t="s">
        <v>152</v>
      </c>
      <c r="D74" s="1" t="s">
        <v>161</v>
      </c>
      <c r="E74" s="12">
        <v>44355</v>
      </c>
      <c r="F74" s="201">
        <v>1.6</v>
      </c>
      <c r="G74" s="201">
        <v>0.8</v>
      </c>
      <c r="H74" s="201">
        <v>0</v>
      </c>
      <c r="I74" s="201">
        <v>0.3</v>
      </c>
      <c r="J74" s="201">
        <v>0</v>
      </c>
      <c r="K74" s="201">
        <v>0</v>
      </c>
      <c r="L74" s="201"/>
      <c r="M74" s="201">
        <v>3.7</v>
      </c>
      <c r="N74" s="201">
        <v>1.1000000000000001</v>
      </c>
      <c r="O74" s="201">
        <v>0</v>
      </c>
      <c r="P74" s="201">
        <v>1134.9000000000001</v>
      </c>
      <c r="Q74" s="201">
        <v>1209.3</v>
      </c>
      <c r="R74" s="201"/>
      <c r="S74" s="201"/>
      <c r="T74" s="201">
        <v>2946.9</v>
      </c>
      <c r="U74" s="201">
        <v>10.199999999999999</v>
      </c>
      <c r="V74" s="201"/>
      <c r="W74" s="201"/>
      <c r="X74" s="201"/>
      <c r="Y74" s="201"/>
      <c r="Z74" s="201"/>
      <c r="AA74" s="61"/>
      <c r="AB74" s="201"/>
      <c r="AC74" s="61"/>
      <c r="AD74" s="201">
        <v>6</v>
      </c>
      <c r="AE74" s="61"/>
      <c r="AF74" s="61">
        <v>0</v>
      </c>
      <c r="AG74" s="61"/>
      <c r="AH74" s="61"/>
      <c r="AI74" s="61"/>
      <c r="AJ74" s="61"/>
      <c r="AK74" s="61"/>
      <c r="AL74" s="291">
        <v>19</v>
      </c>
      <c r="AM74" s="201">
        <v>17</v>
      </c>
      <c r="AN74" s="201">
        <v>14</v>
      </c>
      <c r="AO74" s="61"/>
      <c r="AP74" s="61"/>
      <c r="AQ74" s="61"/>
      <c r="AR74" s="61"/>
      <c r="AS74" s="101" t="s">
        <v>178</v>
      </c>
      <c r="AT74" s="206" t="str">
        <f t="shared" si="1"/>
        <v>44355-73</v>
      </c>
    </row>
    <row r="75" spans="1:46" x14ac:dyDescent="0.35">
      <c r="A75" s="204">
        <v>74</v>
      </c>
      <c r="B75" s="14" t="s">
        <v>83</v>
      </c>
      <c r="C75" s="1" t="s">
        <v>160</v>
      </c>
      <c r="D75" s="1" t="s">
        <v>161</v>
      </c>
      <c r="E75" s="12">
        <v>44355</v>
      </c>
      <c r="F75" s="201">
        <v>1.3</v>
      </c>
      <c r="G75" s="201">
        <v>1.3</v>
      </c>
      <c r="H75" s="201">
        <v>0.1</v>
      </c>
      <c r="I75" s="201">
        <v>0</v>
      </c>
      <c r="J75" s="201">
        <v>0</v>
      </c>
      <c r="K75" s="201">
        <v>0</v>
      </c>
      <c r="L75" s="201"/>
      <c r="M75" s="201">
        <v>7.6</v>
      </c>
      <c r="N75" s="201">
        <v>0.1</v>
      </c>
      <c r="O75" s="201">
        <v>1.6</v>
      </c>
      <c r="P75" s="201">
        <v>1146.7</v>
      </c>
      <c r="Q75" s="201">
        <v>1291.3</v>
      </c>
      <c r="R75" s="201"/>
      <c r="S75" s="201"/>
      <c r="T75" s="201">
        <v>2122.5</v>
      </c>
      <c r="U75" s="201">
        <v>448.3</v>
      </c>
      <c r="V75" s="201"/>
      <c r="W75" s="201"/>
      <c r="X75" s="201"/>
      <c r="Y75" s="201"/>
      <c r="Z75" s="201"/>
      <c r="AA75" s="61"/>
      <c r="AB75" s="201"/>
      <c r="AC75" s="61"/>
      <c r="AD75" s="201">
        <v>15.2</v>
      </c>
      <c r="AE75" s="61"/>
      <c r="AF75" s="61">
        <v>0</v>
      </c>
      <c r="AG75" s="61"/>
      <c r="AH75" s="61"/>
      <c r="AI75" s="61"/>
      <c r="AJ75" s="61"/>
      <c r="AK75" s="61"/>
      <c r="AL75" s="291">
        <v>24</v>
      </c>
      <c r="AM75" s="201">
        <v>22</v>
      </c>
      <c r="AN75" s="201">
        <v>15</v>
      </c>
      <c r="AO75" s="61"/>
      <c r="AP75" s="61"/>
      <c r="AQ75" s="61"/>
      <c r="AR75" s="61"/>
      <c r="AS75" s="101" t="s">
        <v>179</v>
      </c>
      <c r="AT75" s="206" t="str">
        <f t="shared" si="1"/>
        <v>44355-74</v>
      </c>
    </row>
    <row r="76" spans="1:46" x14ac:dyDescent="0.35">
      <c r="A76" s="204">
        <v>75</v>
      </c>
      <c r="B76" s="14" t="s">
        <v>83</v>
      </c>
      <c r="C76" s="1" t="s">
        <v>152</v>
      </c>
      <c r="D76" s="1" t="s">
        <v>161</v>
      </c>
      <c r="E76" s="12">
        <v>44355</v>
      </c>
      <c r="F76" s="201">
        <v>1.6</v>
      </c>
      <c r="G76" s="201">
        <v>0.9</v>
      </c>
      <c r="H76" s="201">
        <v>0</v>
      </c>
      <c r="I76" s="201">
        <v>0</v>
      </c>
      <c r="J76" s="201">
        <v>0.1</v>
      </c>
      <c r="K76" s="201">
        <v>0</v>
      </c>
      <c r="L76" s="201"/>
      <c r="M76" s="201">
        <v>3.7</v>
      </c>
      <c r="N76" s="201">
        <v>1.9</v>
      </c>
      <c r="O76" s="201">
        <v>0.3</v>
      </c>
      <c r="P76" s="201">
        <v>1131.8</v>
      </c>
      <c r="Q76" s="201">
        <v>1187.7</v>
      </c>
      <c r="R76" s="201"/>
      <c r="S76" s="201"/>
      <c r="T76" s="201">
        <v>2829.4</v>
      </c>
      <c r="U76" s="201">
        <v>10.6</v>
      </c>
      <c r="V76" s="201"/>
      <c r="W76" s="201"/>
      <c r="X76" s="201"/>
      <c r="Y76" s="201"/>
      <c r="Z76" s="201"/>
      <c r="AA76" s="61"/>
      <c r="AB76" s="201"/>
      <c r="AC76" s="61"/>
      <c r="AD76" s="201">
        <v>6</v>
      </c>
      <c r="AE76" s="61"/>
      <c r="AF76" s="61">
        <v>0</v>
      </c>
      <c r="AG76" s="61"/>
      <c r="AH76" s="61"/>
      <c r="AI76" s="61"/>
      <c r="AJ76" s="61"/>
      <c r="AK76" s="61"/>
      <c r="AL76" s="291">
        <v>25</v>
      </c>
      <c r="AM76" s="201">
        <v>23</v>
      </c>
      <c r="AN76" s="201">
        <v>17</v>
      </c>
      <c r="AO76" s="61"/>
      <c r="AP76" s="61"/>
      <c r="AQ76" s="61"/>
      <c r="AR76" s="61"/>
      <c r="AS76" s="101" t="s">
        <v>180</v>
      </c>
      <c r="AT76" s="206" t="str">
        <f t="shared" si="1"/>
        <v>44355-75</v>
      </c>
    </row>
    <row r="77" spans="1:46" x14ac:dyDescent="0.35">
      <c r="A77" s="204">
        <v>76</v>
      </c>
      <c r="B77" s="14" t="s">
        <v>83</v>
      </c>
      <c r="C77" s="1" t="s">
        <v>152</v>
      </c>
      <c r="D77" s="1" t="s">
        <v>161</v>
      </c>
      <c r="E77" s="12">
        <v>44356</v>
      </c>
      <c r="F77" s="201">
        <v>1.7</v>
      </c>
      <c r="G77" s="201">
        <v>1</v>
      </c>
      <c r="H77" s="201">
        <v>0</v>
      </c>
      <c r="I77" s="201">
        <v>0.2</v>
      </c>
      <c r="J77" s="201">
        <v>0</v>
      </c>
      <c r="K77" s="201">
        <v>0</v>
      </c>
      <c r="L77" s="201"/>
      <c r="M77" s="201">
        <v>3.4</v>
      </c>
      <c r="N77" s="201">
        <v>2</v>
      </c>
      <c r="O77" s="201">
        <v>0.5</v>
      </c>
      <c r="P77" s="201">
        <v>1159</v>
      </c>
      <c r="Q77" s="201">
        <v>1202.5</v>
      </c>
      <c r="R77" s="201"/>
      <c r="S77" s="201"/>
      <c r="T77" s="201">
        <v>2977.2</v>
      </c>
      <c r="U77" s="201">
        <v>10.5</v>
      </c>
      <c r="V77" s="201"/>
      <c r="W77" s="201"/>
      <c r="X77" s="201"/>
      <c r="Y77" s="201"/>
      <c r="Z77" s="201"/>
      <c r="AA77" s="61"/>
      <c r="AB77" s="201"/>
      <c r="AC77" s="61"/>
      <c r="AD77" s="201">
        <v>6</v>
      </c>
      <c r="AE77" s="61"/>
      <c r="AF77" s="61">
        <v>0</v>
      </c>
      <c r="AG77" s="61"/>
      <c r="AH77" s="61"/>
      <c r="AI77" s="61"/>
      <c r="AJ77" s="61"/>
      <c r="AK77" s="61"/>
      <c r="AL77" s="291">
        <v>20</v>
      </c>
      <c r="AM77" s="201">
        <v>18</v>
      </c>
      <c r="AN77" s="201">
        <v>14</v>
      </c>
      <c r="AO77" s="61"/>
      <c r="AP77" s="61"/>
      <c r="AQ77" s="61"/>
      <c r="AR77" s="61"/>
      <c r="AS77" s="101" t="s">
        <v>178</v>
      </c>
      <c r="AT77" s="206" t="str">
        <f t="shared" si="1"/>
        <v>44356-76</v>
      </c>
    </row>
    <row r="78" spans="1:46" x14ac:dyDescent="0.35">
      <c r="A78" s="204">
        <v>77</v>
      </c>
      <c r="B78" s="14" t="s">
        <v>83</v>
      </c>
      <c r="C78" s="1" t="s">
        <v>160</v>
      </c>
      <c r="D78" s="1" t="s">
        <v>161</v>
      </c>
      <c r="E78" s="12">
        <v>44356</v>
      </c>
      <c r="F78" s="201">
        <v>1.3</v>
      </c>
      <c r="G78" s="201">
        <v>1.2</v>
      </c>
      <c r="H78" s="201">
        <v>0</v>
      </c>
      <c r="I78" s="201">
        <v>0</v>
      </c>
      <c r="J78" s="201">
        <v>0</v>
      </c>
      <c r="K78" s="201">
        <v>0</v>
      </c>
      <c r="L78" s="201"/>
      <c r="M78" s="201">
        <v>6.8</v>
      </c>
      <c r="N78" s="201">
        <v>0.4</v>
      </c>
      <c r="O78" s="201">
        <v>1.6</v>
      </c>
      <c r="P78" s="201">
        <v>1118</v>
      </c>
      <c r="Q78" s="201">
        <v>1220.9000000000001</v>
      </c>
      <c r="R78" s="201"/>
      <c r="S78" s="201"/>
      <c r="T78" s="201">
        <v>2129.9</v>
      </c>
      <c r="U78" s="201">
        <v>434.4</v>
      </c>
      <c r="V78" s="201"/>
      <c r="W78" s="201"/>
      <c r="X78" s="201"/>
      <c r="Y78" s="201"/>
      <c r="Z78" s="201"/>
      <c r="AA78" s="61"/>
      <c r="AB78" s="201"/>
      <c r="AC78" s="61"/>
      <c r="AD78" s="201">
        <v>15</v>
      </c>
      <c r="AE78" s="61"/>
      <c r="AF78" s="61">
        <v>0</v>
      </c>
      <c r="AG78" s="61"/>
      <c r="AH78" s="61"/>
      <c r="AI78" s="61"/>
      <c r="AJ78" s="61"/>
      <c r="AK78" s="61"/>
      <c r="AL78" s="291">
        <v>19</v>
      </c>
      <c r="AM78" s="201">
        <v>17</v>
      </c>
      <c r="AN78" s="201">
        <v>13</v>
      </c>
      <c r="AO78" s="61"/>
      <c r="AP78" s="61"/>
      <c r="AQ78" s="61"/>
      <c r="AR78" s="61"/>
      <c r="AS78" s="101" t="s">
        <v>179</v>
      </c>
      <c r="AT78" s="206" t="str">
        <f t="shared" si="1"/>
        <v>44356-77</v>
      </c>
    </row>
    <row r="79" spans="1:46" x14ac:dyDescent="0.35">
      <c r="A79" s="204">
        <v>78</v>
      </c>
      <c r="B79" s="14" t="s">
        <v>83</v>
      </c>
      <c r="C79" s="1" t="s">
        <v>152</v>
      </c>
      <c r="D79" s="1" t="s">
        <v>161</v>
      </c>
      <c r="E79" s="12">
        <v>44356</v>
      </c>
      <c r="F79" s="201">
        <v>1.6</v>
      </c>
      <c r="G79" s="201">
        <v>1.1000000000000001</v>
      </c>
      <c r="H79" s="201">
        <v>0</v>
      </c>
      <c r="I79" s="201">
        <v>0</v>
      </c>
      <c r="J79" s="201">
        <v>0</v>
      </c>
      <c r="K79" s="201">
        <v>0</v>
      </c>
      <c r="L79" s="201"/>
      <c r="M79" s="201">
        <v>3.6</v>
      </c>
      <c r="N79" s="201">
        <v>1.8</v>
      </c>
      <c r="O79" s="201">
        <v>0</v>
      </c>
      <c r="P79" s="201">
        <v>1140.0999999999999</v>
      </c>
      <c r="Q79" s="201">
        <v>1188.5</v>
      </c>
      <c r="R79" s="201"/>
      <c r="S79" s="201"/>
      <c r="T79" s="201">
        <v>2930.7</v>
      </c>
      <c r="U79" s="201">
        <v>10.8</v>
      </c>
      <c r="V79" s="201"/>
      <c r="W79" s="201"/>
      <c r="X79" s="201"/>
      <c r="Y79" s="201"/>
      <c r="Z79" s="201"/>
      <c r="AA79" s="61"/>
      <c r="AB79" s="201"/>
      <c r="AC79" s="61"/>
      <c r="AD79" s="201">
        <v>6.1</v>
      </c>
      <c r="AE79" s="61"/>
      <c r="AF79" s="61">
        <v>0</v>
      </c>
      <c r="AG79" s="61"/>
      <c r="AH79" s="61"/>
      <c r="AI79" s="61"/>
      <c r="AJ79" s="61"/>
      <c r="AK79" s="61"/>
      <c r="AL79" s="291">
        <v>22</v>
      </c>
      <c r="AM79" s="201">
        <v>21</v>
      </c>
      <c r="AN79" s="201">
        <v>18</v>
      </c>
      <c r="AO79" s="61"/>
      <c r="AP79" s="61"/>
      <c r="AQ79" s="61"/>
      <c r="AR79" s="61"/>
      <c r="AS79" s="101" t="s">
        <v>180</v>
      </c>
      <c r="AT79" s="206" t="str">
        <f t="shared" si="1"/>
        <v>44356-78</v>
      </c>
    </row>
    <row r="80" spans="1:46" x14ac:dyDescent="0.35">
      <c r="A80" s="204">
        <v>79</v>
      </c>
      <c r="B80" s="14" t="s">
        <v>83</v>
      </c>
      <c r="C80" s="1" t="s">
        <v>152</v>
      </c>
      <c r="D80" s="1" t="s">
        <v>161</v>
      </c>
      <c r="E80" s="12">
        <v>44359</v>
      </c>
      <c r="F80" s="201">
        <v>1.5</v>
      </c>
      <c r="G80" s="201">
        <v>0.9</v>
      </c>
      <c r="H80" s="201">
        <v>0</v>
      </c>
      <c r="I80" s="201">
        <v>0</v>
      </c>
      <c r="J80" s="201">
        <v>0</v>
      </c>
      <c r="K80" s="201">
        <v>0</v>
      </c>
      <c r="L80" s="201"/>
      <c r="M80" s="201">
        <v>3.7</v>
      </c>
      <c r="N80" s="201">
        <v>1.2</v>
      </c>
      <c r="O80" s="201">
        <v>0.5</v>
      </c>
      <c r="P80" s="201">
        <v>1089.9000000000001</v>
      </c>
      <c r="Q80" s="201">
        <v>1081.9000000000001</v>
      </c>
      <c r="R80" s="201"/>
      <c r="S80" s="201"/>
      <c r="T80" s="201">
        <v>2839.8</v>
      </c>
      <c r="U80" s="201">
        <v>13.9</v>
      </c>
      <c r="V80" s="201"/>
      <c r="W80" s="201"/>
      <c r="X80" s="201"/>
      <c r="Y80" s="201"/>
      <c r="Z80" s="201"/>
      <c r="AA80" s="61"/>
      <c r="AB80" s="201"/>
      <c r="AC80" s="61"/>
      <c r="AD80" s="201">
        <v>6</v>
      </c>
      <c r="AE80" s="61"/>
      <c r="AF80" s="61">
        <v>0</v>
      </c>
      <c r="AG80" s="61"/>
      <c r="AH80" s="61"/>
      <c r="AI80" s="61"/>
      <c r="AJ80" s="61"/>
      <c r="AK80" s="61"/>
      <c r="AL80" s="291">
        <v>22</v>
      </c>
      <c r="AM80" s="201">
        <v>20</v>
      </c>
      <c r="AN80" s="201">
        <v>15</v>
      </c>
      <c r="AO80" s="61"/>
      <c r="AP80" s="61"/>
      <c r="AQ80" s="61"/>
      <c r="AR80" s="61"/>
      <c r="AS80" s="101" t="s">
        <v>184</v>
      </c>
      <c r="AT80" s="206" t="str">
        <f t="shared" si="1"/>
        <v>44359-79</v>
      </c>
    </row>
    <row r="81" spans="1:46" x14ac:dyDescent="0.35">
      <c r="A81" s="204">
        <v>80</v>
      </c>
      <c r="B81" s="14" t="s">
        <v>83</v>
      </c>
      <c r="C81" s="1" t="s">
        <v>152</v>
      </c>
      <c r="D81" s="1" t="s">
        <v>161</v>
      </c>
      <c r="E81" s="12">
        <v>44359</v>
      </c>
      <c r="F81" s="201">
        <v>1.6</v>
      </c>
      <c r="G81" s="201">
        <v>0.9</v>
      </c>
      <c r="H81" s="201">
        <v>0</v>
      </c>
      <c r="I81" s="201">
        <v>0.1</v>
      </c>
      <c r="J81" s="201">
        <v>0</v>
      </c>
      <c r="K81" s="201">
        <v>0</v>
      </c>
      <c r="L81" s="201"/>
      <c r="M81" s="201">
        <v>3.2</v>
      </c>
      <c r="N81" s="201">
        <v>1.4</v>
      </c>
      <c r="O81" s="201">
        <v>0.1</v>
      </c>
      <c r="P81" s="201">
        <v>1066.8</v>
      </c>
      <c r="Q81" s="201">
        <v>1057.7</v>
      </c>
      <c r="R81" s="201"/>
      <c r="S81" s="201"/>
      <c r="T81" s="201">
        <v>2767.7</v>
      </c>
      <c r="U81" s="201">
        <v>10.6</v>
      </c>
      <c r="V81" s="201"/>
      <c r="W81" s="201"/>
      <c r="X81" s="201"/>
      <c r="Y81" s="201"/>
      <c r="Z81" s="201"/>
      <c r="AA81" s="61"/>
      <c r="AB81" s="201"/>
      <c r="AC81" s="61"/>
      <c r="AD81" s="201">
        <v>6</v>
      </c>
      <c r="AE81" s="61"/>
      <c r="AF81" s="61">
        <v>0</v>
      </c>
      <c r="AG81" s="61"/>
      <c r="AH81" s="61"/>
      <c r="AI81" s="61"/>
      <c r="AJ81" s="61"/>
      <c r="AK81" s="61"/>
      <c r="AL81" s="291">
        <v>21</v>
      </c>
      <c r="AM81" s="201">
        <v>19</v>
      </c>
      <c r="AN81" s="201">
        <v>13</v>
      </c>
      <c r="AO81" s="61"/>
      <c r="AP81" s="61"/>
      <c r="AQ81" s="61"/>
      <c r="AR81" s="61"/>
      <c r="AS81" s="101" t="s">
        <v>177</v>
      </c>
      <c r="AT81" s="206" t="str">
        <f t="shared" si="1"/>
        <v>44359-80</v>
      </c>
    </row>
    <row r="82" spans="1:46" x14ac:dyDescent="0.35">
      <c r="A82" s="204">
        <v>81</v>
      </c>
      <c r="B82" s="14" t="s">
        <v>83</v>
      </c>
      <c r="C82" s="1" t="s">
        <v>152</v>
      </c>
      <c r="D82" s="1" t="s">
        <v>161</v>
      </c>
      <c r="E82" s="12">
        <v>44360</v>
      </c>
      <c r="F82" s="201">
        <v>1.9</v>
      </c>
      <c r="G82" s="201">
        <v>0.7</v>
      </c>
      <c r="H82" s="201">
        <v>0</v>
      </c>
      <c r="I82" s="201">
        <v>0</v>
      </c>
      <c r="J82" s="201">
        <v>0</v>
      </c>
      <c r="K82" s="201">
        <v>0</v>
      </c>
      <c r="L82" s="201"/>
      <c r="M82" s="201">
        <v>4.0999999999999996</v>
      </c>
      <c r="N82" s="201">
        <v>2.5</v>
      </c>
      <c r="O82" s="201">
        <v>0.3</v>
      </c>
      <c r="P82" s="201">
        <v>1188.4000000000001</v>
      </c>
      <c r="Q82" s="201">
        <v>1337.2</v>
      </c>
      <c r="R82" s="201"/>
      <c r="S82" s="201"/>
      <c r="T82" s="201">
        <v>3053.1</v>
      </c>
      <c r="U82" s="201">
        <v>12.1</v>
      </c>
      <c r="V82" s="201"/>
      <c r="W82" s="201"/>
      <c r="X82" s="201"/>
      <c r="Y82" s="201"/>
      <c r="Z82" s="201"/>
      <c r="AA82" s="61"/>
      <c r="AB82" s="201"/>
      <c r="AC82" s="61"/>
      <c r="AD82" s="201">
        <v>6.1</v>
      </c>
      <c r="AE82" s="61"/>
      <c r="AF82" s="61">
        <v>0</v>
      </c>
      <c r="AG82" s="61"/>
      <c r="AH82" s="61"/>
      <c r="AI82" s="61"/>
      <c r="AJ82" s="61"/>
      <c r="AK82" s="61"/>
      <c r="AL82" s="291">
        <v>19</v>
      </c>
      <c r="AM82" s="201">
        <v>17</v>
      </c>
      <c r="AN82" s="201">
        <v>13</v>
      </c>
      <c r="AO82" s="61"/>
      <c r="AP82" s="61"/>
      <c r="AQ82" s="61"/>
      <c r="AR82" s="61"/>
      <c r="AS82" s="101" t="s">
        <v>195</v>
      </c>
      <c r="AT82" s="206" t="str">
        <f t="shared" si="1"/>
        <v>44360-81</v>
      </c>
    </row>
    <row r="83" spans="1:46" x14ac:dyDescent="0.35">
      <c r="A83" s="204">
        <v>82</v>
      </c>
      <c r="B83" s="14" t="s">
        <v>83</v>
      </c>
      <c r="C83" s="1" t="s">
        <v>152</v>
      </c>
      <c r="D83" s="1" t="s">
        <v>161</v>
      </c>
      <c r="E83" s="12">
        <v>44360</v>
      </c>
      <c r="F83" s="201">
        <v>1.9</v>
      </c>
      <c r="G83" s="201">
        <v>0.7</v>
      </c>
      <c r="H83" s="201">
        <v>0</v>
      </c>
      <c r="I83" s="201">
        <v>0</v>
      </c>
      <c r="J83" s="201">
        <v>0</v>
      </c>
      <c r="K83" s="201">
        <v>0</v>
      </c>
      <c r="L83" s="201"/>
      <c r="M83" s="201">
        <v>4.0999999999999996</v>
      </c>
      <c r="N83" s="201">
        <v>2.5</v>
      </c>
      <c r="O83" s="201">
        <v>0.3</v>
      </c>
      <c r="P83" s="201">
        <v>1188.4000000000001</v>
      </c>
      <c r="Q83" s="201">
        <v>1337.2</v>
      </c>
      <c r="R83" s="201"/>
      <c r="S83" s="201"/>
      <c r="T83" s="201">
        <v>3053.1</v>
      </c>
      <c r="U83" s="201">
        <v>12.1</v>
      </c>
      <c r="V83" s="201"/>
      <c r="W83" s="201"/>
      <c r="X83" s="201"/>
      <c r="Y83" s="201"/>
      <c r="Z83" s="201"/>
      <c r="AA83" s="61"/>
      <c r="AB83" s="201"/>
      <c r="AC83" s="61"/>
      <c r="AD83" s="201">
        <v>6.1</v>
      </c>
      <c r="AE83" s="61"/>
      <c r="AF83" s="61">
        <v>0</v>
      </c>
      <c r="AG83" s="61"/>
      <c r="AH83" s="61"/>
      <c r="AI83" s="61"/>
      <c r="AJ83" s="61"/>
      <c r="AK83" s="61"/>
      <c r="AL83" s="291">
        <v>19</v>
      </c>
      <c r="AM83" s="201">
        <v>17</v>
      </c>
      <c r="AN83" s="201">
        <v>13</v>
      </c>
      <c r="AO83" s="61"/>
      <c r="AP83" s="61"/>
      <c r="AQ83" s="61"/>
      <c r="AR83" s="61"/>
      <c r="AS83" s="101" t="s">
        <v>195</v>
      </c>
      <c r="AT83" s="206" t="str">
        <f t="shared" si="1"/>
        <v>44360-82</v>
      </c>
    </row>
    <row r="84" spans="1:46" x14ac:dyDescent="0.35">
      <c r="A84" s="204">
        <v>83</v>
      </c>
      <c r="B84" s="14" t="s">
        <v>83</v>
      </c>
      <c r="C84" s="1" t="s">
        <v>160</v>
      </c>
      <c r="D84" s="1" t="s">
        <v>161</v>
      </c>
      <c r="E84" s="12">
        <v>44360</v>
      </c>
      <c r="F84" s="201">
        <v>1.4</v>
      </c>
      <c r="G84" s="201">
        <v>1.1000000000000001</v>
      </c>
      <c r="H84" s="201">
        <v>0</v>
      </c>
      <c r="I84" s="201">
        <v>0</v>
      </c>
      <c r="J84" s="201">
        <v>0</v>
      </c>
      <c r="K84" s="201">
        <v>0</v>
      </c>
      <c r="L84" s="201"/>
      <c r="M84" s="201">
        <v>9.4</v>
      </c>
      <c r="N84" s="201">
        <v>1.1000000000000001</v>
      </c>
      <c r="O84" s="201">
        <v>2</v>
      </c>
      <c r="P84" s="201">
        <v>1221.7</v>
      </c>
      <c r="Q84" s="201">
        <v>1467.5</v>
      </c>
      <c r="R84" s="201"/>
      <c r="S84" s="201"/>
      <c r="T84" s="201">
        <v>2333.9</v>
      </c>
      <c r="U84" s="201">
        <v>484.1</v>
      </c>
      <c r="V84" s="201"/>
      <c r="W84" s="201"/>
      <c r="X84" s="201"/>
      <c r="Y84" s="201"/>
      <c r="Z84" s="201"/>
      <c r="AA84" s="61"/>
      <c r="AB84" s="201"/>
      <c r="AC84" s="61"/>
      <c r="AD84" s="201">
        <v>15.4</v>
      </c>
      <c r="AE84" s="61"/>
      <c r="AF84" s="61">
        <v>0</v>
      </c>
      <c r="AG84" s="61"/>
      <c r="AH84" s="61"/>
      <c r="AI84" s="61"/>
      <c r="AJ84" s="61"/>
      <c r="AK84" s="61"/>
      <c r="AL84" s="291">
        <v>24</v>
      </c>
      <c r="AM84" s="201">
        <v>22</v>
      </c>
      <c r="AN84" s="201">
        <v>13</v>
      </c>
      <c r="AO84" s="61"/>
      <c r="AP84" s="61"/>
      <c r="AQ84" s="61"/>
      <c r="AR84" s="61"/>
      <c r="AS84" s="101" t="s">
        <v>196</v>
      </c>
      <c r="AT84" s="206" t="str">
        <f t="shared" si="1"/>
        <v>44360-83</v>
      </c>
    </row>
    <row r="85" spans="1:46" x14ac:dyDescent="0.35">
      <c r="A85" s="204">
        <v>84</v>
      </c>
      <c r="B85" s="14" t="s">
        <v>83</v>
      </c>
      <c r="C85" s="1" t="s">
        <v>160</v>
      </c>
      <c r="D85" s="1" t="s">
        <v>161</v>
      </c>
      <c r="E85" s="12">
        <v>44360</v>
      </c>
      <c r="F85" s="201">
        <v>1.4</v>
      </c>
      <c r="G85" s="201">
        <v>1.1000000000000001</v>
      </c>
      <c r="H85" s="201">
        <v>0</v>
      </c>
      <c r="I85" s="201">
        <v>0</v>
      </c>
      <c r="J85" s="201">
        <v>0</v>
      </c>
      <c r="K85" s="201">
        <v>0</v>
      </c>
      <c r="L85" s="201"/>
      <c r="M85" s="201">
        <v>9.4</v>
      </c>
      <c r="N85" s="201">
        <v>1.1000000000000001</v>
      </c>
      <c r="O85" s="201">
        <v>2</v>
      </c>
      <c r="P85" s="201">
        <v>1221.7</v>
      </c>
      <c r="Q85" s="201">
        <v>1467.5</v>
      </c>
      <c r="R85" s="201"/>
      <c r="S85" s="201"/>
      <c r="T85" s="201">
        <v>2333.9</v>
      </c>
      <c r="U85" s="201">
        <v>484.1</v>
      </c>
      <c r="V85" s="201"/>
      <c r="W85" s="201"/>
      <c r="X85" s="201"/>
      <c r="Y85" s="201"/>
      <c r="Z85" s="201"/>
      <c r="AA85" s="61"/>
      <c r="AB85" s="201"/>
      <c r="AC85" s="61"/>
      <c r="AD85" s="201">
        <v>15.4</v>
      </c>
      <c r="AE85" s="61"/>
      <c r="AF85" s="61">
        <v>0</v>
      </c>
      <c r="AG85" s="61"/>
      <c r="AH85" s="61"/>
      <c r="AI85" s="61"/>
      <c r="AJ85" s="61"/>
      <c r="AK85" s="61"/>
      <c r="AL85" s="291">
        <v>24</v>
      </c>
      <c r="AM85" s="201">
        <v>22</v>
      </c>
      <c r="AN85" s="201">
        <v>13</v>
      </c>
      <c r="AO85" s="61"/>
      <c r="AP85" s="61"/>
      <c r="AQ85" s="61"/>
      <c r="AR85" s="61"/>
      <c r="AS85" s="101" t="s">
        <v>196</v>
      </c>
      <c r="AT85" s="206" t="str">
        <f t="shared" si="1"/>
        <v>44360-84</v>
      </c>
    </row>
    <row r="86" spans="1:46" x14ac:dyDescent="0.35">
      <c r="A86" s="204">
        <v>85</v>
      </c>
      <c r="B86" s="14" t="s">
        <v>83</v>
      </c>
      <c r="C86" s="1" t="s">
        <v>152</v>
      </c>
      <c r="D86" s="1" t="s">
        <v>161</v>
      </c>
      <c r="E86" s="12">
        <v>44360</v>
      </c>
      <c r="F86" s="201">
        <v>1.9</v>
      </c>
      <c r="G86" s="201">
        <v>0.9</v>
      </c>
      <c r="H86" s="201">
        <v>0.1</v>
      </c>
      <c r="I86" s="201">
        <v>0</v>
      </c>
      <c r="J86" s="201">
        <v>0</v>
      </c>
      <c r="K86" s="201">
        <v>0</v>
      </c>
      <c r="L86" s="201"/>
      <c r="M86" s="201">
        <v>4.3</v>
      </c>
      <c r="N86" s="201">
        <v>2.2000000000000002</v>
      </c>
      <c r="O86" s="201">
        <v>0</v>
      </c>
      <c r="P86" s="201">
        <v>1205</v>
      </c>
      <c r="Q86" s="201">
        <v>1362</v>
      </c>
      <c r="R86" s="201"/>
      <c r="S86" s="201"/>
      <c r="T86" s="201">
        <v>3061.4</v>
      </c>
      <c r="U86" s="201">
        <v>12.1</v>
      </c>
      <c r="V86" s="201"/>
      <c r="W86" s="201"/>
      <c r="X86" s="201"/>
      <c r="Y86" s="201"/>
      <c r="Z86" s="201"/>
      <c r="AA86" s="61"/>
      <c r="AB86" s="201"/>
      <c r="AC86" s="61"/>
      <c r="AD86" s="201">
        <v>6.2</v>
      </c>
      <c r="AE86" s="61"/>
      <c r="AF86" s="61">
        <v>0</v>
      </c>
      <c r="AG86" s="61"/>
      <c r="AH86" s="61"/>
      <c r="AI86" s="61"/>
      <c r="AJ86" s="61"/>
      <c r="AK86" s="61"/>
      <c r="AL86" s="291">
        <v>21</v>
      </c>
      <c r="AM86" s="201">
        <v>18</v>
      </c>
      <c r="AN86" s="201">
        <v>14</v>
      </c>
      <c r="AO86" s="61"/>
      <c r="AP86" s="61"/>
      <c r="AQ86" s="61"/>
      <c r="AR86" s="61"/>
      <c r="AS86" s="101" t="s">
        <v>197</v>
      </c>
      <c r="AT86" s="206" t="str">
        <f t="shared" si="1"/>
        <v>44360-85</v>
      </c>
    </row>
    <row r="87" spans="1:46" x14ac:dyDescent="0.35">
      <c r="A87" s="204">
        <v>86</v>
      </c>
      <c r="B87" s="14" t="s">
        <v>83</v>
      </c>
      <c r="C87" s="1" t="s">
        <v>152</v>
      </c>
      <c r="D87" s="1" t="s">
        <v>161</v>
      </c>
      <c r="E87" s="12">
        <v>44360</v>
      </c>
      <c r="F87" s="201">
        <v>1.9</v>
      </c>
      <c r="G87" s="201">
        <v>0.9</v>
      </c>
      <c r="H87" s="201">
        <v>0.1</v>
      </c>
      <c r="I87" s="201">
        <v>0</v>
      </c>
      <c r="J87" s="201">
        <v>0</v>
      </c>
      <c r="K87" s="201">
        <v>0</v>
      </c>
      <c r="L87" s="201"/>
      <c r="M87" s="201">
        <v>4.3</v>
      </c>
      <c r="N87" s="201">
        <v>2.2000000000000002</v>
      </c>
      <c r="O87" s="201">
        <v>0</v>
      </c>
      <c r="P87" s="201">
        <v>1205</v>
      </c>
      <c r="Q87" s="201">
        <v>1362</v>
      </c>
      <c r="R87" s="201"/>
      <c r="S87" s="201"/>
      <c r="T87" s="201">
        <v>3061.4</v>
      </c>
      <c r="U87" s="201">
        <v>12.1</v>
      </c>
      <c r="V87" s="201"/>
      <c r="W87" s="201"/>
      <c r="X87" s="201"/>
      <c r="Y87" s="201"/>
      <c r="Z87" s="201"/>
      <c r="AA87" s="61"/>
      <c r="AB87" s="201"/>
      <c r="AC87" s="61"/>
      <c r="AD87" s="201">
        <v>6.2</v>
      </c>
      <c r="AE87" s="61"/>
      <c r="AF87" s="61">
        <v>0</v>
      </c>
      <c r="AG87" s="61"/>
      <c r="AH87" s="61"/>
      <c r="AI87" s="61"/>
      <c r="AJ87" s="61"/>
      <c r="AK87" s="61"/>
      <c r="AL87" s="291">
        <v>21</v>
      </c>
      <c r="AM87" s="201">
        <v>18</v>
      </c>
      <c r="AN87" s="201">
        <v>14</v>
      </c>
      <c r="AO87" s="61"/>
      <c r="AP87" s="61"/>
      <c r="AQ87" s="61"/>
      <c r="AR87" s="61"/>
      <c r="AS87" s="101" t="s">
        <v>197</v>
      </c>
      <c r="AT87" s="206" t="str">
        <f t="shared" si="1"/>
        <v>44360-86</v>
      </c>
    </row>
    <row r="88" spans="1:46" x14ac:dyDescent="0.35">
      <c r="A88" s="204">
        <v>87</v>
      </c>
      <c r="B88" s="14" t="s">
        <v>83</v>
      </c>
      <c r="C88" s="1" t="s">
        <v>160</v>
      </c>
      <c r="D88" s="1" t="s">
        <v>161</v>
      </c>
      <c r="E88" s="12">
        <v>44367</v>
      </c>
      <c r="F88" s="201">
        <v>1.3</v>
      </c>
      <c r="G88" s="201">
        <v>1.1000000000000001</v>
      </c>
      <c r="H88" s="201">
        <v>0</v>
      </c>
      <c r="I88" s="201">
        <v>0</v>
      </c>
      <c r="J88" s="201">
        <v>0</v>
      </c>
      <c r="K88" s="201">
        <v>0.1</v>
      </c>
      <c r="L88" s="201"/>
      <c r="M88" s="201">
        <v>8.1999999999999993</v>
      </c>
      <c r="N88" s="201">
        <v>1.2</v>
      </c>
      <c r="O88" s="201">
        <v>1.9</v>
      </c>
      <c r="P88" s="201">
        <v>1126</v>
      </c>
      <c r="Q88" s="201">
        <v>1282.9000000000001</v>
      </c>
      <c r="R88" s="201"/>
      <c r="S88" s="201"/>
      <c r="T88" s="201">
        <v>2157.6</v>
      </c>
      <c r="U88" s="201">
        <v>445.7</v>
      </c>
      <c r="V88" s="201"/>
      <c r="W88" s="201"/>
      <c r="X88" s="201"/>
      <c r="Y88" s="201"/>
      <c r="Z88" s="201"/>
      <c r="AA88" s="61"/>
      <c r="AB88" s="201"/>
      <c r="AC88" s="61"/>
      <c r="AD88" s="201">
        <v>15.2</v>
      </c>
      <c r="AE88" s="61"/>
      <c r="AF88" s="61">
        <v>0</v>
      </c>
      <c r="AG88" s="61"/>
      <c r="AH88" s="61"/>
      <c r="AI88" s="61"/>
      <c r="AJ88" s="61"/>
      <c r="AK88" s="61"/>
      <c r="AL88" s="291">
        <v>23</v>
      </c>
      <c r="AM88" s="201">
        <v>22</v>
      </c>
      <c r="AN88" s="201">
        <v>14</v>
      </c>
      <c r="AO88" s="61"/>
      <c r="AP88" s="61"/>
      <c r="AQ88" s="61"/>
      <c r="AR88" s="61"/>
      <c r="AS88" s="101" t="s">
        <v>178</v>
      </c>
      <c r="AT88" s="206" t="str">
        <f t="shared" si="1"/>
        <v>44367-87</v>
      </c>
    </row>
    <row r="89" spans="1:46" x14ac:dyDescent="0.35">
      <c r="A89" s="204">
        <v>88</v>
      </c>
      <c r="B89" s="14" t="s">
        <v>83</v>
      </c>
      <c r="C89" s="1" t="s">
        <v>155</v>
      </c>
      <c r="D89" s="1" t="s">
        <v>161</v>
      </c>
      <c r="E89" s="12">
        <v>44367</v>
      </c>
      <c r="F89" s="201">
        <v>1.7</v>
      </c>
      <c r="G89" s="201">
        <v>0.9</v>
      </c>
      <c r="H89" s="201">
        <v>0</v>
      </c>
      <c r="I89" s="201">
        <v>0.2</v>
      </c>
      <c r="J89" s="201">
        <v>0.1</v>
      </c>
      <c r="K89" s="201">
        <v>0.1</v>
      </c>
      <c r="L89" s="201"/>
      <c r="M89" s="201">
        <v>7.8</v>
      </c>
      <c r="N89" s="201">
        <v>3.4</v>
      </c>
      <c r="O89" s="201">
        <v>0.2</v>
      </c>
      <c r="P89" s="201">
        <v>1105.5999999999999</v>
      </c>
      <c r="Q89" s="201">
        <v>1183.8</v>
      </c>
      <c r="R89" s="201"/>
      <c r="S89" s="201"/>
      <c r="T89" s="201">
        <v>2827.2</v>
      </c>
      <c r="U89" s="201">
        <v>12.3</v>
      </c>
      <c r="V89" s="201"/>
      <c r="W89" s="201"/>
      <c r="X89" s="201"/>
      <c r="Y89" s="201"/>
      <c r="Z89" s="201"/>
      <c r="AA89" s="61"/>
      <c r="AB89" s="201"/>
      <c r="AC89" s="61"/>
      <c r="AD89" s="201">
        <v>25.4</v>
      </c>
      <c r="AE89" s="61"/>
      <c r="AF89" s="61">
        <v>0</v>
      </c>
      <c r="AG89" s="61"/>
      <c r="AH89" s="61"/>
      <c r="AI89" s="61"/>
      <c r="AJ89" s="61"/>
      <c r="AK89" s="61"/>
      <c r="AL89" s="291">
        <v>21</v>
      </c>
      <c r="AM89" s="201">
        <v>19</v>
      </c>
      <c r="AN89" s="201">
        <v>15</v>
      </c>
      <c r="AO89" s="61"/>
      <c r="AP89" s="61"/>
      <c r="AQ89" s="61"/>
      <c r="AR89" s="61"/>
      <c r="AS89" s="101" t="s">
        <v>179</v>
      </c>
      <c r="AT89" s="206" t="str">
        <f t="shared" si="1"/>
        <v>44367-88</v>
      </c>
    </row>
    <row r="90" spans="1:46" x14ac:dyDescent="0.35">
      <c r="A90" s="204">
        <v>89</v>
      </c>
      <c r="B90" s="14" t="s">
        <v>83</v>
      </c>
      <c r="C90" s="1" t="s">
        <v>198</v>
      </c>
      <c r="D90" s="1" t="s">
        <v>161</v>
      </c>
      <c r="E90" s="12">
        <v>44367</v>
      </c>
      <c r="F90" s="201">
        <v>1.6</v>
      </c>
      <c r="G90" s="201">
        <v>0.8</v>
      </c>
      <c r="H90" s="201">
        <v>0</v>
      </c>
      <c r="I90" s="201">
        <v>0.1</v>
      </c>
      <c r="J90" s="201">
        <v>0</v>
      </c>
      <c r="K90" s="201">
        <v>0.1</v>
      </c>
      <c r="L90" s="201"/>
      <c r="M90" s="201">
        <v>3.5</v>
      </c>
      <c r="N90" s="201">
        <v>3.8</v>
      </c>
      <c r="O90" s="201">
        <v>0</v>
      </c>
      <c r="P90" s="201">
        <v>1109.9000000000001</v>
      </c>
      <c r="Q90" s="201">
        <v>1189.5999999999999</v>
      </c>
      <c r="R90" s="201"/>
      <c r="S90" s="201"/>
      <c r="T90" s="201">
        <v>2856.7</v>
      </c>
      <c r="U90" s="201">
        <v>10.7</v>
      </c>
      <c r="V90" s="201"/>
      <c r="W90" s="201"/>
      <c r="X90" s="201"/>
      <c r="Y90" s="201"/>
      <c r="Z90" s="201"/>
      <c r="AA90" s="61"/>
      <c r="AB90" s="201"/>
      <c r="AC90" s="61"/>
      <c r="AD90" s="201">
        <v>11.1</v>
      </c>
      <c r="AE90" s="61"/>
      <c r="AF90" s="61">
        <v>0</v>
      </c>
      <c r="AG90" s="61"/>
      <c r="AH90" s="61"/>
      <c r="AI90" s="61"/>
      <c r="AJ90" s="61"/>
      <c r="AK90" s="61"/>
      <c r="AL90" s="291">
        <v>19</v>
      </c>
      <c r="AM90" s="201">
        <v>16</v>
      </c>
      <c r="AN90" s="201">
        <v>8</v>
      </c>
      <c r="AO90" s="61"/>
      <c r="AP90" s="61"/>
      <c r="AQ90" s="61"/>
      <c r="AR90" s="61"/>
      <c r="AS90" s="101" t="s">
        <v>180</v>
      </c>
      <c r="AT90" s="206" t="str">
        <f t="shared" si="1"/>
        <v>44367-89</v>
      </c>
    </row>
    <row r="91" spans="1:46" x14ac:dyDescent="0.35">
      <c r="A91" s="204">
        <v>90</v>
      </c>
      <c r="B91" s="14" t="s">
        <v>83</v>
      </c>
      <c r="C91" s="1" t="s">
        <v>155</v>
      </c>
      <c r="D91" s="1" t="s">
        <v>161</v>
      </c>
      <c r="E91" s="12">
        <v>44367</v>
      </c>
      <c r="F91" s="201">
        <v>1.7</v>
      </c>
      <c r="G91" s="201">
        <v>0.8</v>
      </c>
      <c r="H91" s="201">
        <v>0</v>
      </c>
      <c r="I91" s="201">
        <v>0</v>
      </c>
      <c r="J91" s="201">
        <v>0</v>
      </c>
      <c r="K91" s="201">
        <v>0.1</v>
      </c>
      <c r="L91" s="201"/>
      <c r="M91" s="201">
        <v>7.4</v>
      </c>
      <c r="N91" s="201">
        <v>4</v>
      </c>
      <c r="O91" s="201">
        <v>0.2</v>
      </c>
      <c r="P91" s="201">
        <v>1097.7</v>
      </c>
      <c r="Q91" s="201">
        <v>1177.4000000000001</v>
      </c>
      <c r="R91" s="201"/>
      <c r="S91" s="201"/>
      <c r="T91" s="201">
        <v>2834.7</v>
      </c>
      <c r="U91" s="201">
        <v>10.4</v>
      </c>
      <c r="V91" s="201"/>
      <c r="W91" s="201"/>
      <c r="X91" s="201"/>
      <c r="Y91" s="201"/>
      <c r="Z91" s="201"/>
      <c r="AA91" s="61"/>
      <c r="AB91" s="201"/>
      <c r="AC91" s="61"/>
      <c r="AD91" s="201">
        <v>25.8</v>
      </c>
      <c r="AE91" s="61"/>
      <c r="AF91" s="61">
        <v>0</v>
      </c>
      <c r="AG91" s="61"/>
      <c r="AH91" s="61"/>
      <c r="AI91" s="61"/>
      <c r="AJ91" s="61"/>
      <c r="AK91" s="61"/>
      <c r="AL91" s="291">
        <v>20</v>
      </c>
      <c r="AM91" s="201">
        <v>18</v>
      </c>
      <c r="AN91" s="201">
        <v>14</v>
      </c>
      <c r="AO91" s="61"/>
      <c r="AP91" s="61"/>
      <c r="AQ91" s="61"/>
      <c r="AR91" s="61"/>
      <c r="AS91" s="101" t="s">
        <v>199</v>
      </c>
      <c r="AT91" s="206" t="str">
        <f t="shared" si="1"/>
        <v>44367-90</v>
      </c>
    </row>
    <row r="92" spans="1:46" x14ac:dyDescent="0.35">
      <c r="A92" s="204">
        <v>91</v>
      </c>
      <c r="B92" s="14" t="s">
        <v>83</v>
      </c>
      <c r="C92" s="1" t="s">
        <v>198</v>
      </c>
      <c r="D92" s="1" t="s">
        <v>161</v>
      </c>
      <c r="E92" s="12">
        <v>44367</v>
      </c>
      <c r="F92" s="201">
        <v>1.8</v>
      </c>
      <c r="G92" s="201">
        <v>0.9</v>
      </c>
      <c r="H92" s="201">
        <v>0.1</v>
      </c>
      <c r="I92" s="201">
        <v>0.2</v>
      </c>
      <c r="J92" s="201">
        <v>0</v>
      </c>
      <c r="K92" s="201">
        <v>0</v>
      </c>
      <c r="L92" s="201"/>
      <c r="M92" s="201">
        <v>4</v>
      </c>
      <c r="N92" s="201">
        <v>2.1</v>
      </c>
      <c r="O92" s="201">
        <v>0.5</v>
      </c>
      <c r="P92" s="201">
        <v>1102.7</v>
      </c>
      <c r="Q92" s="201">
        <v>1185.8</v>
      </c>
      <c r="R92" s="201"/>
      <c r="S92" s="201"/>
      <c r="T92" s="201">
        <v>2734.3</v>
      </c>
      <c r="U92" s="201">
        <v>10.1</v>
      </c>
      <c r="V92" s="201"/>
      <c r="W92" s="201"/>
      <c r="X92" s="201"/>
      <c r="Y92" s="201"/>
      <c r="Z92" s="201"/>
      <c r="AA92" s="61"/>
      <c r="AB92" s="201"/>
      <c r="AC92" s="61"/>
      <c r="AD92" s="201">
        <v>11.1</v>
      </c>
      <c r="AE92" s="61"/>
      <c r="AF92" s="61">
        <v>0</v>
      </c>
      <c r="AG92" s="61"/>
      <c r="AH92" s="61"/>
      <c r="AI92" s="61"/>
      <c r="AJ92" s="61"/>
      <c r="AK92" s="61"/>
      <c r="AL92" s="291">
        <v>19</v>
      </c>
      <c r="AM92" s="201">
        <v>17</v>
      </c>
      <c r="AN92" s="201">
        <v>13</v>
      </c>
      <c r="AO92" s="61"/>
      <c r="AP92" s="61"/>
      <c r="AQ92" s="61"/>
      <c r="AR92" s="61"/>
      <c r="AS92" s="101" t="s">
        <v>200</v>
      </c>
      <c r="AT92" s="206" t="str">
        <f t="shared" si="1"/>
        <v>44367-91</v>
      </c>
    </row>
    <row r="93" spans="1:46" x14ac:dyDescent="0.35">
      <c r="A93" s="204">
        <v>92</v>
      </c>
      <c r="B93" s="14" t="s">
        <v>83</v>
      </c>
      <c r="C93" s="1" t="s">
        <v>160</v>
      </c>
      <c r="D93" s="1" t="s">
        <v>161</v>
      </c>
      <c r="E93" s="12">
        <v>44367</v>
      </c>
      <c r="F93" s="201">
        <v>1.3</v>
      </c>
      <c r="G93" s="201">
        <v>1.2</v>
      </c>
      <c r="H93" s="201">
        <v>0</v>
      </c>
      <c r="I93" s="201">
        <v>0</v>
      </c>
      <c r="J93" s="201">
        <v>0</v>
      </c>
      <c r="K93" s="201">
        <v>0</v>
      </c>
      <c r="L93" s="201"/>
      <c r="M93" s="201">
        <v>9.1</v>
      </c>
      <c r="N93" s="201">
        <v>0.2</v>
      </c>
      <c r="O93" s="201">
        <v>1.2</v>
      </c>
      <c r="P93" s="201">
        <v>1119.8</v>
      </c>
      <c r="Q93" s="201">
        <v>1287.9000000000001</v>
      </c>
      <c r="R93" s="201"/>
      <c r="S93" s="201"/>
      <c r="T93" s="201">
        <v>2082.6</v>
      </c>
      <c r="U93" s="201">
        <v>435.1</v>
      </c>
      <c r="V93" s="201"/>
      <c r="W93" s="201"/>
      <c r="X93" s="201"/>
      <c r="Y93" s="201"/>
      <c r="Z93" s="201"/>
      <c r="AA93" s="61"/>
      <c r="AB93" s="201"/>
      <c r="AC93" s="61"/>
      <c r="AD93" s="201">
        <v>15.3</v>
      </c>
      <c r="AE93" s="61"/>
      <c r="AF93" s="61">
        <v>0</v>
      </c>
      <c r="AG93" s="61"/>
      <c r="AH93" s="61"/>
      <c r="AI93" s="61"/>
      <c r="AJ93" s="61"/>
      <c r="AK93" s="61"/>
      <c r="AL93" s="291">
        <v>24</v>
      </c>
      <c r="AM93" s="201">
        <v>22</v>
      </c>
      <c r="AN93" s="201">
        <v>15</v>
      </c>
      <c r="AO93" s="61"/>
      <c r="AP93" s="61"/>
      <c r="AQ93" s="61"/>
      <c r="AR93" s="61"/>
      <c r="AS93" s="101" t="s">
        <v>201</v>
      </c>
      <c r="AT93" s="206" t="str">
        <f t="shared" si="1"/>
        <v>44367-92</v>
      </c>
    </row>
    <row r="94" spans="1:46" x14ac:dyDescent="0.35">
      <c r="A94" s="204">
        <v>93</v>
      </c>
      <c r="B94" s="14" t="s">
        <v>83</v>
      </c>
      <c r="C94" s="1" t="s">
        <v>152</v>
      </c>
      <c r="D94" s="1" t="s">
        <v>161</v>
      </c>
      <c r="E94" s="12">
        <v>44372</v>
      </c>
      <c r="F94" s="201">
        <v>1.8</v>
      </c>
      <c r="G94" s="201">
        <v>1</v>
      </c>
      <c r="H94" s="201">
        <v>0.1</v>
      </c>
      <c r="I94" s="201">
        <v>0.1</v>
      </c>
      <c r="J94" s="201">
        <v>0</v>
      </c>
      <c r="K94" s="201">
        <v>0</v>
      </c>
      <c r="L94" s="201"/>
      <c r="M94" s="201">
        <v>4.7</v>
      </c>
      <c r="N94" s="201">
        <v>1.7</v>
      </c>
      <c r="O94" s="201">
        <v>0.3</v>
      </c>
      <c r="P94" s="201">
        <v>1237.2</v>
      </c>
      <c r="Q94" s="201">
        <v>1344</v>
      </c>
      <c r="R94" s="201"/>
      <c r="S94" s="201"/>
      <c r="T94" s="201">
        <v>3097.1</v>
      </c>
      <c r="U94" s="201">
        <v>11.8</v>
      </c>
      <c r="V94" s="201"/>
      <c r="W94" s="201"/>
      <c r="X94" s="201"/>
      <c r="Y94" s="201"/>
      <c r="Z94" s="201"/>
      <c r="AA94" s="61"/>
      <c r="AB94" s="201"/>
      <c r="AC94" s="61"/>
      <c r="AD94" s="201">
        <v>5.9</v>
      </c>
      <c r="AE94" s="61"/>
      <c r="AF94" s="61">
        <v>0</v>
      </c>
      <c r="AG94" s="61"/>
      <c r="AH94" s="61"/>
      <c r="AI94" s="61"/>
      <c r="AJ94" s="61"/>
      <c r="AK94" s="61"/>
      <c r="AL94" s="291">
        <v>20</v>
      </c>
      <c r="AM94" s="201">
        <v>18</v>
      </c>
      <c r="AN94" s="201">
        <v>12</v>
      </c>
      <c r="AO94" s="61"/>
      <c r="AP94" s="61"/>
      <c r="AQ94" s="61"/>
      <c r="AR94" s="61"/>
      <c r="AS94" s="101" t="s">
        <v>173</v>
      </c>
      <c r="AT94" s="206" t="str">
        <f t="shared" si="1"/>
        <v>44372-93</v>
      </c>
    </row>
    <row r="95" spans="1:46" x14ac:dyDescent="0.35">
      <c r="A95" s="204">
        <v>94</v>
      </c>
      <c r="B95" s="14" t="s">
        <v>83</v>
      </c>
      <c r="C95" s="1" t="s">
        <v>152</v>
      </c>
      <c r="D95" s="1" t="s">
        <v>161</v>
      </c>
      <c r="E95" s="12">
        <v>44372</v>
      </c>
      <c r="F95" s="201">
        <v>1.8</v>
      </c>
      <c r="G95" s="201">
        <v>1</v>
      </c>
      <c r="H95" s="201">
        <v>0</v>
      </c>
      <c r="I95" s="201">
        <v>0</v>
      </c>
      <c r="J95" s="201">
        <v>0</v>
      </c>
      <c r="K95" s="201">
        <v>0</v>
      </c>
      <c r="L95" s="201"/>
      <c r="M95" s="201">
        <v>4.4000000000000004</v>
      </c>
      <c r="N95" s="201">
        <v>1.4</v>
      </c>
      <c r="O95" s="201">
        <v>0</v>
      </c>
      <c r="P95" s="201">
        <v>1192.9000000000001</v>
      </c>
      <c r="Q95" s="201">
        <v>1287.0999999999999</v>
      </c>
      <c r="R95" s="201"/>
      <c r="S95" s="201"/>
      <c r="T95" s="201">
        <v>2988</v>
      </c>
      <c r="U95" s="201">
        <v>11.3</v>
      </c>
      <c r="V95" s="201"/>
      <c r="W95" s="201"/>
      <c r="X95" s="201"/>
      <c r="Y95" s="201"/>
      <c r="Z95" s="201"/>
      <c r="AA95" s="61"/>
      <c r="AB95" s="201"/>
      <c r="AC95" s="61"/>
      <c r="AD95" s="201">
        <v>6.2</v>
      </c>
      <c r="AE95" s="61"/>
      <c r="AF95" s="61">
        <v>0</v>
      </c>
      <c r="AG95" s="61"/>
      <c r="AH95" s="61"/>
      <c r="AI95" s="61"/>
      <c r="AJ95" s="61"/>
      <c r="AK95" s="61"/>
      <c r="AL95" s="291">
        <v>20</v>
      </c>
      <c r="AM95" s="201">
        <v>18</v>
      </c>
      <c r="AN95" s="201">
        <v>13</v>
      </c>
      <c r="AO95" s="61"/>
      <c r="AP95" s="61"/>
      <c r="AQ95" s="61"/>
      <c r="AR95" s="61"/>
      <c r="AS95" s="101" t="s">
        <v>174</v>
      </c>
      <c r="AT95" s="206" t="str">
        <f t="shared" si="1"/>
        <v>44372-94</v>
      </c>
    </row>
    <row r="96" spans="1:46" x14ac:dyDescent="0.35">
      <c r="A96" s="204">
        <v>95</v>
      </c>
      <c r="B96" s="14" t="s">
        <v>83</v>
      </c>
      <c r="C96" s="1" t="s">
        <v>160</v>
      </c>
      <c r="D96" s="1" t="s">
        <v>161</v>
      </c>
      <c r="E96" s="12">
        <v>44372</v>
      </c>
      <c r="F96" s="201">
        <v>1.3</v>
      </c>
      <c r="G96" s="201">
        <v>1.2</v>
      </c>
      <c r="H96" s="201">
        <v>0</v>
      </c>
      <c r="I96" s="201">
        <v>0</v>
      </c>
      <c r="J96" s="201">
        <v>0</v>
      </c>
      <c r="K96" s="201">
        <v>0</v>
      </c>
      <c r="L96" s="201"/>
      <c r="M96" s="201">
        <v>9.6999999999999993</v>
      </c>
      <c r="N96" s="201">
        <v>0</v>
      </c>
      <c r="O96" s="201">
        <v>1.5</v>
      </c>
      <c r="P96" s="201">
        <v>1212.4000000000001</v>
      </c>
      <c r="Q96" s="201">
        <v>1395.6</v>
      </c>
      <c r="R96" s="201"/>
      <c r="S96" s="201"/>
      <c r="T96" s="201">
        <v>2279.1999999999998</v>
      </c>
      <c r="U96" s="201">
        <v>446.8</v>
      </c>
      <c r="V96" s="201"/>
      <c r="W96" s="201"/>
      <c r="X96" s="201"/>
      <c r="Y96" s="201"/>
      <c r="Z96" s="201"/>
      <c r="AA96" s="61"/>
      <c r="AB96" s="201"/>
      <c r="AC96" s="61"/>
      <c r="AD96" s="201">
        <v>15.3</v>
      </c>
      <c r="AE96" s="61"/>
      <c r="AF96" s="61">
        <v>0</v>
      </c>
      <c r="AG96" s="61"/>
      <c r="AH96" s="61"/>
      <c r="AI96" s="61"/>
      <c r="AJ96" s="61"/>
      <c r="AK96" s="61"/>
      <c r="AL96" s="291">
        <v>23</v>
      </c>
      <c r="AM96" s="201">
        <v>22</v>
      </c>
      <c r="AN96" s="201">
        <v>14</v>
      </c>
      <c r="AO96" s="61"/>
      <c r="AP96" s="61"/>
      <c r="AQ96" s="61"/>
      <c r="AR96" s="61"/>
      <c r="AS96" s="101" t="s">
        <v>175</v>
      </c>
      <c r="AT96" s="206" t="str">
        <f t="shared" si="1"/>
        <v>44372-95</v>
      </c>
    </row>
    <row r="97" spans="1:46" x14ac:dyDescent="0.35">
      <c r="A97" s="204">
        <v>96</v>
      </c>
      <c r="B97" s="14" t="s">
        <v>83</v>
      </c>
      <c r="C97" s="1" t="s">
        <v>160</v>
      </c>
      <c r="D97" s="1" t="s">
        <v>161</v>
      </c>
      <c r="E97" s="12">
        <v>44374</v>
      </c>
      <c r="F97" s="201">
        <v>1.3</v>
      </c>
      <c r="G97" s="201">
        <v>1.3</v>
      </c>
      <c r="H97" s="201">
        <v>0</v>
      </c>
      <c r="I97" s="201">
        <v>0</v>
      </c>
      <c r="J97" s="201">
        <v>0</v>
      </c>
      <c r="K97" s="201">
        <v>0</v>
      </c>
      <c r="L97" s="201"/>
      <c r="M97" s="201">
        <v>9.5</v>
      </c>
      <c r="N97" s="201">
        <v>0</v>
      </c>
      <c r="O97" s="201">
        <v>1.3</v>
      </c>
      <c r="P97" s="201">
        <v>1212.9000000000001</v>
      </c>
      <c r="Q97" s="201">
        <v>1406.6</v>
      </c>
      <c r="R97" s="201"/>
      <c r="S97" s="201"/>
      <c r="T97" s="201">
        <v>2278.6</v>
      </c>
      <c r="U97" s="201">
        <v>448.3</v>
      </c>
      <c r="V97" s="201"/>
      <c r="W97" s="201"/>
      <c r="X97" s="201"/>
      <c r="Y97" s="201"/>
      <c r="Z97" s="201"/>
      <c r="AA97" s="61"/>
      <c r="AB97" s="201"/>
      <c r="AC97" s="61"/>
      <c r="AD97" s="201">
        <v>15.3</v>
      </c>
      <c r="AE97" s="61"/>
      <c r="AF97" s="61">
        <v>0</v>
      </c>
      <c r="AG97" s="61"/>
      <c r="AH97" s="61"/>
      <c r="AI97" s="61"/>
      <c r="AJ97" s="61"/>
      <c r="AK97" s="61"/>
      <c r="AL97" s="291">
        <v>24</v>
      </c>
      <c r="AM97" s="201">
        <v>22</v>
      </c>
      <c r="AN97" s="201">
        <v>15</v>
      </c>
      <c r="AO97" s="61"/>
      <c r="AP97" s="61"/>
      <c r="AQ97" s="61"/>
      <c r="AR97" s="61"/>
      <c r="AS97" s="101" t="s">
        <v>178</v>
      </c>
      <c r="AT97" s="206" t="str">
        <f t="shared" si="1"/>
        <v>44374-96</v>
      </c>
    </row>
    <row r="98" spans="1:46" x14ac:dyDescent="0.35">
      <c r="A98" s="204">
        <v>97</v>
      </c>
      <c r="B98" s="14" t="s">
        <v>83</v>
      </c>
      <c r="C98" s="1" t="s">
        <v>152</v>
      </c>
      <c r="D98" s="1" t="s">
        <v>161</v>
      </c>
      <c r="E98" s="12">
        <v>44374</v>
      </c>
      <c r="F98" s="201">
        <v>1.7</v>
      </c>
      <c r="G98" s="201">
        <v>0.9</v>
      </c>
      <c r="H98" s="201">
        <v>0</v>
      </c>
      <c r="I98" s="201">
        <v>0</v>
      </c>
      <c r="J98" s="201">
        <v>0</v>
      </c>
      <c r="K98" s="201">
        <v>0</v>
      </c>
      <c r="L98" s="201"/>
      <c r="M98" s="201">
        <v>4.5</v>
      </c>
      <c r="N98" s="201">
        <v>1.6</v>
      </c>
      <c r="O98" s="201">
        <v>0</v>
      </c>
      <c r="P98" s="201">
        <v>1192.3</v>
      </c>
      <c r="Q98" s="201">
        <v>1292.5999999999999</v>
      </c>
      <c r="R98" s="201"/>
      <c r="S98" s="201"/>
      <c r="T98" s="201">
        <v>2991</v>
      </c>
      <c r="U98" s="201">
        <v>11.9</v>
      </c>
      <c r="V98" s="201"/>
      <c r="W98" s="201"/>
      <c r="X98" s="201"/>
      <c r="Y98" s="201"/>
      <c r="Z98" s="201"/>
      <c r="AA98" s="61"/>
      <c r="AB98" s="201"/>
      <c r="AC98" s="61"/>
      <c r="AD98" s="201">
        <v>6.1</v>
      </c>
      <c r="AE98" s="61"/>
      <c r="AF98" s="61">
        <v>0</v>
      </c>
      <c r="AG98" s="61"/>
      <c r="AH98" s="61"/>
      <c r="AI98" s="61"/>
      <c r="AJ98" s="61"/>
      <c r="AK98" s="61"/>
      <c r="AL98" s="291">
        <v>20</v>
      </c>
      <c r="AM98" s="201">
        <v>18</v>
      </c>
      <c r="AN98" s="201">
        <v>14</v>
      </c>
      <c r="AO98" s="61"/>
      <c r="AP98" s="61"/>
      <c r="AQ98" s="61"/>
      <c r="AR98" s="61"/>
      <c r="AS98" s="101" t="s">
        <v>179</v>
      </c>
      <c r="AT98" s="206" t="str">
        <f t="shared" si="1"/>
        <v>44374-97</v>
      </c>
    </row>
    <row r="99" spans="1:46" x14ac:dyDescent="0.35">
      <c r="A99" s="204">
        <v>98</v>
      </c>
      <c r="B99" s="14" t="s">
        <v>83</v>
      </c>
      <c r="C99" s="1" t="s">
        <v>198</v>
      </c>
      <c r="D99" s="1" t="s">
        <v>161</v>
      </c>
      <c r="E99" s="12">
        <v>44374</v>
      </c>
      <c r="F99" s="201">
        <v>1.8</v>
      </c>
      <c r="G99" s="201">
        <v>1</v>
      </c>
      <c r="H99" s="201">
        <v>0.1</v>
      </c>
      <c r="I99" s="201">
        <v>0</v>
      </c>
      <c r="J99" s="201">
        <v>0</v>
      </c>
      <c r="K99" s="201">
        <v>0</v>
      </c>
      <c r="L99" s="201"/>
      <c r="M99" s="201">
        <v>4.5</v>
      </c>
      <c r="N99" s="201">
        <v>3.1</v>
      </c>
      <c r="O99" s="201">
        <v>0.2</v>
      </c>
      <c r="P99" s="201">
        <v>1142.8</v>
      </c>
      <c r="Q99" s="201">
        <v>1220.3</v>
      </c>
      <c r="R99" s="201"/>
      <c r="S99" s="201"/>
      <c r="T99" s="201">
        <v>2859.9</v>
      </c>
      <c r="U99" s="201">
        <v>10.8</v>
      </c>
      <c r="V99" s="201"/>
      <c r="W99" s="201"/>
      <c r="X99" s="201"/>
      <c r="Y99" s="201"/>
      <c r="Z99" s="201"/>
      <c r="AA99" s="61"/>
      <c r="AB99" s="201"/>
      <c r="AC99" s="61"/>
      <c r="AD99" s="201">
        <v>11.1</v>
      </c>
      <c r="AE99" s="61"/>
      <c r="AF99" s="61">
        <v>0</v>
      </c>
      <c r="AG99" s="61"/>
      <c r="AH99" s="61"/>
      <c r="AI99" s="61"/>
      <c r="AJ99" s="61"/>
      <c r="AK99" s="61"/>
      <c r="AL99" s="291">
        <v>23</v>
      </c>
      <c r="AM99" s="201">
        <v>21</v>
      </c>
      <c r="AN99" s="201">
        <v>15</v>
      </c>
      <c r="AO99" s="61"/>
      <c r="AP99" s="61"/>
      <c r="AQ99" s="61"/>
      <c r="AR99" s="61"/>
      <c r="AS99" s="101" t="s">
        <v>180</v>
      </c>
      <c r="AT99" s="206" t="str">
        <f t="shared" si="1"/>
        <v>44374-98</v>
      </c>
    </row>
    <row r="100" spans="1:46" x14ac:dyDescent="0.35">
      <c r="A100" s="204">
        <v>99</v>
      </c>
      <c r="B100" s="14" t="s">
        <v>83</v>
      </c>
      <c r="C100" s="1" t="s">
        <v>160</v>
      </c>
      <c r="D100" s="1" t="s">
        <v>161</v>
      </c>
      <c r="E100" s="12">
        <v>44375</v>
      </c>
      <c r="F100" s="201">
        <v>1.3</v>
      </c>
      <c r="G100" s="201">
        <v>1.3</v>
      </c>
      <c r="H100" s="201">
        <v>0</v>
      </c>
      <c r="I100" s="201">
        <v>0</v>
      </c>
      <c r="J100" s="201">
        <v>0</v>
      </c>
      <c r="K100" s="201">
        <v>0</v>
      </c>
      <c r="L100" s="201"/>
      <c r="M100" s="201">
        <v>9.6</v>
      </c>
      <c r="N100" s="201">
        <v>1.4</v>
      </c>
      <c r="O100" s="201">
        <v>1.7</v>
      </c>
      <c r="P100" s="201">
        <v>1139.5999999999999</v>
      </c>
      <c r="Q100" s="201">
        <v>1322.4</v>
      </c>
      <c r="R100" s="201"/>
      <c r="S100" s="201"/>
      <c r="T100" s="201">
        <v>2128.9</v>
      </c>
      <c r="U100" s="201">
        <v>443</v>
      </c>
      <c r="V100" s="201"/>
      <c r="W100" s="201"/>
      <c r="X100" s="201"/>
      <c r="Y100" s="201"/>
      <c r="Z100" s="201"/>
      <c r="AA100" s="61"/>
      <c r="AB100" s="201"/>
      <c r="AC100" s="61"/>
      <c r="AD100" s="201">
        <v>15.3</v>
      </c>
      <c r="AE100" s="61"/>
      <c r="AF100" s="61">
        <v>0</v>
      </c>
      <c r="AG100" s="61"/>
      <c r="AH100" s="61"/>
      <c r="AI100" s="61"/>
      <c r="AJ100" s="61"/>
      <c r="AK100" s="61"/>
      <c r="AL100" s="291">
        <v>24</v>
      </c>
      <c r="AM100" s="201">
        <v>22</v>
      </c>
      <c r="AN100" s="201">
        <v>15</v>
      </c>
      <c r="AO100" s="61"/>
      <c r="AP100" s="61"/>
      <c r="AQ100" s="61"/>
      <c r="AR100" s="61"/>
      <c r="AS100" s="101" t="s">
        <v>185</v>
      </c>
      <c r="AT100" s="206" t="str">
        <f t="shared" si="1"/>
        <v>44375-99</v>
      </c>
    </row>
    <row r="101" spans="1:46" x14ac:dyDescent="0.35">
      <c r="A101" s="204">
        <v>100</v>
      </c>
      <c r="B101" s="14" t="s">
        <v>83</v>
      </c>
      <c r="C101" s="1" t="s">
        <v>152</v>
      </c>
      <c r="D101" s="1" t="s">
        <v>161</v>
      </c>
      <c r="E101" s="12">
        <v>44375</v>
      </c>
      <c r="F101" s="201">
        <v>1.7</v>
      </c>
      <c r="G101" s="201">
        <v>1</v>
      </c>
      <c r="H101" s="201">
        <v>0</v>
      </c>
      <c r="I101" s="201">
        <v>0</v>
      </c>
      <c r="J101" s="201">
        <v>0</v>
      </c>
      <c r="K101" s="201">
        <v>0.1</v>
      </c>
      <c r="L101" s="201"/>
      <c r="M101" s="201">
        <v>4.4000000000000004</v>
      </c>
      <c r="N101" s="201">
        <v>3</v>
      </c>
      <c r="O101" s="201">
        <v>0.1</v>
      </c>
      <c r="P101" s="201">
        <v>1135.4000000000001</v>
      </c>
      <c r="Q101" s="201">
        <v>1224.0999999999999</v>
      </c>
      <c r="R101" s="201"/>
      <c r="S101" s="201"/>
      <c r="T101" s="201">
        <v>2826.1</v>
      </c>
      <c r="U101" s="201">
        <v>11.3</v>
      </c>
      <c r="V101" s="201"/>
      <c r="W101" s="201"/>
      <c r="X101" s="201"/>
      <c r="Y101" s="201"/>
      <c r="Z101" s="201"/>
      <c r="AA101" s="61"/>
      <c r="AB101" s="201"/>
      <c r="AC101" s="61"/>
      <c r="AD101" s="201">
        <v>6.1</v>
      </c>
      <c r="AE101" s="61"/>
      <c r="AF101" s="61">
        <v>0</v>
      </c>
      <c r="AG101" s="61"/>
      <c r="AH101" s="61"/>
      <c r="AI101" s="61"/>
      <c r="AJ101" s="61"/>
      <c r="AK101" s="61"/>
      <c r="AL101" s="291">
        <v>20</v>
      </c>
      <c r="AM101" s="201">
        <v>18</v>
      </c>
      <c r="AN101" s="201">
        <v>12</v>
      </c>
      <c r="AO101" s="61"/>
      <c r="AP101" s="61"/>
      <c r="AQ101" s="61"/>
      <c r="AR101" s="61"/>
      <c r="AS101" s="101" t="s">
        <v>184</v>
      </c>
      <c r="AT101" s="206" t="str">
        <f t="shared" si="1"/>
        <v>44375-100</v>
      </c>
    </row>
    <row r="102" spans="1:46" x14ac:dyDescent="0.35">
      <c r="A102" s="204">
        <v>101</v>
      </c>
      <c r="B102" s="14" t="s">
        <v>83</v>
      </c>
      <c r="C102" s="1" t="s">
        <v>198</v>
      </c>
      <c r="D102" s="1" t="s">
        <v>161</v>
      </c>
      <c r="E102" s="12">
        <v>44375</v>
      </c>
      <c r="F102" s="201">
        <v>1.6</v>
      </c>
      <c r="G102" s="201">
        <v>1</v>
      </c>
      <c r="H102" s="201">
        <v>0</v>
      </c>
      <c r="I102" s="201">
        <v>0</v>
      </c>
      <c r="J102" s="201">
        <v>0</v>
      </c>
      <c r="K102" s="201">
        <v>0</v>
      </c>
      <c r="L102" s="201"/>
      <c r="M102" s="201">
        <v>3.8</v>
      </c>
      <c r="N102" s="201">
        <v>3.3</v>
      </c>
      <c r="O102" s="201">
        <v>1.1000000000000001</v>
      </c>
      <c r="P102" s="201">
        <v>1143.5999999999999</v>
      </c>
      <c r="Q102" s="201">
        <v>1247.5999999999999</v>
      </c>
      <c r="R102" s="201"/>
      <c r="S102" s="201"/>
      <c r="T102" s="201">
        <v>2919</v>
      </c>
      <c r="U102" s="201">
        <v>10.199999999999999</v>
      </c>
      <c r="V102" s="201"/>
      <c r="W102" s="201"/>
      <c r="X102" s="201"/>
      <c r="Y102" s="201"/>
      <c r="Z102" s="201"/>
      <c r="AA102" s="61"/>
      <c r="AB102" s="201"/>
      <c r="AC102" s="61"/>
      <c r="AD102" s="201">
        <v>11.1</v>
      </c>
      <c r="AE102" s="61"/>
      <c r="AF102" s="61">
        <v>0</v>
      </c>
      <c r="AG102" s="61"/>
      <c r="AH102" s="61"/>
      <c r="AI102" s="61"/>
      <c r="AJ102" s="61"/>
      <c r="AK102" s="61"/>
      <c r="AL102" s="291">
        <v>19</v>
      </c>
      <c r="AM102" s="201">
        <v>16</v>
      </c>
      <c r="AN102" s="201">
        <v>11</v>
      </c>
      <c r="AO102" s="61"/>
      <c r="AP102" s="61"/>
      <c r="AQ102" s="61"/>
      <c r="AR102" s="61"/>
      <c r="AS102" s="101" t="s">
        <v>202</v>
      </c>
      <c r="AT102" s="206" t="str">
        <f t="shared" si="1"/>
        <v>44375-101</v>
      </c>
    </row>
    <row r="103" spans="1:46" x14ac:dyDescent="0.35">
      <c r="A103" s="204">
        <v>102</v>
      </c>
      <c r="B103" s="14" t="s">
        <v>83</v>
      </c>
      <c r="C103" s="1" t="s">
        <v>160</v>
      </c>
      <c r="D103" s="1" t="s">
        <v>161</v>
      </c>
      <c r="E103" s="12">
        <v>44375</v>
      </c>
      <c r="F103" s="201">
        <v>1.4</v>
      </c>
      <c r="G103" s="201">
        <v>1.4</v>
      </c>
      <c r="H103" s="201">
        <v>0</v>
      </c>
      <c r="I103" s="201">
        <v>0</v>
      </c>
      <c r="J103" s="201">
        <v>0</v>
      </c>
      <c r="K103" s="201">
        <v>0</v>
      </c>
      <c r="L103" s="201"/>
      <c r="M103" s="201">
        <v>9.6999999999999993</v>
      </c>
      <c r="N103" s="201">
        <v>1.1000000000000001</v>
      </c>
      <c r="O103" s="201">
        <v>1.7</v>
      </c>
      <c r="P103" s="201">
        <v>1157.0999999999999</v>
      </c>
      <c r="Q103" s="201">
        <v>1330.9</v>
      </c>
      <c r="R103" s="201"/>
      <c r="S103" s="201"/>
      <c r="T103" s="201">
        <v>2154.4</v>
      </c>
      <c r="U103" s="201">
        <v>449.6</v>
      </c>
      <c r="V103" s="201"/>
      <c r="W103" s="201"/>
      <c r="X103" s="201"/>
      <c r="Y103" s="201"/>
      <c r="Z103" s="201"/>
      <c r="AA103" s="61"/>
      <c r="AB103" s="201"/>
      <c r="AC103" s="61"/>
      <c r="AD103" s="201">
        <v>15.3</v>
      </c>
      <c r="AE103" s="61"/>
      <c r="AF103" s="61">
        <v>0</v>
      </c>
      <c r="AG103" s="61"/>
      <c r="AH103" s="61"/>
      <c r="AI103" s="61"/>
      <c r="AJ103" s="61"/>
      <c r="AK103" s="61"/>
      <c r="AL103" s="291">
        <v>24</v>
      </c>
      <c r="AM103" s="201">
        <v>22</v>
      </c>
      <c r="AN103" s="201">
        <v>16</v>
      </c>
      <c r="AO103" s="61"/>
      <c r="AP103" s="61"/>
      <c r="AQ103" s="61"/>
      <c r="AR103" s="61"/>
      <c r="AS103" s="101" t="s">
        <v>176</v>
      </c>
      <c r="AT103" s="206" t="str">
        <f t="shared" si="1"/>
        <v>44375-102</v>
      </c>
    </row>
    <row r="104" spans="1:46" x14ac:dyDescent="0.35">
      <c r="A104" s="204">
        <v>103</v>
      </c>
      <c r="B104" s="14" t="s">
        <v>83</v>
      </c>
      <c r="C104" s="1" t="s">
        <v>152</v>
      </c>
      <c r="D104" s="1" t="s">
        <v>161</v>
      </c>
      <c r="E104" s="12">
        <v>44375</v>
      </c>
      <c r="F104" s="201">
        <v>1.9</v>
      </c>
      <c r="G104" s="201">
        <v>1</v>
      </c>
      <c r="H104" s="201">
        <v>0</v>
      </c>
      <c r="I104" s="201">
        <v>0.1</v>
      </c>
      <c r="J104" s="201">
        <v>0</v>
      </c>
      <c r="K104" s="201">
        <v>0</v>
      </c>
      <c r="L104" s="201"/>
      <c r="M104" s="201">
        <v>4.7</v>
      </c>
      <c r="N104" s="201">
        <v>2.9</v>
      </c>
      <c r="O104" s="201">
        <v>0.2</v>
      </c>
      <c r="P104" s="201">
        <v>1146.5</v>
      </c>
      <c r="Q104" s="201">
        <v>1232.5999999999999</v>
      </c>
      <c r="R104" s="201"/>
      <c r="S104" s="201"/>
      <c r="T104" s="201">
        <v>2860.8</v>
      </c>
      <c r="U104" s="201">
        <v>11.4</v>
      </c>
      <c r="V104" s="201"/>
      <c r="W104" s="201"/>
      <c r="X104" s="201"/>
      <c r="Y104" s="201"/>
      <c r="Z104" s="201"/>
      <c r="AA104" s="61"/>
      <c r="AB104" s="201"/>
      <c r="AC104" s="61"/>
      <c r="AD104" s="201">
        <v>6.1</v>
      </c>
      <c r="AE104" s="61"/>
      <c r="AF104" s="61">
        <v>0</v>
      </c>
      <c r="AG104" s="61"/>
      <c r="AH104" s="61"/>
      <c r="AI104" s="61"/>
      <c r="AJ104" s="61"/>
      <c r="AK104" s="61"/>
      <c r="AL104" s="291">
        <v>23</v>
      </c>
      <c r="AM104" s="201">
        <v>22</v>
      </c>
      <c r="AN104" s="201">
        <v>19</v>
      </c>
      <c r="AO104" s="61"/>
      <c r="AP104" s="61"/>
      <c r="AQ104" s="61"/>
      <c r="AR104" s="61"/>
      <c r="AS104" s="101" t="s">
        <v>177</v>
      </c>
      <c r="AT104" s="206" t="str">
        <f t="shared" si="1"/>
        <v>44375-103</v>
      </c>
    </row>
    <row r="105" spans="1:46" x14ac:dyDescent="0.35">
      <c r="A105" s="204">
        <v>104</v>
      </c>
      <c r="B105" s="14" t="s">
        <v>83</v>
      </c>
      <c r="C105" s="1" t="s">
        <v>152</v>
      </c>
      <c r="D105" s="1" t="s">
        <v>161</v>
      </c>
      <c r="E105" s="12">
        <v>44377</v>
      </c>
      <c r="F105" s="201">
        <v>1.8</v>
      </c>
      <c r="G105" s="201">
        <v>0.9</v>
      </c>
      <c r="H105" s="201">
        <v>0</v>
      </c>
      <c r="I105" s="201">
        <v>0</v>
      </c>
      <c r="J105" s="201">
        <v>0</v>
      </c>
      <c r="K105" s="201">
        <v>0</v>
      </c>
      <c r="L105" s="201"/>
      <c r="M105" s="201">
        <v>3.4</v>
      </c>
      <c r="N105" s="201">
        <v>2.4</v>
      </c>
      <c r="O105" s="201">
        <v>0.1</v>
      </c>
      <c r="P105" s="201">
        <v>1135.4000000000001</v>
      </c>
      <c r="Q105" s="201">
        <v>1247.7</v>
      </c>
      <c r="R105" s="201"/>
      <c r="S105" s="201"/>
      <c r="T105" s="201">
        <v>2871.9</v>
      </c>
      <c r="U105" s="201">
        <v>11.2</v>
      </c>
      <c r="V105" s="201"/>
      <c r="W105" s="201"/>
      <c r="X105" s="201"/>
      <c r="Y105" s="201"/>
      <c r="Z105" s="201"/>
      <c r="AA105" s="61"/>
      <c r="AB105" s="201"/>
      <c r="AC105" s="61"/>
      <c r="AD105" s="201">
        <v>6</v>
      </c>
      <c r="AE105" s="61"/>
      <c r="AF105" s="61">
        <v>0</v>
      </c>
      <c r="AG105" s="61"/>
      <c r="AH105" s="61"/>
      <c r="AI105" s="61"/>
      <c r="AJ105" s="61"/>
      <c r="AK105" s="61"/>
      <c r="AL105" s="291">
        <v>19</v>
      </c>
      <c r="AM105" s="201">
        <v>17</v>
      </c>
      <c r="AN105" s="201">
        <v>13</v>
      </c>
      <c r="AO105" s="61"/>
      <c r="AP105" s="61"/>
      <c r="AQ105" s="61"/>
      <c r="AR105" s="61"/>
      <c r="AS105" s="101" t="s">
        <v>203</v>
      </c>
      <c r="AT105" s="206" t="str">
        <f t="shared" si="1"/>
        <v>44377-104</v>
      </c>
    </row>
    <row r="106" spans="1:46" x14ac:dyDescent="0.35">
      <c r="A106" s="204">
        <v>105</v>
      </c>
      <c r="B106" s="14" t="s">
        <v>83</v>
      </c>
      <c r="C106" s="1" t="s">
        <v>160</v>
      </c>
      <c r="D106" s="1" t="s">
        <v>161</v>
      </c>
      <c r="E106" s="12">
        <v>44377</v>
      </c>
      <c r="F106" s="201">
        <v>1.2</v>
      </c>
      <c r="G106" s="201">
        <v>1.3</v>
      </c>
      <c r="H106" s="201">
        <v>0</v>
      </c>
      <c r="I106" s="201">
        <v>0</v>
      </c>
      <c r="J106" s="201">
        <v>0</v>
      </c>
      <c r="K106" s="201">
        <v>0</v>
      </c>
      <c r="L106" s="201"/>
      <c r="M106" s="201">
        <v>7.7</v>
      </c>
      <c r="N106" s="201">
        <v>1.1000000000000001</v>
      </c>
      <c r="O106" s="201">
        <v>1.8</v>
      </c>
      <c r="P106" s="201">
        <v>1092.2</v>
      </c>
      <c r="Q106" s="201">
        <v>1278.5</v>
      </c>
      <c r="R106" s="201"/>
      <c r="S106" s="201"/>
      <c r="T106" s="201">
        <v>2074.5</v>
      </c>
      <c r="U106" s="201">
        <v>430.4</v>
      </c>
      <c r="V106" s="201"/>
      <c r="W106" s="201"/>
      <c r="X106" s="201"/>
      <c r="Y106" s="201"/>
      <c r="Z106" s="201"/>
      <c r="AA106" s="61"/>
      <c r="AB106" s="201"/>
      <c r="AC106" s="61"/>
      <c r="AD106" s="201">
        <v>15.3</v>
      </c>
      <c r="AE106" s="61"/>
      <c r="AF106" s="61">
        <v>0</v>
      </c>
      <c r="AG106" s="61"/>
      <c r="AH106" s="61"/>
      <c r="AI106" s="61"/>
      <c r="AJ106" s="61"/>
      <c r="AK106" s="61"/>
      <c r="AL106" s="291">
        <v>23</v>
      </c>
      <c r="AM106" s="201">
        <v>22</v>
      </c>
      <c r="AN106" s="201">
        <v>14</v>
      </c>
      <c r="AO106" s="61"/>
      <c r="AP106" s="61"/>
      <c r="AQ106" s="61"/>
      <c r="AR106" s="61"/>
      <c r="AS106" s="101" t="s">
        <v>204</v>
      </c>
      <c r="AT106" s="206" t="str">
        <f t="shared" si="1"/>
        <v>44377-105</v>
      </c>
    </row>
    <row r="107" spans="1:46" x14ac:dyDescent="0.35">
      <c r="A107" s="204">
        <v>106</v>
      </c>
      <c r="B107" s="14" t="s">
        <v>83</v>
      </c>
      <c r="C107" s="1" t="s">
        <v>198</v>
      </c>
      <c r="D107" s="1" t="s">
        <v>161</v>
      </c>
      <c r="E107" s="12">
        <v>44377</v>
      </c>
      <c r="F107" s="201">
        <v>1.6</v>
      </c>
      <c r="G107" s="201">
        <v>1</v>
      </c>
      <c r="H107" s="201">
        <v>0</v>
      </c>
      <c r="I107" s="201">
        <v>0</v>
      </c>
      <c r="J107" s="201">
        <v>0</v>
      </c>
      <c r="K107" s="201">
        <v>0</v>
      </c>
      <c r="L107" s="201"/>
      <c r="M107" s="201">
        <v>3</v>
      </c>
      <c r="N107" s="201">
        <v>1.6</v>
      </c>
      <c r="O107" s="201">
        <v>0.4</v>
      </c>
      <c r="P107" s="201">
        <v>1100.2</v>
      </c>
      <c r="Q107" s="201">
        <v>1201.3</v>
      </c>
      <c r="R107" s="201"/>
      <c r="S107" s="201"/>
      <c r="T107" s="201">
        <v>2795.1</v>
      </c>
      <c r="U107" s="201">
        <v>12.3</v>
      </c>
      <c r="V107" s="201"/>
      <c r="W107" s="201"/>
      <c r="X107" s="201"/>
      <c r="Y107" s="201"/>
      <c r="Z107" s="201"/>
      <c r="AA107" s="61"/>
      <c r="AB107" s="201"/>
      <c r="AC107" s="61"/>
      <c r="AD107" s="201">
        <v>11.1</v>
      </c>
      <c r="AE107" s="61"/>
      <c r="AF107" s="61">
        <v>0</v>
      </c>
      <c r="AG107" s="61"/>
      <c r="AH107" s="61"/>
      <c r="AI107" s="61"/>
      <c r="AJ107" s="61"/>
      <c r="AK107" s="61"/>
      <c r="AL107" s="291">
        <v>19</v>
      </c>
      <c r="AM107" s="201">
        <v>17</v>
      </c>
      <c r="AN107" s="201">
        <v>12</v>
      </c>
      <c r="AO107" s="61"/>
      <c r="AP107" s="61"/>
      <c r="AQ107" s="61"/>
      <c r="AR107" s="61"/>
      <c r="AS107" s="101" t="s">
        <v>205</v>
      </c>
      <c r="AT107" s="206" t="str">
        <f t="shared" si="1"/>
        <v>44377-106</v>
      </c>
    </row>
    <row r="108" spans="1:46" x14ac:dyDescent="0.35">
      <c r="A108" s="204">
        <v>107</v>
      </c>
      <c r="B108" s="14" t="s">
        <v>83</v>
      </c>
      <c r="C108" s="1" t="s">
        <v>198</v>
      </c>
      <c r="D108" s="1" t="s">
        <v>161</v>
      </c>
      <c r="E108" s="12">
        <v>44377</v>
      </c>
      <c r="F108" s="201">
        <v>1.7</v>
      </c>
      <c r="G108" s="201">
        <v>0.9</v>
      </c>
      <c r="H108" s="201">
        <v>0</v>
      </c>
      <c r="I108" s="201">
        <v>0.1</v>
      </c>
      <c r="J108" s="201">
        <v>0</v>
      </c>
      <c r="K108" s="201">
        <v>0</v>
      </c>
      <c r="L108" s="201"/>
      <c r="M108" s="201">
        <v>3.1</v>
      </c>
      <c r="N108" s="201">
        <v>2</v>
      </c>
      <c r="O108" s="201">
        <v>0.6</v>
      </c>
      <c r="P108" s="201">
        <v>1110.7</v>
      </c>
      <c r="Q108" s="201">
        <v>1212.9000000000001</v>
      </c>
      <c r="R108" s="201"/>
      <c r="S108" s="201"/>
      <c r="T108" s="201">
        <v>2835.4</v>
      </c>
      <c r="U108" s="201">
        <v>10.6</v>
      </c>
      <c r="V108" s="201"/>
      <c r="W108" s="201"/>
      <c r="X108" s="201"/>
      <c r="Y108" s="201"/>
      <c r="Z108" s="201"/>
      <c r="AA108" s="61"/>
      <c r="AB108" s="201"/>
      <c r="AC108" s="61"/>
      <c r="AD108" s="201">
        <v>11</v>
      </c>
      <c r="AE108" s="61"/>
      <c r="AF108" s="61">
        <v>0</v>
      </c>
      <c r="AG108" s="61"/>
      <c r="AH108" s="61"/>
      <c r="AI108" s="61"/>
      <c r="AJ108" s="61"/>
      <c r="AK108" s="61"/>
      <c r="AL108" s="291">
        <v>17</v>
      </c>
      <c r="AM108" s="201">
        <v>16</v>
      </c>
      <c r="AN108" s="201">
        <v>8</v>
      </c>
      <c r="AO108" s="61"/>
      <c r="AP108" s="61"/>
      <c r="AQ108" s="61"/>
      <c r="AR108" s="61"/>
      <c r="AS108" s="101" t="s">
        <v>206</v>
      </c>
      <c r="AT108" s="206" t="str">
        <f t="shared" si="1"/>
        <v>44377-107</v>
      </c>
    </row>
    <row r="109" spans="1:46" x14ac:dyDescent="0.35">
      <c r="A109" s="204">
        <v>108</v>
      </c>
      <c r="B109" s="14" t="s">
        <v>83</v>
      </c>
      <c r="C109" s="1" t="s">
        <v>160</v>
      </c>
      <c r="D109" s="1" t="s">
        <v>161</v>
      </c>
      <c r="E109" s="12">
        <v>44377</v>
      </c>
      <c r="F109" s="201">
        <v>1.2</v>
      </c>
      <c r="G109" s="201">
        <v>1.3</v>
      </c>
      <c r="H109" s="201">
        <v>0</v>
      </c>
      <c r="I109" s="201">
        <v>0</v>
      </c>
      <c r="J109" s="201">
        <v>0</v>
      </c>
      <c r="K109" s="201">
        <v>0</v>
      </c>
      <c r="L109" s="201"/>
      <c r="M109" s="201">
        <v>7.8</v>
      </c>
      <c r="N109" s="201">
        <v>1.4</v>
      </c>
      <c r="O109" s="201">
        <v>2</v>
      </c>
      <c r="P109" s="201">
        <v>1114.8</v>
      </c>
      <c r="Q109" s="201">
        <v>1288.8</v>
      </c>
      <c r="R109" s="201"/>
      <c r="S109" s="201"/>
      <c r="T109" s="201">
        <v>2110.1999999999998</v>
      </c>
      <c r="U109" s="201">
        <v>437.9</v>
      </c>
      <c r="V109" s="201"/>
      <c r="W109" s="201"/>
      <c r="X109" s="201"/>
      <c r="Y109" s="201"/>
      <c r="Z109" s="201"/>
      <c r="AA109" s="61"/>
      <c r="AB109" s="201"/>
      <c r="AC109" s="61"/>
      <c r="AD109" s="201">
        <v>15.3</v>
      </c>
      <c r="AE109" s="61"/>
      <c r="AF109" s="61">
        <v>0</v>
      </c>
      <c r="AG109" s="61"/>
      <c r="AH109" s="61"/>
      <c r="AI109" s="61"/>
      <c r="AJ109" s="61"/>
      <c r="AK109" s="61"/>
      <c r="AL109" s="291">
        <v>24</v>
      </c>
      <c r="AM109" s="201">
        <v>22</v>
      </c>
      <c r="AN109" s="201">
        <v>14</v>
      </c>
      <c r="AO109" s="61"/>
      <c r="AP109" s="61"/>
      <c r="AQ109" s="61"/>
      <c r="AR109" s="61"/>
      <c r="AS109" s="101" t="s">
        <v>207</v>
      </c>
      <c r="AT109" s="206" t="str">
        <f t="shared" si="1"/>
        <v>44377-108</v>
      </c>
    </row>
    <row r="110" spans="1:46" x14ac:dyDescent="0.35">
      <c r="A110" s="204">
        <v>109</v>
      </c>
      <c r="B110" s="14" t="s">
        <v>83</v>
      </c>
      <c r="C110" s="1" t="s">
        <v>152</v>
      </c>
      <c r="D110" s="1" t="s">
        <v>161</v>
      </c>
      <c r="E110" s="12">
        <v>44377</v>
      </c>
      <c r="F110" s="201">
        <v>1.8</v>
      </c>
      <c r="G110" s="201">
        <v>0.9</v>
      </c>
      <c r="H110" s="201">
        <v>0</v>
      </c>
      <c r="I110" s="201">
        <v>0</v>
      </c>
      <c r="J110" s="201">
        <v>0</v>
      </c>
      <c r="K110" s="201">
        <v>0.1</v>
      </c>
      <c r="L110" s="201"/>
      <c r="M110" s="201">
        <v>3.4</v>
      </c>
      <c r="N110" s="201">
        <v>2.7</v>
      </c>
      <c r="O110" s="201">
        <v>0</v>
      </c>
      <c r="P110" s="201">
        <v>1115.7</v>
      </c>
      <c r="Q110" s="201">
        <v>1229.3</v>
      </c>
      <c r="R110" s="201"/>
      <c r="S110" s="201"/>
      <c r="T110" s="201">
        <v>2832.5</v>
      </c>
      <c r="U110" s="201">
        <v>11.3</v>
      </c>
      <c r="V110" s="201"/>
      <c r="W110" s="201"/>
      <c r="X110" s="201"/>
      <c r="Y110" s="201"/>
      <c r="Z110" s="201"/>
      <c r="AA110" s="61"/>
      <c r="AB110" s="201"/>
      <c r="AC110" s="61"/>
      <c r="AD110" s="201">
        <v>6.1</v>
      </c>
      <c r="AE110" s="61"/>
      <c r="AF110" s="61">
        <v>0</v>
      </c>
      <c r="AG110" s="61"/>
      <c r="AH110" s="61"/>
      <c r="AI110" s="61"/>
      <c r="AJ110" s="61"/>
      <c r="AK110" s="61"/>
      <c r="AL110" s="291">
        <v>20</v>
      </c>
      <c r="AM110" s="201">
        <v>18</v>
      </c>
      <c r="AN110" s="201">
        <v>13</v>
      </c>
      <c r="AO110" s="61"/>
      <c r="AP110" s="61"/>
      <c r="AQ110" s="61"/>
      <c r="AR110" s="61"/>
      <c r="AS110" s="101" t="s">
        <v>208</v>
      </c>
      <c r="AT110" s="206" t="str">
        <f t="shared" si="1"/>
        <v>44377-109</v>
      </c>
    </row>
    <row r="111" spans="1:46" x14ac:dyDescent="0.35">
      <c r="A111" s="204">
        <v>110</v>
      </c>
      <c r="B111" s="14" t="s">
        <v>83</v>
      </c>
      <c r="C111" s="1" t="s">
        <v>152</v>
      </c>
      <c r="D111" s="1" t="s">
        <v>161</v>
      </c>
      <c r="E111" s="12">
        <v>44382</v>
      </c>
      <c r="F111" s="201">
        <v>1.5</v>
      </c>
      <c r="G111" s="201">
        <v>0.9</v>
      </c>
      <c r="H111" s="201">
        <v>0</v>
      </c>
      <c r="I111" s="201">
        <v>0</v>
      </c>
      <c r="J111" s="201">
        <v>0</v>
      </c>
      <c r="K111" s="201">
        <v>0</v>
      </c>
      <c r="L111" s="201"/>
      <c r="M111" s="201">
        <v>4.2</v>
      </c>
      <c r="N111" s="201">
        <v>2.4</v>
      </c>
      <c r="O111" s="201">
        <v>1.8</v>
      </c>
      <c r="P111" s="201">
        <v>1171.7</v>
      </c>
      <c r="Q111" s="201">
        <v>1117</v>
      </c>
      <c r="R111" s="201"/>
      <c r="S111" s="201"/>
      <c r="T111" s="201">
        <v>2954.2</v>
      </c>
      <c r="U111" s="201">
        <v>11</v>
      </c>
      <c r="V111" s="201"/>
      <c r="W111" s="201"/>
      <c r="X111" s="201"/>
      <c r="Y111" s="201"/>
      <c r="Z111" s="201"/>
      <c r="AA111" s="61"/>
      <c r="AB111" s="201"/>
      <c r="AC111" s="61"/>
      <c r="AD111" s="201">
        <v>6.1</v>
      </c>
      <c r="AE111" s="61"/>
      <c r="AF111" s="61">
        <v>0</v>
      </c>
      <c r="AG111" s="61"/>
      <c r="AH111" s="61"/>
      <c r="AI111" s="61"/>
      <c r="AJ111" s="61"/>
      <c r="AK111" s="61"/>
      <c r="AL111" s="291">
        <v>19</v>
      </c>
      <c r="AM111" s="201">
        <v>17</v>
      </c>
      <c r="AN111" s="201">
        <v>11</v>
      </c>
      <c r="AO111" s="61"/>
      <c r="AP111" s="61"/>
      <c r="AQ111" s="61"/>
      <c r="AR111" s="61"/>
      <c r="AS111" s="101" t="s">
        <v>209</v>
      </c>
      <c r="AT111" s="206" t="str">
        <f t="shared" si="1"/>
        <v>44382-110</v>
      </c>
    </row>
    <row r="112" spans="1:46" x14ac:dyDescent="0.35">
      <c r="A112" s="204">
        <v>111</v>
      </c>
      <c r="B112" s="14" t="s">
        <v>83</v>
      </c>
      <c r="C112" s="1" t="s">
        <v>160</v>
      </c>
      <c r="D112" s="1" t="s">
        <v>161</v>
      </c>
      <c r="E112" s="12">
        <v>44382</v>
      </c>
      <c r="F112" s="201">
        <v>1.4742932200000001</v>
      </c>
      <c r="G112" s="201">
        <v>0.76539081600000003</v>
      </c>
      <c r="H112" s="201">
        <v>-9.4859337529999994E-3</v>
      </c>
      <c r="I112" s="201">
        <v>0</v>
      </c>
      <c r="J112" s="201">
        <v>0</v>
      </c>
      <c r="K112" s="201">
        <v>7.8588028690000006E-2</v>
      </c>
      <c r="L112" s="201"/>
      <c r="M112" s="201">
        <v>7.8</v>
      </c>
      <c r="N112" s="201">
        <v>0.2520672954</v>
      </c>
      <c r="O112" s="201">
        <v>1.0245288210000001</v>
      </c>
      <c r="P112" s="201">
        <v>1552.6018409999999</v>
      </c>
      <c r="Q112" s="201">
        <v>1434.8665599999999</v>
      </c>
      <c r="R112" s="201"/>
      <c r="S112" s="201"/>
      <c r="T112" s="201">
        <v>2868.6300630000001</v>
      </c>
      <c r="U112" s="201">
        <v>451.05541640000001</v>
      </c>
      <c r="V112" s="201"/>
      <c r="W112" s="201"/>
      <c r="X112" s="201"/>
      <c r="Y112" s="201"/>
      <c r="Z112" s="201"/>
      <c r="AA112" s="61"/>
      <c r="AB112" s="201"/>
      <c r="AC112" s="61"/>
      <c r="AD112" s="201">
        <v>15.6</v>
      </c>
      <c r="AE112" s="61"/>
      <c r="AF112" s="61">
        <v>0</v>
      </c>
      <c r="AG112" s="61"/>
      <c r="AH112" s="61"/>
      <c r="AI112" s="61"/>
      <c r="AJ112" s="61"/>
      <c r="AK112" s="61"/>
      <c r="AL112" s="291">
        <v>23</v>
      </c>
      <c r="AM112" s="201">
        <v>22</v>
      </c>
      <c r="AN112" s="201">
        <v>14</v>
      </c>
      <c r="AO112" s="61"/>
      <c r="AP112" s="61"/>
      <c r="AQ112" s="61"/>
      <c r="AR112" s="61"/>
      <c r="AS112" s="101" t="s">
        <v>210</v>
      </c>
      <c r="AT112" s="206" t="str">
        <f t="shared" si="1"/>
        <v>44382-111</v>
      </c>
    </row>
    <row r="113" spans="1:46" x14ac:dyDescent="0.35">
      <c r="A113" s="204">
        <v>112</v>
      </c>
      <c r="B113" s="14" t="s">
        <v>83</v>
      </c>
      <c r="C113" s="1" t="s">
        <v>152</v>
      </c>
      <c r="D113" s="1" t="s">
        <v>161</v>
      </c>
      <c r="E113" s="12">
        <v>44382</v>
      </c>
      <c r="F113" s="201">
        <v>1.6</v>
      </c>
      <c r="G113" s="201">
        <v>0.9</v>
      </c>
      <c r="H113" s="201">
        <v>0</v>
      </c>
      <c r="I113" s="201">
        <v>0.2</v>
      </c>
      <c r="J113" s="201">
        <v>0</v>
      </c>
      <c r="K113" s="201">
        <v>0</v>
      </c>
      <c r="L113" s="201"/>
      <c r="M113" s="201">
        <v>4.3</v>
      </c>
      <c r="N113" s="201">
        <v>2.5</v>
      </c>
      <c r="O113" s="201">
        <v>1.5</v>
      </c>
      <c r="P113" s="201">
        <v>1200.5999999999999</v>
      </c>
      <c r="Q113" s="201">
        <v>1145.0999999999999</v>
      </c>
      <c r="R113" s="201"/>
      <c r="S113" s="201"/>
      <c r="T113" s="201">
        <v>3056.1</v>
      </c>
      <c r="U113" s="201">
        <v>12</v>
      </c>
      <c r="V113" s="201"/>
      <c r="W113" s="201"/>
      <c r="X113" s="201"/>
      <c r="Y113" s="201"/>
      <c r="Z113" s="201"/>
      <c r="AA113" s="61"/>
      <c r="AB113" s="201"/>
      <c r="AC113" s="61"/>
      <c r="AD113" s="201">
        <v>6.1</v>
      </c>
      <c r="AE113" s="61"/>
      <c r="AF113" s="61">
        <v>0</v>
      </c>
      <c r="AG113" s="61"/>
      <c r="AH113" s="61"/>
      <c r="AI113" s="61"/>
      <c r="AJ113" s="61"/>
      <c r="AK113" s="61"/>
      <c r="AL113" s="291">
        <v>19</v>
      </c>
      <c r="AM113" s="201">
        <v>18</v>
      </c>
      <c r="AN113" s="201">
        <v>13</v>
      </c>
      <c r="AO113" s="61"/>
      <c r="AP113" s="61"/>
      <c r="AQ113" s="61"/>
      <c r="AR113" s="61"/>
      <c r="AS113" s="101" t="s">
        <v>211</v>
      </c>
      <c r="AT113" s="206" t="str">
        <f t="shared" si="1"/>
        <v>44382-112</v>
      </c>
    </row>
    <row r="114" spans="1:46" x14ac:dyDescent="0.35">
      <c r="A114" s="204">
        <v>113</v>
      </c>
      <c r="B114" s="14" t="s">
        <v>83</v>
      </c>
      <c r="C114" s="1" t="s">
        <v>160</v>
      </c>
      <c r="D114" s="1" t="s">
        <v>161</v>
      </c>
      <c r="E114" s="12">
        <v>44382</v>
      </c>
      <c r="F114" s="201">
        <v>1.481861825</v>
      </c>
      <c r="G114" s="201">
        <v>0.78286653090000002</v>
      </c>
      <c r="H114" s="201">
        <v>-1.507757054E-2</v>
      </c>
      <c r="I114" s="201">
        <v>0</v>
      </c>
      <c r="J114" s="201">
        <v>0</v>
      </c>
      <c r="K114" s="201">
        <v>2.243348723E-2</v>
      </c>
      <c r="L114" s="201"/>
      <c r="M114" s="201">
        <v>7.7</v>
      </c>
      <c r="N114" s="201">
        <v>0.33872978380000002</v>
      </c>
      <c r="O114" s="201">
        <v>1.060554974</v>
      </c>
      <c r="P114" s="201">
        <v>1547.125722</v>
      </c>
      <c r="Q114" s="201">
        <v>1435.0860230000001</v>
      </c>
      <c r="R114" s="201"/>
      <c r="S114" s="201"/>
      <c r="T114" s="201">
        <v>2860.9580460000002</v>
      </c>
      <c r="U114" s="201">
        <v>453.11836290000002</v>
      </c>
      <c r="V114" s="201"/>
      <c r="W114" s="201"/>
      <c r="X114" s="201"/>
      <c r="Y114" s="201"/>
      <c r="Z114" s="201"/>
      <c r="AA114" s="61"/>
      <c r="AB114" s="201"/>
      <c r="AC114" s="61"/>
      <c r="AD114" s="201">
        <v>15.5</v>
      </c>
      <c r="AE114" s="61"/>
      <c r="AF114" s="61">
        <v>0</v>
      </c>
      <c r="AG114" s="61"/>
      <c r="AH114" s="61"/>
      <c r="AI114" s="61"/>
      <c r="AJ114" s="61"/>
      <c r="AK114" s="61"/>
      <c r="AL114" s="291">
        <v>23</v>
      </c>
      <c r="AM114" s="201">
        <v>22</v>
      </c>
      <c r="AN114" s="201">
        <v>13</v>
      </c>
      <c r="AO114" s="61"/>
      <c r="AP114" s="61"/>
      <c r="AQ114" s="61"/>
      <c r="AR114" s="61"/>
      <c r="AS114" s="101" t="s">
        <v>212</v>
      </c>
      <c r="AT114" s="206" t="str">
        <f t="shared" si="1"/>
        <v>44382-113</v>
      </c>
    </row>
    <row r="115" spans="1:46" x14ac:dyDescent="0.35">
      <c r="A115" s="204">
        <v>114</v>
      </c>
      <c r="B115" s="14" t="s">
        <v>83</v>
      </c>
      <c r="C115" s="1" t="s">
        <v>152</v>
      </c>
      <c r="D115" s="1" t="s">
        <v>161</v>
      </c>
      <c r="E115" s="12">
        <v>44382</v>
      </c>
      <c r="F115" s="201">
        <v>2</v>
      </c>
      <c r="G115" s="201">
        <v>1.1000000000000001</v>
      </c>
      <c r="H115" s="201">
        <v>0</v>
      </c>
      <c r="I115" s="201">
        <v>0</v>
      </c>
      <c r="J115" s="201">
        <v>0</v>
      </c>
      <c r="K115" s="201">
        <v>0</v>
      </c>
      <c r="L115" s="201"/>
      <c r="M115" s="201">
        <v>5.2</v>
      </c>
      <c r="N115" s="201">
        <v>2.2999999999999998</v>
      </c>
      <c r="O115" s="201">
        <v>1</v>
      </c>
      <c r="P115" s="201">
        <v>1222.4000000000001</v>
      </c>
      <c r="Q115" s="201">
        <v>1071.5999999999999</v>
      </c>
      <c r="R115" s="201"/>
      <c r="S115" s="201"/>
      <c r="T115" s="201">
        <v>3038.1</v>
      </c>
      <c r="U115" s="201">
        <v>11.9</v>
      </c>
      <c r="V115" s="201"/>
      <c r="W115" s="201"/>
      <c r="X115" s="201"/>
      <c r="Y115" s="201"/>
      <c r="Z115" s="201"/>
      <c r="AA115" s="61"/>
      <c r="AB115" s="201"/>
      <c r="AC115" s="61"/>
      <c r="AD115" s="201">
        <v>6</v>
      </c>
      <c r="AE115" s="61"/>
      <c r="AF115" s="61">
        <v>0</v>
      </c>
      <c r="AG115" s="61"/>
      <c r="AH115" s="61"/>
      <c r="AI115" s="61"/>
      <c r="AJ115" s="61"/>
      <c r="AK115" s="61"/>
      <c r="AL115" s="291">
        <v>19</v>
      </c>
      <c r="AM115" s="201">
        <v>17</v>
      </c>
      <c r="AN115" s="201">
        <v>12</v>
      </c>
      <c r="AO115" s="61"/>
      <c r="AP115" s="61"/>
      <c r="AQ115" s="61"/>
      <c r="AR115" s="61"/>
      <c r="AS115" s="101" t="s">
        <v>213</v>
      </c>
      <c r="AT115" s="206" t="str">
        <f t="shared" si="1"/>
        <v>44382-114</v>
      </c>
    </row>
    <row r="116" spans="1:46" x14ac:dyDescent="0.35">
      <c r="A116" s="204">
        <v>115</v>
      </c>
      <c r="B116" s="14" t="s">
        <v>83</v>
      </c>
      <c r="C116" s="1" t="s">
        <v>160</v>
      </c>
      <c r="D116" s="1" t="s">
        <v>161</v>
      </c>
      <c r="E116" s="12">
        <v>44385</v>
      </c>
      <c r="F116" s="201">
        <v>1.3</v>
      </c>
      <c r="G116" s="201">
        <v>1.3</v>
      </c>
      <c r="H116" s="201">
        <v>0</v>
      </c>
      <c r="I116" s="201">
        <v>0</v>
      </c>
      <c r="J116" s="201">
        <v>0</v>
      </c>
      <c r="K116" s="201">
        <v>0</v>
      </c>
      <c r="L116" s="201"/>
      <c r="M116" s="201">
        <v>7.8</v>
      </c>
      <c r="N116" s="201">
        <v>0</v>
      </c>
      <c r="O116" s="201">
        <v>1.5</v>
      </c>
      <c r="P116" s="201">
        <v>1146.9000000000001</v>
      </c>
      <c r="Q116" s="201">
        <v>1299.2</v>
      </c>
      <c r="R116" s="201"/>
      <c r="S116" s="201"/>
      <c r="T116" s="201">
        <v>2147.6</v>
      </c>
      <c r="U116" s="201">
        <v>453</v>
      </c>
      <c r="V116" s="201"/>
      <c r="W116" s="201"/>
      <c r="X116" s="201"/>
      <c r="Y116" s="201"/>
      <c r="Z116" s="201"/>
      <c r="AA116" s="61"/>
      <c r="AB116" s="201"/>
      <c r="AC116" s="61"/>
      <c r="AD116" s="201">
        <v>15.1</v>
      </c>
      <c r="AE116" s="61"/>
      <c r="AF116" s="61">
        <v>0</v>
      </c>
      <c r="AG116" s="61"/>
      <c r="AH116" s="61"/>
      <c r="AI116" s="61"/>
      <c r="AJ116" s="61"/>
      <c r="AK116" s="61"/>
      <c r="AL116" s="291">
        <v>24</v>
      </c>
      <c r="AM116" s="201">
        <v>22</v>
      </c>
      <c r="AN116" s="201">
        <v>15</v>
      </c>
      <c r="AO116" s="61"/>
      <c r="AP116" s="61"/>
      <c r="AQ116" s="61"/>
      <c r="AR116" s="61"/>
      <c r="AS116" s="101" t="s">
        <v>173</v>
      </c>
      <c r="AT116" s="206" t="str">
        <f t="shared" si="1"/>
        <v>44385-115</v>
      </c>
    </row>
    <row r="117" spans="1:46" x14ac:dyDescent="0.35">
      <c r="A117" s="204">
        <v>116</v>
      </c>
      <c r="B117" s="14" t="s">
        <v>83</v>
      </c>
      <c r="C117" s="1" t="s">
        <v>152</v>
      </c>
      <c r="D117" s="1" t="s">
        <v>161</v>
      </c>
      <c r="E117" s="12">
        <v>44385</v>
      </c>
      <c r="F117" s="201">
        <v>1.6</v>
      </c>
      <c r="G117" s="201">
        <v>0.9</v>
      </c>
      <c r="H117" s="201">
        <v>0</v>
      </c>
      <c r="I117" s="201">
        <v>0</v>
      </c>
      <c r="J117" s="201">
        <v>0</v>
      </c>
      <c r="K117" s="201">
        <v>0</v>
      </c>
      <c r="L117" s="201"/>
      <c r="M117" s="201">
        <v>3.8</v>
      </c>
      <c r="N117" s="201">
        <v>1.7</v>
      </c>
      <c r="O117" s="201">
        <v>0.1</v>
      </c>
      <c r="P117" s="201">
        <v>1148.2</v>
      </c>
      <c r="Q117" s="201">
        <v>1209.8</v>
      </c>
      <c r="R117" s="201"/>
      <c r="S117" s="201"/>
      <c r="T117" s="201">
        <v>2889.3</v>
      </c>
      <c r="U117" s="201">
        <v>12.6</v>
      </c>
      <c r="V117" s="201"/>
      <c r="W117" s="201"/>
      <c r="X117" s="201"/>
      <c r="Y117" s="201"/>
      <c r="Z117" s="201"/>
      <c r="AA117" s="61"/>
      <c r="AB117" s="201"/>
      <c r="AC117" s="61"/>
      <c r="AD117" s="201">
        <v>6.1</v>
      </c>
      <c r="AE117" s="61"/>
      <c r="AF117" s="61">
        <v>0</v>
      </c>
      <c r="AG117" s="61"/>
      <c r="AH117" s="61"/>
      <c r="AI117" s="61"/>
      <c r="AJ117" s="61"/>
      <c r="AK117" s="61"/>
      <c r="AL117" s="291">
        <v>19</v>
      </c>
      <c r="AM117" s="201">
        <v>17</v>
      </c>
      <c r="AN117" s="201">
        <v>13</v>
      </c>
      <c r="AO117" s="61"/>
      <c r="AP117" s="61"/>
      <c r="AQ117" s="61"/>
      <c r="AR117" s="61"/>
      <c r="AS117" s="101" t="s">
        <v>174</v>
      </c>
      <c r="AT117" s="206" t="str">
        <f t="shared" si="1"/>
        <v>44385-116</v>
      </c>
    </row>
    <row r="118" spans="1:46" x14ac:dyDescent="0.35">
      <c r="A118" s="204">
        <v>117</v>
      </c>
      <c r="B118" s="14" t="s">
        <v>83</v>
      </c>
      <c r="C118" s="1" t="s">
        <v>152</v>
      </c>
      <c r="D118" s="1" t="s">
        <v>161</v>
      </c>
      <c r="E118" s="12">
        <v>44385</v>
      </c>
      <c r="F118" s="201">
        <v>1.6</v>
      </c>
      <c r="G118" s="201">
        <v>1</v>
      </c>
      <c r="H118" s="201">
        <v>0</v>
      </c>
      <c r="I118" s="201">
        <v>0</v>
      </c>
      <c r="J118" s="201">
        <v>0.1</v>
      </c>
      <c r="K118" s="201">
        <v>0</v>
      </c>
      <c r="L118" s="201"/>
      <c r="M118" s="201">
        <v>3.6</v>
      </c>
      <c r="N118" s="201">
        <v>1.6</v>
      </c>
      <c r="O118" s="201">
        <v>0.2</v>
      </c>
      <c r="P118" s="201">
        <v>1145.5999999999999</v>
      </c>
      <c r="Q118" s="201">
        <v>1196.7</v>
      </c>
      <c r="R118" s="201"/>
      <c r="S118" s="201"/>
      <c r="T118" s="201">
        <v>2865.4</v>
      </c>
      <c r="U118" s="201">
        <v>11.9</v>
      </c>
      <c r="V118" s="201"/>
      <c r="W118" s="201"/>
      <c r="X118" s="201"/>
      <c r="Y118" s="201"/>
      <c r="Z118" s="201"/>
      <c r="AA118" s="61"/>
      <c r="AB118" s="201"/>
      <c r="AC118" s="61"/>
      <c r="AD118" s="201">
        <v>6</v>
      </c>
      <c r="AE118" s="61"/>
      <c r="AF118" s="61">
        <v>0</v>
      </c>
      <c r="AG118" s="61"/>
      <c r="AH118" s="61"/>
      <c r="AI118" s="61"/>
      <c r="AJ118" s="61"/>
      <c r="AK118" s="61"/>
      <c r="AL118" s="291">
        <v>19</v>
      </c>
      <c r="AM118" s="201">
        <v>18</v>
      </c>
      <c r="AN118" s="201">
        <v>12</v>
      </c>
      <c r="AO118" s="61"/>
      <c r="AP118" s="61"/>
      <c r="AQ118" s="61"/>
      <c r="AR118" s="61"/>
      <c r="AS118" s="101" t="s">
        <v>175</v>
      </c>
      <c r="AT118" s="206" t="str">
        <f t="shared" si="1"/>
        <v>44385-117</v>
      </c>
    </row>
    <row r="119" spans="1:46" x14ac:dyDescent="0.35">
      <c r="A119" s="204">
        <v>118</v>
      </c>
      <c r="B119" s="14" t="s">
        <v>83</v>
      </c>
      <c r="C119" s="1" t="s">
        <v>152</v>
      </c>
      <c r="D119" s="1" t="s">
        <v>161</v>
      </c>
      <c r="E119" s="12">
        <v>44386</v>
      </c>
      <c r="F119" s="201">
        <v>1.5</v>
      </c>
      <c r="G119" s="201">
        <v>1.2</v>
      </c>
      <c r="H119" s="201">
        <v>0</v>
      </c>
      <c r="I119" s="201">
        <v>0</v>
      </c>
      <c r="J119" s="201">
        <v>0</v>
      </c>
      <c r="K119" s="201">
        <v>0</v>
      </c>
      <c r="L119" s="201"/>
      <c r="M119" s="201">
        <v>3.7</v>
      </c>
      <c r="N119" s="201">
        <v>1.7</v>
      </c>
      <c r="O119" s="201">
        <v>0.4</v>
      </c>
      <c r="P119" s="201">
        <v>1135.9000000000001</v>
      </c>
      <c r="Q119" s="201">
        <v>1176.4000000000001</v>
      </c>
      <c r="R119" s="201"/>
      <c r="S119" s="201"/>
      <c r="T119" s="201">
        <v>2898.3</v>
      </c>
      <c r="U119" s="201">
        <v>11.9</v>
      </c>
      <c r="V119" s="201"/>
      <c r="W119" s="201"/>
      <c r="X119" s="201"/>
      <c r="Y119" s="201"/>
      <c r="Z119" s="201"/>
      <c r="AA119" s="61"/>
      <c r="AB119" s="201"/>
      <c r="AC119" s="61"/>
      <c r="AD119" s="201">
        <v>5.9</v>
      </c>
      <c r="AE119" s="61"/>
      <c r="AF119" s="61">
        <v>0</v>
      </c>
      <c r="AG119" s="61"/>
      <c r="AH119" s="61"/>
      <c r="AI119" s="61"/>
      <c r="AJ119" s="61"/>
      <c r="AK119" s="61"/>
      <c r="AL119" s="291">
        <v>20</v>
      </c>
      <c r="AM119" s="201">
        <v>18</v>
      </c>
      <c r="AN119" s="201">
        <v>13</v>
      </c>
      <c r="AO119" s="61"/>
      <c r="AP119" s="61"/>
      <c r="AQ119" s="61"/>
      <c r="AR119" s="61"/>
      <c r="AS119" s="101" t="s">
        <v>184</v>
      </c>
      <c r="AT119" s="206" t="str">
        <f t="shared" si="1"/>
        <v>44386-118</v>
      </c>
    </row>
    <row r="120" spans="1:46" x14ac:dyDescent="0.35">
      <c r="A120" s="204">
        <v>119</v>
      </c>
      <c r="B120" s="14" t="s">
        <v>83</v>
      </c>
      <c r="C120" s="1" t="s">
        <v>160</v>
      </c>
      <c r="D120" s="1" t="s">
        <v>161</v>
      </c>
      <c r="E120" s="12">
        <v>44386</v>
      </c>
      <c r="F120" s="201">
        <v>1.2</v>
      </c>
      <c r="G120" s="201">
        <v>1.1000000000000001</v>
      </c>
      <c r="H120" s="201">
        <v>0.1</v>
      </c>
      <c r="I120" s="201">
        <v>0</v>
      </c>
      <c r="J120" s="201">
        <v>0</v>
      </c>
      <c r="K120" s="201">
        <v>0</v>
      </c>
      <c r="L120" s="201"/>
      <c r="M120" s="201">
        <v>7.3</v>
      </c>
      <c r="N120" s="201">
        <v>0.7</v>
      </c>
      <c r="O120" s="201">
        <v>1.8</v>
      </c>
      <c r="P120" s="201">
        <v>1123.2</v>
      </c>
      <c r="Q120" s="201">
        <v>1237.4000000000001</v>
      </c>
      <c r="R120" s="201"/>
      <c r="S120" s="201"/>
      <c r="T120" s="201">
        <v>2062.4</v>
      </c>
      <c r="U120" s="201">
        <v>434.6</v>
      </c>
      <c r="V120" s="201"/>
      <c r="W120" s="201"/>
      <c r="X120" s="201"/>
      <c r="Y120" s="201"/>
      <c r="Z120" s="201"/>
      <c r="AA120" s="61"/>
      <c r="AB120" s="201"/>
      <c r="AC120" s="61"/>
      <c r="AD120" s="201">
        <v>15</v>
      </c>
      <c r="AE120" s="61"/>
      <c r="AF120" s="61">
        <v>0</v>
      </c>
      <c r="AG120" s="61"/>
      <c r="AH120" s="61"/>
      <c r="AI120" s="61"/>
      <c r="AJ120" s="61"/>
      <c r="AK120" s="61"/>
      <c r="AL120" s="291">
        <v>24</v>
      </c>
      <c r="AM120" s="201">
        <v>22</v>
      </c>
      <c r="AN120" s="201">
        <v>15</v>
      </c>
      <c r="AO120" s="61"/>
      <c r="AP120" s="61"/>
      <c r="AQ120" s="61"/>
      <c r="AR120" s="61"/>
      <c r="AS120" s="101" t="s">
        <v>176</v>
      </c>
      <c r="AT120" s="206" t="str">
        <f t="shared" si="1"/>
        <v>44386-119</v>
      </c>
    </row>
    <row r="121" spans="1:46" x14ac:dyDescent="0.35">
      <c r="A121" s="204">
        <v>120</v>
      </c>
      <c r="B121" s="14" t="s">
        <v>83</v>
      </c>
      <c r="C121" s="1" t="s">
        <v>152</v>
      </c>
      <c r="D121" s="1" t="s">
        <v>161</v>
      </c>
      <c r="E121" s="12">
        <v>44386</v>
      </c>
      <c r="F121" s="201">
        <v>1.7</v>
      </c>
      <c r="G121" s="201">
        <v>0.8</v>
      </c>
      <c r="H121" s="201">
        <v>0</v>
      </c>
      <c r="I121" s="201">
        <v>0.1</v>
      </c>
      <c r="J121" s="201">
        <v>0</v>
      </c>
      <c r="K121" s="201">
        <v>0</v>
      </c>
      <c r="L121" s="201"/>
      <c r="M121" s="201">
        <v>3.4</v>
      </c>
      <c r="N121" s="201">
        <v>1.8</v>
      </c>
      <c r="O121" s="201">
        <v>0</v>
      </c>
      <c r="P121" s="201">
        <v>1134.8</v>
      </c>
      <c r="Q121" s="201">
        <v>1174.5999999999999</v>
      </c>
      <c r="R121" s="201"/>
      <c r="S121" s="201"/>
      <c r="T121" s="201">
        <v>2839.3</v>
      </c>
      <c r="U121" s="201">
        <v>11.6</v>
      </c>
      <c r="V121" s="201"/>
      <c r="W121" s="201"/>
      <c r="X121" s="201"/>
      <c r="Y121" s="201"/>
      <c r="Z121" s="201"/>
      <c r="AA121" s="61"/>
      <c r="AB121" s="201"/>
      <c r="AC121" s="61"/>
      <c r="AD121" s="201">
        <v>6</v>
      </c>
      <c r="AE121" s="61"/>
      <c r="AF121" s="61">
        <v>0</v>
      </c>
      <c r="AG121" s="61"/>
      <c r="AH121" s="61"/>
      <c r="AI121" s="61"/>
      <c r="AJ121" s="61"/>
      <c r="AK121" s="61"/>
      <c r="AL121" s="291">
        <v>21</v>
      </c>
      <c r="AM121" s="201">
        <v>18</v>
      </c>
      <c r="AN121" s="201">
        <v>11</v>
      </c>
      <c r="AO121" s="61"/>
      <c r="AP121" s="61"/>
      <c r="AQ121" s="61"/>
      <c r="AR121" s="61"/>
      <c r="AS121" s="101" t="s">
        <v>177</v>
      </c>
      <c r="AT121" s="206" t="str">
        <f t="shared" si="1"/>
        <v>44386-120</v>
      </c>
    </row>
    <row r="122" spans="1:46" x14ac:dyDescent="0.35">
      <c r="A122" s="204">
        <v>121</v>
      </c>
      <c r="B122" s="14" t="s">
        <v>83</v>
      </c>
      <c r="C122" s="1" t="s">
        <v>152</v>
      </c>
      <c r="D122" s="1" t="s">
        <v>161</v>
      </c>
      <c r="E122" s="12">
        <v>44393</v>
      </c>
      <c r="F122" s="201">
        <v>1.9</v>
      </c>
      <c r="G122" s="201">
        <v>1.1000000000000001</v>
      </c>
      <c r="H122" s="201">
        <v>0</v>
      </c>
      <c r="I122" s="201">
        <v>0</v>
      </c>
      <c r="J122" s="201">
        <v>0</v>
      </c>
      <c r="K122" s="201">
        <v>0</v>
      </c>
      <c r="L122" s="201"/>
      <c r="M122" s="201">
        <v>4.7</v>
      </c>
      <c r="N122" s="201">
        <v>1.6</v>
      </c>
      <c r="O122" s="201">
        <v>0.9</v>
      </c>
      <c r="P122" s="201">
        <v>1231.5999999999999</v>
      </c>
      <c r="Q122" s="201">
        <v>1307</v>
      </c>
      <c r="R122" s="201"/>
      <c r="S122" s="201"/>
      <c r="T122" s="201">
        <v>3215.2</v>
      </c>
      <c r="U122" s="201">
        <v>15.3</v>
      </c>
      <c r="V122" s="201"/>
      <c r="W122" s="201"/>
      <c r="X122" s="201"/>
      <c r="Y122" s="201"/>
      <c r="Z122" s="201"/>
      <c r="AA122" s="61"/>
      <c r="AB122" s="201"/>
      <c r="AC122" s="61"/>
      <c r="AD122" s="201">
        <v>5.9</v>
      </c>
      <c r="AE122" s="61"/>
      <c r="AF122" s="61">
        <v>0</v>
      </c>
      <c r="AG122" s="61"/>
      <c r="AH122" s="61"/>
      <c r="AI122" s="61"/>
      <c r="AJ122" s="61"/>
      <c r="AK122" s="61"/>
      <c r="AL122" s="291">
        <v>19</v>
      </c>
      <c r="AM122" s="201">
        <v>17</v>
      </c>
      <c r="AN122" s="201">
        <v>12</v>
      </c>
      <c r="AO122" s="61"/>
      <c r="AP122" s="61"/>
      <c r="AQ122" s="61"/>
      <c r="AR122" s="61"/>
      <c r="AS122" s="101" t="s">
        <v>162</v>
      </c>
      <c r="AT122" s="206" t="str">
        <f t="shared" si="1"/>
        <v>44393-121</v>
      </c>
    </row>
    <row r="123" spans="1:46" x14ac:dyDescent="0.35">
      <c r="A123" s="204">
        <v>122</v>
      </c>
      <c r="B123" s="14" t="s">
        <v>83</v>
      </c>
      <c r="C123" s="1" t="s">
        <v>160</v>
      </c>
      <c r="D123" s="1" t="s">
        <v>161</v>
      </c>
      <c r="E123" s="12">
        <v>44393</v>
      </c>
      <c r="F123" s="201">
        <v>1.5</v>
      </c>
      <c r="G123" s="201">
        <v>1.2</v>
      </c>
      <c r="H123" s="201">
        <v>0</v>
      </c>
      <c r="I123" s="201">
        <v>0</v>
      </c>
      <c r="J123" s="201">
        <v>0</v>
      </c>
      <c r="K123" s="201">
        <v>0</v>
      </c>
      <c r="L123" s="201"/>
      <c r="M123" s="201">
        <v>9.1</v>
      </c>
      <c r="N123" s="201">
        <v>1.2</v>
      </c>
      <c r="O123" s="201">
        <v>1.7</v>
      </c>
      <c r="P123" s="201">
        <v>1229.5999999999999</v>
      </c>
      <c r="Q123" s="201">
        <v>1412.6</v>
      </c>
      <c r="R123" s="201"/>
      <c r="S123" s="201"/>
      <c r="T123" s="201">
        <v>2416.4</v>
      </c>
      <c r="U123" s="201">
        <v>497.6</v>
      </c>
      <c r="V123" s="201"/>
      <c r="W123" s="201"/>
      <c r="X123" s="201"/>
      <c r="Y123" s="201"/>
      <c r="Z123" s="201"/>
      <c r="AA123" s="61"/>
      <c r="AB123" s="201"/>
      <c r="AC123" s="61"/>
      <c r="AD123" s="201">
        <v>15.1</v>
      </c>
      <c r="AE123" s="61"/>
      <c r="AF123" s="61">
        <v>0</v>
      </c>
      <c r="AG123" s="61"/>
      <c r="AH123" s="61"/>
      <c r="AI123" s="61"/>
      <c r="AJ123" s="61"/>
      <c r="AK123" s="61"/>
      <c r="AL123" s="291">
        <v>24</v>
      </c>
      <c r="AM123" s="201">
        <v>22</v>
      </c>
      <c r="AN123" s="201">
        <v>14</v>
      </c>
      <c r="AO123" s="61"/>
      <c r="AP123" s="61"/>
      <c r="AQ123" s="61"/>
      <c r="AR123" s="61"/>
      <c r="AS123" s="101" t="s">
        <v>163</v>
      </c>
      <c r="AT123" s="206" t="str">
        <f t="shared" si="1"/>
        <v>44393-122</v>
      </c>
    </row>
    <row r="124" spans="1:46" x14ac:dyDescent="0.35">
      <c r="A124" s="204">
        <v>123</v>
      </c>
      <c r="B124" s="14" t="s">
        <v>83</v>
      </c>
      <c r="C124" s="1" t="s">
        <v>160</v>
      </c>
      <c r="D124" s="1" t="s">
        <v>161</v>
      </c>
      <c r="E124" s="12">
        <v>44393</v>
      </c>
      <c r="F124" s="201">
        <v>1.4</v>
      </c>
      <c r="G124" s="201">
        <v>1.4</v>
      </c>
      <c r="H124" s="201">
        <v>0</v>
      </c>
      <c r="I124" s="201">
        <v>0</v>
      </c>
      <c r="J124" s="201">
        <v>0</v>
      </c>
      <c r="K124" s="201">
        <v>0</v>
      </c>
      <c r="L124" s="201"/>
      <c r="M124" s="201">
        <v>9.1999999999999993</v>
      </c>
      <c r="N124" s="201">
        <v>1.2</v>
      </c>
      <c r="O124" s="201">
        <v>1.4</v>
      </c>
      <c r="P124" s="201">
        <v>1190.3</v>
      </c>
      <c r="Q124" s="201">
        <v>1364.4</v>
      </c>
      <c r="R124" s="201"/>
      <c r="S124" s="201"/>
      <c r="T124" s="201">
        <v>2338.8000000000002</v>
      </c>
      <c r="U124" s="201">
        <v>481.1</v>
      </c>
      <c r="V124" s="201"/>
      <c r="W124" s="201"/>
      <c r="X124" s="201"/>
      <c r="Y124" s="201"/>
      <c r="Z124" s="201"/>
      <c r="AA124" s="61"/>
      <c r="AB124" s="201"/>
      <c r="AC124" s="61"/>
      <c r="AD124" s="201">
        <v>15</v>
      </c>
      <c r="AE124" s="61"/>
      <c r="AF124" s="61">
        <v>0</v>
      </c>
      <c r="AG124" s="61"/>
      <c r="AH124" s="61"/>
      <c r="AI124" s="61"/>
      <c r="AJ124" s="61"/>
      <c r="AK124" s="61"/>
      <c r="AL124" s="291">
        <v>24</v>
      </c>
      <c r="AM124" s="201">
        <v>22</v>
      </c>
      <c r="AN124" s="201">
        <v>15</v>
      </c>
      <c r="AO124" s="61"/>
      <c r="AP124" s="61"/>
      <c r="AQ124" s="61"/>
      <c r="AR124" s="61"/>
      <c r="AS124" s="101" t="s">
        <v>164</v>
      </c>
      <c r="AT124" s="206" t="str">
        <f t="shared" si="1"/>
        <v>44393-123</v>
      </c>
    </row>
    <row r="125" spans="1:46" x14ac:dyDescent="0.35">
      <c r="A125" s="204">
        <v>124</v>
      </c>
      <c r="B125" s="14" t="s">
        <v>83</v>
      </c>
      <c r="C125" s="1" t="s">
        <v>152</v>
      </c>
      <c r="D125" s="1" t="s">
        <v>161</v>
      </c>
      <c r="E125" s="12">
        <v>44394</v>
      </c>
      <c r="F125" s="201">
        <v>1.8</v>
      </c>
      <c r="G125" s="201">
        <v>1</v>
      </c>
      <c r="H125" s="201">
        <v>0</v>
      </c>
      <c r="I125" s="201">
        <v>0</v>
      </c>
      <c r="J125" s="201">
        <v>0</v>
      </c>
      <c r="K125" s="201">
        <v>0</v>
      </c>
      <c r="L125" s="201"/>
      <c r="M125" s="201">
        <v>4.4000000000000004</v>
      </c>
      <c r="N125" s="201">
        <v>1.9</v>
      </c>
      <c r="O125" s="201">
        <v>0.8</v>
      </c>
      <c r="P125" s="201">
        <v>1197.3</v>
      </c>
      <c r="Q125" s="201">
        <v>1278.5</v>
      </c>
      <c r="R125" s="201"/>
      <c r="S125" s="201"/>
      <c r="T125" s="201">
        <v>3111.9</v>
      </c>
      <c r="U125" s="201">
        <v>12.4</v>
      </c>
      <c r="V125" s="201"/>
      <c r="W125" s="201"/>
      <c r="X125" s="201"/>
      <c r="Y125" s="201"/>
      <c r="Z125" s="201"/>
      <c r="AA125" s="61"/>
      <c r="AB125" s="201"/>
      <c r="AC125" s="61"/>
      <c r="AD125" s="201">
        <v>5.9</v>
      </c>
      <c r="AE125" s="61"/>
      <c r="AF125" s="61">
        <v>0</v>
      </c>
      <c r="AG125" s="61"/>
      <c r="AH125" s="61"/>
      <c r="AI125" s="61"/>
      <c r="AJ125" s="61"/>
      <c r="AK125" s="61"/>
      <c r="AL125" s="291">
        <v>19</v>
      </c>
      <c r="AM125" s="201">
        <v>18</v>
      </c>
      <c r="AN125" s="201">
        <v>13</v>
      </c>
      <c r="AO125" s="61"/>
      <c r="AP125" s="61"/>
      <c r="AQ125" s="61"/>
      <c r="AR125" s="61"/>
      <c r="AS125" s="101" t="s">
        <v>172</v>
      </c>
      <c r="AT125" s="206" t="str">
        <f t="shared" si="1"/>
        <v>44394-124</v>
      </c>
    </row>
    <row r="126" spans="1:46" x14ac:dyDescent="0.35">
      <c r="A126" s="204">
        <v>125</v>
      </c>
      <c r="B126" s="14" t="s">
        <v>83</v>
      </c>
      <c r="C126" s="1" t="s">
        <v>160</v>
      </c>
      <c r="D126" s="1" t="s">
        <v>161</v>
      </c>
      <c r="E126" s="12">
        <v>44394</v>
      </c>
      <c r="F126" s="201">
        <v>1.4</v>
      </c>
      <c r="G126" s="201">
        <v>1.3</v>
      </c>
      <c r="H126" s="201">
        <v>0</v>
      </c>
      <c r="I126" s="201">
        <v>0</v>
      </c>
      <c r="J126" s="201">
        <v>0</v>
      </c>
      <c r="K126" s="201">
        <v>0</v>
      </c>
      <c r="L126" s="201"/>
      <c r="M126" s="201">
        <v>9.4</v>
      </c>
      <c r="N126" s="201">
        <v>1.4</v>
      </c>
      <c r="O126" s="201">
        <v>1.3</v>
      </c>
      <c r="P126" s="201">
        <v>1205.9000000000001</v>
      </c>
      <c r="Q126" s="201">
        <v>1371.6</v>
      </c>
      <c r="R126" s="201"/>
      <c r="S126" s="201"/>
      <c r="T126" s="201">
        <v>2348.1999999999998</v>
      </c>
      <c r="U126" s="201">
        <v>484.9</v>
      </c>
      <c r="V126" s="201"/>
      <c r="W126" s="201"/>
      <c r="X126" s="201"/>
      <c r="Y126" s="201"/>
      <c r="Z126" s="201"/>
      <c r="AA126" s="61"/>
      <c r="AB126" s="201"/>
      <c r="AC126" s="61"/>
      <c r="AD126" s="201">
        <v>15.2</v>
      </c>
      <c r="AE126" s="61"/>
      <c r="AF126" s="61">
        <v>0</v>
      </c>
      <c r="AG126" s="61"/>
      <c r="AH126" s="61"/>
      <c r="AI126" s="61"/>
      <c r="AJ126" s="61"/>
      <c r="AK126" s="61"/>
      <c r="AL126" s="291">
        <v>24</v>
      </c>
      <c r="AM126" s="201">
        <v>22</v>
      </c>
      <c r="AN126" s="201">
        <v>14</v>
      </c>
      <c r="AO126" s="61"/>
      <c r="AP126" s="61"/>
      <c r="AQ126" s="61"/>
      <c r="AR126" s="61"/>
      <c r="AS126" s="101" t="s">
        <v>171</v>
      </c>
      <c r="AT126" s="206" t="str">
        <f t="shared" si="1"/>
        <v>44394-125</v>
      </c>
    </row>
    <row r="127" spans="1:46" x14ac:dyDescent="0.35">
      <c r="A127" s="204">
        <v>126</v>
      </c>
      <c r="B127" s="14" t="s">
        <v>83</v>
      </c>
      <c r="C127" s="1" t="s">
        <v>160</v>
      </c>
      <c r="D127" s="1" t="s">
        <v>161</v>
      </c>
      <c r="E127" s="12">
        <v>44394</v>
      </c>
      <c r="F127" s="201">
        <v>1.4</v>
      </c>
      <c r="G127" s="201">
        <v>1.5</v>
      </c>
      <c r="H127" s="201">
        <v>0</v>
      </c>
      <c r="I127" s="201">
        <v>0</v>
      </c>
      <c r="J127" s="201">
        <v>0</v>
      </c>
      <c r="K127" s="201">
        <v>0</v>
      </c>
      <c r="L127" s="201"/>
      <c r="M127" s="201">
        <v>9.5</v>
      </c>
      <c r="N127" s="201">
        <v>1.3</v>
      </c>
      <c r="O127" s="201">
        <v>1.8</v>
      </c>
      <c r="P127" s="201">
        <v>1218.0999999999999</v>
      </c>
      <c r="Q127" s="201">
        <v>1399.5</v>
      </c>
      <c r="R127" s="201"/>
      <c r="S127" s="201"/>
      <c r="T127" s="201">
        <v>2388.5</v>
      </c>
      <c r="U127" s="201">
        <v>492.4</v>
      </c>
      <c r="V127" s="201"/>
      <c r="W127" s="201"/>
      <c r="X127" s="201"/>
      <c r="Y127" s="201"/>
      <c r="Z127" s="201"/>
      <c r="AA127" s="61"/>
      <c r="AB127" s="201"/>
      <c r="AC127" s="61"/>
      <c r="AD127" s="201">
        <v>15.2</v>
      </c>
      <c r="AE127" s="61"/>
      <c r="AF127" s="61">
        <v>0</v>
      </c>
      <c r="AG127" s="61"/>
      <c r="AH127" s="61"/>
      <c r="AI127" s="61"/>
      <c r="AJ127" s="61"/>
      <c r="AK127" s="61"/>
      <c r="AL127" s="291">
        <v>24</v>
      </c>
      <c r="AM127" s="201">
        <v>22</v>
      </c>
      <c r="AN127" s="201">
        <v>15</v>
      </c>
      <c r="AO127" s="61"/>
      <c r="AP127" s="61"/>
      <c r="AQ127" s="61"/>
      <c r="AR127" s="61"/>
      <c r="AS127" s="101" t="s">
        <v>191</v>
      </c>
      <c r="AT127" s="206" t="str">
        <f t="shared" si="1"/>
        <v>44394-126</v>
      </c>
    </row>
    <row r="128" spans="1:46" x14ac:dyDescent="0.35">
      <c r="A128" s="204">
        <v>127</v>
      </c>
      <c r="B128" s="14" t="s">
        <v>73</v>
      </c>
      <c r="C128" s="1" t="s">
        <v>157</v>
      </c>
      <c r="D128" s="1" t="s">
        <v>150</v>
      </c>
      <c r="E128" s="12">
        <v>44400</v>
      </c>
      <c r="F128" s="201">
        <v>0</v>
      </c>
      <c r="G128" s="201">
        <v>0</v>
      </c>
      <c r="H128" s="201">
        <v>0</v>
      </c>
      <c r="I128" s="201">
        <v>0</v>
      </c>
      <c r="J128" s="201">
        <v>2</v>
      </c>
      <c r="K128" s="201">
        <v>0</v>
      </c>
      <c r="L128" s="201">
        <v>0</v>
      </c>
      <c r="M128" s="201">
        <v>20</v>
      </c>
      <c r="N128" s="201">
        <v>0</v>
      </c>
      <c r="O128" s="201">
        <v>0</v>
      </c>
      <c r="P128" s="201">
        <v>0</v>
      </c>
      <c r="Q128" s="201">
        <v>208</v>
      </c>
      <c r="R128" s="201">
        <v>27</v>
      </c>
      <c r="S128" s="201">
        <v>0</v>
      </c>
      <c r="T128" s="201">
        <v>0</v>
      </c>
      <c r="U128" s="201">
        <v>0</v>
      </c>
      <c r="V128" s="201">
        <v>0</v>
      </c>
      <c r="W128" s="201">
        <v>0</v>
      </c>
      <c r="X128" s="201">
        <v>0</v>
      </c>
      <c r="Y128" s="201">
        <v>0</v>
      </c>
      <c r="Z128" s="201">
        <v>0</v>
      </c>
      <c r="AA128" s="61"/>
      <c r="AB128" s="201">
        <v>0</v>
      </c>
      <c r="AC128" s="61"/>
      <c r="AD128" s="201">
        <v>77.040000000000006</v>
      </c>
      <c r="AE128" s="61"/>
      <c r="AF128" s="61"/>
      <c r="AG128" s="61"/>
      <c r="AH128" s="61"/>
      <c r="AI128" s="61"/>
      <c r="AJ128" s="61"/>
      <c r="AK128" s="61"/>
      <c r="AL128" s="291">
        <v>21</v>
      </c>
      <c r="AM128" s="201">
        <v>20</v>
      </c>
      <c r="AN128" s="201">
        <v>14</v>
      </c>
      <c r="AO128" s="61"/>
      <c r="AP128" s="61"/>
      <c r="AQ128" s="61"/>
      <c r="AR128" s="61"/>
      <c r="AS128" s="101" t="s">
        <v>214</v>
      </c>
      <c r="AT128" s="206" t="str">
        <f t="shared" si="1"/>
        <v>44400-127</v>
      </c>
    </row>
    <row r="129" spans="1:46" x14ac:dyDescent="0.35">
      <c r="A129" s="204">
        <v>128</v>
      </c>
      <c r="B129" s="14" t="s">
        <v>83</v>
      </c>
      <c r="C129" s="1" t="s">
        <v>152</v>
      </c>
      <c r="D129" s="1" t="s">
        <v>161</v>
      </c>
      <c r="E129" s="12">
        <v>44400</v>
      </c>
      <c r="F129" s="201">
        <v>1.8</v>
      </c>
      <c r="G129" s="201">
        <v>0.9</v>
      </c>
      <c r="H129" s="201">
        <v>0</v>
      </c>
      <c r="I129" s="201">
        <v>0</v>
      </c>
      <c r="J129" s="201">
        <v>0.1</v>
      </c>
      <c r="K129" s="201">
        <v>0</v>
      </c>
      <c r="L129" s="201"/>
      <c r="M129" s="201">
        <v>3.7</v>
      </c>
      <c r="N129" s="201">
        <v>1.8</v>
      </c>
      <c r="O129" s="201">
        <v>0.3</v>
      </c>
      <c r="P129" s="201">
        <v>1146.5</v>
      </c>
      <c r="Q129" s="201">
        <v>1199.5999999999999</v>
      </c>
      <c r="R129" s="201"/>
      <c r="S129" s="201"/>
      <c r="T129" s="201">
        <v>2909</v>
      </c>
      <c r="U129" s="201">
        <v>10.7</v>
      </c>
      <c r="V129" s="201"/>
      <c r="W129" s="201"/>
      <c r="X129" s="201"/>
      <c r="Y129" s="201"/>
      <c r="Z129" s="201"/>
      <c r="AA129" s="61"/>
      <c r="AB129" s="201"/>
      <c r="AC129" s="61"/>
      <c r="AD129" s="201">
        <v>5.9</v>
      </c>
      <c r="AE129" s="61"/>
      <c r="AF129" s="61">
        <v>0</v>
      </c>
      <c r="AG129" s="61"/>
      <c r="AH129" s="61"/>
      <c r="AI129" s="61"/>
      <c r="AJ129" s="61"/>
      <c r="AK129" s="61"/>
      <c r="AL129" s="291">
        <v>19</v>
      </c>
      <c r="AM129" s="201">
        <v>17</v>
      </c>
      <c r="AN129" s="201">
        <v>12</v>
      </c>
      <c r="AO129" s="61"/>
      <c r="AP129" s="61"/>
      <c r="AQ129" s="61"/>
      <c r="AR129" s="61"/>
      <c r="AS129" s="101" t="s">
        <v>178</v>
      </c>
      <c r="AT129" s="206" t="str">
        <f t="shared" si="1"/>
        <v>44400-128</v>
      </c>
    </row>
    <row r="130" spans="1:46" x14ac:dyDescent="0.35">
      <c r="A130" s="204">
        <v>129</v>
      </c>
      <c r="B130" s="14" t="s">
        <v>83</v>
      </c>
      <c r="C130" s="1" t="s">
        <v>155</v>
      </c>
      <c r="D130" s="1" t="s">
        <v>161</v>
      </c>
      <c r="E130" s="12">
        <v>44400</v>
      </c>
      <c r="F130" s="201">
        <v>1.7</v>
      </c>
      <c r="G130" s="201">
        <v>0.8</v>
      </c>
      <c r="H130" s="201">
        <v>0</v>
      </c>
      <c r="I130" s="201">
        <v>0</v>
      </c>
      <c r="J130" s="201">
        <v>0</v>
      </c>
      <c r="K130" s="201">
        <v>0</v>
      </c>
      <c r="L130" s="201"/>
      <c r="M130" s="201">
        <v>7.1</v>
      </c>
      <c r="N130" s="201">
        <v>1.5</v>
      </c>
      <c r="O130" s="201">
        <v>0</v>
      </c>
      <c r="P130" s="201">
        <v>1126</v>
      </c>
      <c r="Q130" s="201">
        <v>1169.8</v>
      </c>
      <c r="R130" s="201"/>
      <c r="S130" s="201"/>
      <c r="T130" s="201">
        <v>2843.8</v>
      </c>
      <c r="U130" s="201">
        <v>12.9</v>
      </c>
      <c r="V130" s="201"/>
      <c r="W130" s="201"/>
      <c r="X130" s="201"/>
      <c r="Y130" s="201"/>
      <c r="Z130" s="201"/>
      <c r="AA130" s="61"/>
      <c r="AB130" s="201"/>
      <c r="AC130" s="61"/>
      <c r="AD130" s="201">
        <v>25.4</v>
      </c>
      <c r="AE130" s="61"/>
      <c r="AF130" s="61">
        <v>0</v>
      </c>
      <c r="AG130" s="61"/>
      <c r="AH130" s="61"/>
      <c r="AI130" s="61"/>
      <c r="AJ130" s="61"/>
      <c r="AK130" s="61"/>
      <c r="AL130" s="291">
        <v>17</v>
      </c>
      <c r="AM130" s="201">
        <v>15</v>
      </c>
      <c r="AN130" s="201">
        <v>13</v>
      </c>
      <c r="AO130" s="61"/>
      <c r="AP130" s="61"/>
      <c r="AQ130" s="61"/>
      <c r="AR130" s="61"/>
      <c r="AS130" s="101" t="s">
        <v>179</v>
      </c>
      <c r="AT130" s="206" t="str">
        <f t="shared" ref="AT130:AT193" si="2">CONCATENATE(E130,"-",A130)</f>
        <v>44400-129</v>
      </c>
    </row>
    <row r="131" spans="1:46" x14ac:dyDescent="0.35">
      <c r="A131" s="204">
        <v>130</v>
      </c>
      <c r="B131" s="14" t="s">
        <v>83</v>
      </c>
      <c r="C131" s="1" t="s">
        <v>160</v>
      </c>
      <c r="D131" s="1" t="s">
        <v>161</v>
      </c>
      <c r="E131" s="12">
        <v>44400</v>
      </c>
      <c r="F131" s="201">
        <v>1.2</v>
      </c>
      <c r="G131" s="201">
        <v>1.1000000000000001</v>
      </c>
      <c r="H131" s="201">
        <v>0</v>
      </c>
      <c r="I131" s="201">
        <v>0</v>
      </c>
      <c r="J131" s="201">
        <v>0</v>
      </c>
      <c r="K131" s="201">
        <v>0</v>
      </c>
      <c r="L131" s="201"/>
      <c r="M131" s="201">
        <v>6.3</v>
      </c>
      <c r="N131" s="201">
        <v>0.4</v>
      </c>
      <c r="O131" s="201">
        <v>1.5</v>
      </c>
      <c r="P131" s="201">
        <v>1119.7</v>
      </c>
      <c r="Q131" s="201">
        <v>1236.5999999999999</v>
      </c>
      <c r="R131" s="201"/>
      <c r="S131" s="201"/>
      <c r="T131" s="201">
        <v>2136.9</v>
      </c>
      <c r="U131" s="201">
        <v>444.5</v>
      </c>
      <c r="V131" s="201"/>
      <c r="W131" s="201"/>
      <c r="X131" s="201"/>
      <c r="Y131" s="201"/>
      <c r="Z131" s="201"/>
      <c r="AA131" s="61"/>
      <c r="AB131" s="201"/>
      <c r="AC131" s="61"/>
      <c r="AD131" s="201">
        <v>15.4</v>
      </c>
      <c r="AE131" s="61"/>
      <c r="AF131" s="61">
        <v>0</v>
      </c>
      <c r="AG131" s="61"/>
      <c r="AH131" s="61"/>
      <c r="AI131" s="61"/>
      <c r="AJ131" s="61"/>
      <c r="AK131" s="61"/>
      <c r="AL131" s="291">
        <v>28</v>
      </c>
      <c r="AM131" s="201">
        <v>26</v>
      </c>
      <c r="AN131" s="201">
        <v>20</v>
      </c>
      <c r="AO131" s="61"/>
      <c r="AP131" s="61"/>
      <c r="AQ131" s="61"/>
      <c r="AR131" s="61"/>
      <c r="AS131" s="101" t="s">
        <v>180</v>
      </c>
      <c r="AT131" s="206" t="str">
        <f t="shared" si="2"/>
        <v>44400-130</v>
      </c>
    </row>
    <row r="132" spans="1:46" x14ac:dyDescent="0.35">
      <c r="A132" s="204">
        <v>131</v>
      </c>
      <c r="B132" s="14" t="s">
        <v>73</v>
      </c>
      <c r="C132" s="1" t="s">
        <v>157</v>
      </c>
      <c r="D132" s="1" t="s">
        <v>150</v>
      </c>
      <c r="E132" s="12">
        <v>44401</v>
      </c>
      <c r="F132" s="201">
        <v>0</v>
      </c>
      <c r="G132" s="201">
        <v>0</v>
      </c>
      <c r="H132" s="201">
        <v>0</v>
      </c>
      <c r="I132" s="201">
        <v>0</v>
      </c>
      <c r="J132" s="201">
        <v>2</v>
      </c>
      <c r="K132" s="201">
        <v>0</v>
      </c>
      <c r="L132" s="201">
        <v>0</v>
      </c>
      <c r="M132" s="201">
        <v>17</v>
      </c>
      <c r="N132" s="201">
        <v>0</v>
      </c>
      <c r="O132" s="201">
        <v>0</v>
      </c>
      <c r="P132" s="201">
        <v>0</v>
      </c>
      <c r="Q132" s="201">
        <v>190</v>
      </c>
      <c r="R132" s="201">
        <v>26</v>
      </c>
      <c r="S132" s="201">
        <v>0</v>
      </c>
      <c r="T132" s="201">
        <v>0</v>
      </c>
      <c r="U132" s="201">
        <v>0</v>
      </c>
      <c r="V132" s="201">
        <v>0</v>
      </c>
      <c r="W132" s="201">
        <v>0</v>
      </c>
      <c r="X132" s="201">
        <v>0</v>
      </c>
      <c r="Y132" s="201">
        <v>0</v>
      </c>
      <c r="Z132" s="201">
        <v>0</v>
      </c>
      <c r="AA132" s="61"/>
      <c r="AB132" s="201">
        <v>0</v>
      </c>
      <c r="AC132" s="61"/>
      <c r="AD132" s="201">
        <v>76.53</v>
      </c>
      <c r="AE132" s="61"/>
      <c r="AF132" s="61"/>
      <c r="AG132" s="61"/>
      <c r="AH132" s="61"/>
      <c r="AI132" s="61"/>
      <c r="AJ132" s="61"/>
      <c r="AK132" s="61"/>
      <c r="AL132" s="291">
        <v>18</v>
      </c>
      <c r="AM132" s="201">
        <v>16</v>
      </c>
      <c r="AN132" s="201">
        <v>1</v>
      </c>
      <c r="AO132" s="61"/>
      <c r="AP132" s="61"/>
      <c r="AQ132" s="61"/>
      <c r="AR132" s="61"/>
      <c r="AS132" s="101" t="s">
        <v>214</v>
      </c>
      <c r="AT132" s="206" t="str">
        <f t="shared" si="2"/>
        <v>44401-131</v>
      </c>
    </row>
    <row r="133" spans="1:46" x14ac:dyDescent="0.35">
      <c r="A133" s="204">
        <v>132</v>
      </c>
      <c r="B133" s="14" t="s">
        <v>83</v>
      </c>
      <c r="C133" s="1" t="s">
        <v>155</v>
      </c>
      <c r="D133" s="1" t="s">
        <v>161</v>
      </c>
      <c r="E133" s="12">
        <v>44403</v>
      </c>
      <c r="F133" s="201">
        <v>1.7</v>
      </c>
      <c r="G133" s="201">
        <v>1</v>
      </c>
      <c r="H133" s="201">
        <v>0</v>
      </c>
      <c r="I133" s="201">
        <v>0</v>
      </c>
      <c r="J133" s="201">
        <v>0</v>
      </c>
      <c r="K133" s="201">
        <v>0</v>
      </c>
      <c r="L133" s="201"/>
      <c r="M133" s="201">
        <v>6.9</v>
      </c>
      <c r="N133" s="201">
        <v>1.6</v>
      </c>
      <c r="O133" s="201">
        <v>0</v>
      </c>
      <c r="P133" s="201">
        <v>1105.9000000000001</v>
      </c>
      <c r="Q133" s="201">
        <v>1174.5</v>
      </c>
      <c r="R133" s="201"/>
      <c r="S133" s="201"/>
      <c r="T133" s="201">
        <v>2820.1</v>
      </c>
      <c r="U133" s="201">
        <v>12</v>
      </c>
      <c r="V133" s="201"/>
      <c r="W133" s="201"/>
      <c r="X133" s="201"/>
      <c r="Y133" s="201"/>
      <c r="Z133" s="201"/>
      <c r="AA133" s="61"/>
      <c r="AB133" s="201"/>
      <c r="AC133" s="61"/>
      <c r="AD133" s="201">
        <v>25.7</v>
      </c>
      <c r="AE133" s="61"/>
      <c r="AF133" s="61">
        <v>0</v>
      </c>
      <c r="AG133" s="61"/>
      <c r="AH133" s="61"/>
      <c r="AI133" s="61"/>
      <c r="AJ133" s="61"/>
      <c r="AK133" s="61"/>
      <c r="AL133" s="291">
        <v>19</v>
      </c>
      <c r="AM133" s="201">
        <v>17</v>
      </c>
      <c r="AN133" s="201">
        <v>13</v>
      </c>
      <c r="AO133" s="61"/>
      <c r="AP133" s="61"/>
      <c r="AQ133" s="61"/>
      <c r="AR133" s="61"/>
      <c r="AS133" s="101" t="s">
        <v>215</v>
      </c>
      <c r="AT133" s="206" t="str">
        <f t="shared" si="2"/>
        <v>44403-132</v>
      </c>
    </row>
    <row r="134" spans="1:46" x14ac:dyDescent="0.35">
      <c r="A134" s="204">
        <v>133</v>
      </c>
      <c r="B134" s="14" t="s">
        <v>83</v>
      </c>
      <c r="C134" s="1" t="s">
        <v>160</v>
      </c>
      <c r="D134" s="1" t="s">
        <v>161</v>
      </c>
      <c r="E134" s="12">
        <v>44403</v>
      </c>
      <c r="F134" s="201">
        <v>1.3</v>
      </c>
      <c r="G134" s="201">
        <v>1.2</v>
      </c>
      <c r="H134" s="201">
        <v>0</v>
      </c>
      <c r="I134" s="201">
        <v>0</v>
      </c>
      <c r="J134" s="201">
        <v>0</v>
      </c>
      <c r="K134" s="201">
        <v>0</v>
      </c>
      <c r="L134" s="201"/>
      <c r="M134" s="201">
        <v>8.4</v>
      </c>
      <c r="N134" s="201">
        <v>0.2</v>
      </c>
      <c r="O134" s="201">
        <v>1.6</v>
      </c>
      <c r="P134" s="201">
        <v>1137.5</v>
      </c>
      <c r="Q134" s="201">
        <v>1263.8</v>
      </c>
      <c r="R134" s="201"/>
      <c r="S134" s="201"/>
      <c r="T134" s="201">
        <v>2164.8000000000002</v>
      </c>
      <c r="U134" s="201">
        <v>450.6</v>
      </c>
      <c r="V134" s="201"/>
      <c r="W134" s="201"/>
      <c r="X134" s="201"/>
      <c r="Y134" s="201"/>
      <c r="Z134" s="201"/>
      <c r="AA134" s="61"/>
      <c r="AB134" s="201"/>
      <c r="AC134" s="61"/>
      <c r="AD134" s="201">
        <v>15.4</v>
      </c>
      <c r="AE134" s="61"/>
      <c r="AF134" s="61">
        <v>0</v>
      </c>
      <c r="AG134" s="61"/>
      <c r="AH134" s="61"/>
      <c r="AI134" s="61"/>
      <c r="AJ134" s="61"/>
      <c r="AK134" s="61"/>
      <c r="AL134" s="291">
        <v>23</v>
      </c>
      <c r="AM134" s="201">
        <v>21</v>
      </c>
      <c r="AN134" s="201">
        <v>13</v>
      </c>
      <c r="AO134" s="61"/>
      <c r="AP134" s="61"/>
      <c r="AQ134" s="61"/>
      <c r="AR134" s="61"/>
      <c r="AS134" s="101" t="s">
        <v>185</v>
      </c>
      <c r="AT134" s="206" t="str">
        <f t="shared" si="2"/>
        <v>44403-133</v>
      </c>
    </row>
    <row r="135" spans="1:46" x14ac:dyDescent="0.35">
      <c r="A135" s="204">
        <v>134</v>
      </c>
      <c r="B135" s="14" t="s">
        <v>83</v>
      </c>
      <c r="C135" s="1" t="s">
        <v>152</v>
      </c>
      <c r="D135" s="1" t="s">
        <v>161</v>
      </c>
      <c r="E135" s="12">
        <v>44403</v>
      </c>
      <c r="F135" s="201">
        <v>1.7</v>
      </c>
      <c r="G135" s="201">
        <v>0.9</v>
      </c>
      <c r="H135" s="201">
        <v>0</v>
      </c>
      <c r="I135" s="201">
        <v>0</v>
      </c>
      <c r="J135" s="201">
        <v>0</v>
      </c>
      <c r="K135" s="201">
        <v>0</v>
      </c>
      <c r="L135" s="201"/>
      <c r="M135" s="201">
        <v>3.6</v>
      </c>
      <c r="N135" s="201">
        <v>2.2999999999999998</v>
      </c>
      <c r="O135" s="201">
        <v>0</v>
      </c>
      <c r="P135" s="201">
        <v>1131.5999999999999</v>
      </c>
      <c r="Q135" s="201">
        <v>1183.2</v>
      </c>
      <c r="R135" s="201"/>
      <c r="S135" s="201"/>
      <c r="T135" s="201">
        <v>2895.1</v>
      </c>
      <c r="U135" s="201">
        <v>11.7</v>
      </c>
      <c r="V135" s="201"/>
      <c r="W135" s="201"/>
      <c r="X135" s="201"/>
      <c r="Y135" s="201"/>
      <c r="Z135" s="201"/>
      <c r="AA135" s="61"/>
      <c r="AB135" s="201"/>
      <c r="AC135" s="61"/>
      <c r="AD135" s="201">
        <v>6</v>
      </c>
      <c r="AE135" s="61"/>
      <c r="AF135" s="61">
        <v>0</v>
      </c>
      <c r="AG135" s="61"/>
      <c r="AH135" s="61"/>
      <c r="AI135" s="61"/>
      <c r="AJ135" s="61"/>
      <c r="AK135" s="61"/>
      <c r="AL135" s="291">
        <v>19</v>
      </c>
      <c r="AM135" s="201">
        <v>18</v>
      </c>
      <c r="AN135" s="201">
        <v>11</v>
      </c>
      <c r="AO135" s="61"/>
      <c r="AP135" s="61"/>
      <c r="AQ135" s="61"/>
      <c r="AR135" s="61"/>
      <c r="AS135" s="101" t="s">
        <v>184</v>
      </c>
      <c r="AT135" s="206" t="str">
        <f t="shared" si="2"/>
        <v>44403-134</v>
      </c>
    </row>
    <row r="136" spans="1:46" x14ac:dyDescent="0.35">
      <c r="A136" s="204">
        <v>135</v>
      </c>
      <c r="B136" s="14" t="s">
        <v>83</v>
      </c>
      <c r="C136" s="1" t="s">
        <v>152</v>
      </c>
      <c r="D136" s="1" t="s">
        <v>161</v>
      </c>
      <c r="E136" s="12">
        <v>44406</v>
      </c>
      <c r="F136" s="201">
        <v>1.7</v>
      </c>
      <c r="G136" s="201">
        <v>0.8</v>
      </c>
      <c r="H136" s="201">
        <v>0</v>
      </c>
      <c r="I136" s="201">
        <v>0.2</v>
      </c>
      <c r="J136" s="201">
        <v>0</v>
      </c>
      <c r="K136" s="201">
        <v>0.1</v>
      </c>
      <c r="L136" s="201"/>
      <c r="M136" s="201">
        <v>4.7</v>
      </c>
      <c r="N136" s="201">
        <v>2.2000000000000002</v>
      </c>
      <c r="O136" s="201">
        <v>0</v>
      </c>
      <c r="P136" s="201">
        <v>1171.4000000000001</v>
      </c>
      <c r="Q136" s="201">
        <v>1199</v>
      </c>
      <c r="R136" s="201"/>
      <c r="S136" s="201"/>
      <c r="T136" s="201">
        <v>2958.2</v>
      </c>
      <c r="U136" s="201">
        <v>12.6</v>
      </c>
      <c r="V136" s="201"/>
      <c r="W136" s="201"/>
      <c r="X136" s="201"/>
      <c r="Y136" s="201"/>
      <c r="Z136" s="201"/>
      <c r="AA136" s="61"/>
      <c r="AB136" s="201"/>
      <c r="AC136" s="61"/>
      <c r="AD136" s="201">
        <v>6</v>
      </c>
      <c r="AE136" s="61"/>
      <c r="AF136" s="61">
        <v>0</v>
      </c>
      <c r="AG136" s="61"/>
      <c r="AH136" s="61"/>
      <c r="AI136" s="61"/>
      <c r="AJ136" s="61"/>
      <c r="AK136" s="61"/>
      <c r="AL136" s="291">
        <v>18</v>
      </c>
      <c r="AM136" s="201">
        <v>17</v>
      </c>
      <c r="AN136" s="201">
        <v>12</v>
      </c>
      <c r="AO136" s="61"/>
      <c r="AP136" s="61"/>
      <c r="AQ136" s="61"/>
      <c r="AR136" s="61"/>
      <c r="AS136" s="101" t="s">
        <v>178</v>
      </c>
      <c r="AT136" s="206" t="str">
        <f t="shared" si="2"/>
        <v>44406-135</v>
      </c>
    </row>
    <row r="137" spans="1:46" x14ac:dyDescent="0.35">
      <c r="A137" s="204">
        <v>136</v>
      </c>
      <c r="B137" s="14" t="s">
        <v>83</v>
      </c>
      <c r="C137" s="1" t="s">
        <v>198</v>
      </c>
      <c r="D137" s="1" t="s">
        <v>161</v>
      </c>
      <c r="E137" s="12">
        <v>44406</v>
      </c>
      <c r="F137" s="201">
        <v>1.7</v>
      </c>
      <c r="G137" s="201">
        <v>0.8</v>
      </c>
      <c r="H137" s="201">
        <v>0</v>
      </c>
      <c r="I137" s="201">
        <v>0.3</v>
      </c>
      <c r="J137" s="201">
        <v>0</v>
      </c>
      <c r="K137" s="201">
        <v>0</v>
      </c>
      <c r="L137" s="201"/>
      <c r="M137" s="201">
        <v>4.4000000000000004</v>
      </c>
      <c r="N137" s="201">
        <v>2.1</v>
      </c>
      <c r="O137" s="201">
        <v>0</v>
      </c>
      <c r="P137" s="201">
        <v>1114.4000000000001</v>
      </c>
      <c r="Q137" s="201">
        <v>1146.8</v>
      </c>
      <c r="R137" s="201"/>
      <c r="S137" s="201"/>
      <c r="T137" s="201">
        <v>2829.3</v>
      </c>
      <c r="U137" s="201">
        <v>10.1</v>
      </c>
      <c r="V137" s="201"/>
      <c r="W137" s="201"/>
      <c r="X137" s="201"/>
      <c r="Y137" s="201"/>
      <c r="Z137" s="201"/>
      <c r="AA137" s="61"/>
      <c r="AB137" s="201"/>
      <c r="AC137" s="61"/>
      <c r="AD137" s="201">
        <v>11.1</v>
      </c>
      <c r="AE137" s="61"/>
      <c r="AF137" s="61">
        <v>0</v>
      </c>
      <c r="AG137" s="61"/>
      <c r="AH137" s="61"/>
      <c r="AI137" s="61"/>
      <c r="AJ137" s="61"/>
      <c r="AK137" s="61"/>
      <c r="AL137" s="291">
        <v>21</v>
      </c>
      <c r="AM137" s="201">
        <v>18</v>
      </c>
      <c r="AN137" s="201">
        <v>14</v>
      </c>
      <c r="AO137" s="61"/>
      <c r="AP137" s="61"/>
      <c r="AQ137" s="61"/>
      <c r="AR137" s="61"/>
      <c r="AS137" s="101" t="s">
        <v>179</v>
      </c>
      <c r="AT137" s="206" t="str">
        <f t="shared" si="2"/>
        <v>44406-136</v>
      </c>
    </row>
    <row r="138" spans="1:46" x14ac:dyDescent="0.35">
      <c r="A138" s="204">
        <v>137</v>
      </c>
      <c r="B138" s="14" t="s">
        <v>83</v>
      </c>
      <c r="C138" s="1" t="s">
        <v>160</v>
      </c>
      <c r="D138" s="1" t="s">
        <v>161</v>
      </c>
      <c r="E138" s="12">
        <v>44406</v>
      </c>
      <c r="F138" s="201">
        <v>1.3</v>
      </c>
      <c r="G138" s="201">
        <v>1.1000000000000001</v>
      </c>
      <c r="H138" s="201">
        <v>0</v>
      </c>
      <c r="I138" s="201">
        <v>0.1</v>
      </c>
      <c r="J138" s="201">
        <v>0</v>
      </c>
      <c r="K138" s="201">
        <v>0</v>
      </c>
      <c r="L138" s="201"/>
      <c r="M138" s="201">
        <v>8.5</v>
      </c>
      <c r="N138" s="201">
        <v>0.7</v>
      </c>
      <c r="O138" s="201">
        <v>1.2</v>
      </c>
      <c r="P138" s="201">
        <v>1139</v>
      </c>
      <c r="Q138" s="201">
        <v>1243.8</v>
      </c>
      <c r="R138" s="201"/>
      <c r="S138" s="201"/>
      <c r="T138" s="201">
        <v>2129.5</v>
      </c>
      <c r="U138" s="201">
        <v>439.8</v>
      </c>
      <c r="V138" s="201"/>
      <c r="W138" s="201"/>
      <c r="X138" s="201"/>
      <c r="Y138" s="201"/>
      <c r="Z138" s="201"/>
      <c r="AA138" s="61"/>
      <c r="AB138" s="201"/>
      <c r="AC138" s="61"/>
      <c r="AD138" s="201">
        <v>15.1</v>
      </c>
      <c r="AE138" s="61"/>
      <c r="AF138" s="61">
        <v>0</v>
      </c>
      <c r="AG138" s="61"/>
      <c r="AH138" s="61"/>
      <c r="AI138" s="61"/>
      <c r="AJ138" s="61"/>
      <c r="AK138" s="61"/>
      <c r="AL138" s="291">
        <v>23</v>
      </c>
      <c r="AM138" s="201">
        <v>22</v>
      </c>
      <c r="AN138" s="201">
        <v>14</v>
      </c>
      <c r="AO138" s="61"/>
      <c r="AP138" s="61"/>
      <c r="AQ138" s="61"/>
      <c r="AR138" s="61"/>
      <c r="AS138" s="101" t="s">
        <v>180</v>
      </c>
      <c r="AT138" s="206" t="str">
        <f t="shared" si="2"/>
        <v>44406-137</v>
      </c>
    </row>
    <row r="139" spans="1:46" x14ac:dyDescent="0.35">
      <c r="A139" s="204">
        <v>138</v>
      </c>
      <c r="B139" s="14" t="s">
        <v>83</v>
      </c>
      <c r="C139" s="1" t="s">
        <v>160</v>
      </c>
      <c r="D139" s="1" t="s">
        <v>161</v>
      </c>
      <c r="E139" s="12">
        <v>44407</v>
      </c>
      <c r="F139" s="201">
        <v>1.3</v>
      </c>
      <c r="G139" s="201">
        <v>1.1000000000000001</v>
      </c>
      <c r="H139" s="201">
        <v>0</v>
      </c>
      <c r="I139" s="201">
        <v>0</v>
      </c>
      <c r="J139" s="201">
        <v>0</v>
      </c>
      <c r="K139" s="201">
        <v>0</v>
      </c>
      <c r="L139" s="201"/>
      <c r="M139" s="201">
        <v>8.6</v>
      </c>
      <c r="N139" s="201">
        <v>0.7</v>
      </c>
      <c r="O139" s="201">
        <v>1.1000000000000001</v>
      </c>
      <c r="P139" s="201">
        <v>1152</v>
      </c>
      <c r="Q139" s="201">
        <v>1264.3</v>
      </c>
      <c r="R139" s="201"/>
      <c r="S139" s="201"/>
      <c r="T139" s="201">
        <v>2168.5</v>
      </c>
      <c r="U139" s="201">
        <v>447.5</v>
      </c>
      <c r="V139" s="201"/>
      <c r="W139" s="201"/>
      <c r="X139" s="201"/>
      <c r="Y139" s="201"/>
      <c r="Z139" s="201"/>
      <c r="AA139" s="61"/>
      <c r="AB139" s="201"/>
      <c r="AC139" s="61"/>
      <c r="AD139" s="201">
        <v>15.2</v>
      </c>
      <c r="AE139" s="61"/>
      <c r="AF139" s="61">
        <v>0</v>
      </c>
      <c r="AG139" s="61"/>
      <c r="AH139" s="61"/>
      <c r="AI139" s="61"/>
      <c r="AJ139" s="61"/>
      <c r="AK139" s="61"/>
      <c r="AL139" s="291">
        <v>24</v>
      </c>
      <c r="AM139" s="201">
        <v>22</v>
      </c>
      <c r="AN139" s="201">
        <v>15</v>
      </c>
      <c r="AO139" s="61"/>
      <c r="AP139" s="61"/>
      <c r="AQ139" s="61"/>
      <c r="AR139" s="61"/>
      <c r="AS139" s="101" t="s">
        <v>173</v>
      </c>
      <c r="AT139" s="206" t="str">
        <f t="shared" si="2"/>
        <v>44407-138</v>
      </c>
    </row>
    <row r="140" spans="1:46" x14ac:dyDescent="0.35">
      <c r="A140" s="204">
        <v>139</v>
      </c>
      <c r="B140" s="14" t="s">
        <v>83</v>
      </c>
      <c r="C140" s="1" t="s">
        <v>160</v>
      </c>
      <c r="D140" s="1" t="s">
        <v>161</v>
      </c>
      <c r="E140" s="12">
        <v>44407</v>
      </c>
      <c r="F140" s="201">
        <v>1.3</v>
      </c>
      <c r="G140" s="201">
        <v>1.1000000000000001</v>
      </c>
      <c r="H140" s="201">
        <v>0</v>
      </c>
      <c r="I140" s="201">
        <v>0</v>
      </c>
      <c r="J140" s="201">
        <v>0</v>
      </c>
      <c r="K140" s="201">
        <v>0</v>
      </c>
      <c r="L140" s="201"/>
      <c r="M140" s="201">
        <v>8.6999999999999993</v>
      </c>
      <c r="N140" s="201">
        <v>0.4</v>
      </c>
      <c r="O140" s="201">
        <v>1.1000000000000001</v>
      </c>
      <c r="P140" s="201">
        <v>1163.0999999999999</v>
      </c>
      <c r="Q140" s="201">
        <v>1258.0999999999999</v>
      </c>
      <c r="R140" s="201"/>
      <c r="S140" s="201"/>
      <c r="T140" s="201">
        <v>2169.1999999999998</v>
      </c>
      <c r="U140" s="201">
        <v>447.6</v>
      </c>
      <c r="V140" s="201"/>
      <c r="W140" s="201"/>
      <c r="X140" s="201"/>
      <c r="Y140" s="201"/>
      <c r="Z140" s="201"/>
      <c r="AA140" s="61"/>
      <c r="AB140" s="201"/>
      <c r="AC140" s="61"/>
      <c r="AD140" s="201">
        <v>15.1</v>
      </c>
      <c r="AE140" s="61"/>
      <c r="AF140" s="61">
        <v>0</v>
      </c>
      <c r="AG140" s="61"/>
      <c r="AH140" s="61"/>
      <c r="AI140" s="61"/>
      <c r="AJ140" s="61"/>
      <c r="AK140" s="61"/>
      <c r="AL140" s="291">
        <v>24</v>
      </c>
      <c r="AM140" s="201">
        <v>22</v>
      </c>
      <c r="AN140" s="201">
        <v>14</v>
      </c>
      <c r="AO140" s="61"/>
      <c r="AP140" s="61"/>
      <c r="AQ140" s="61"/>
      <c r="AR140" s="61"/>
      <c r="AS140" s="101" t="s">
        <v>174</v>
      </c>
      <c r="AT140" s="206" t="str">
        <f t="shared" si="2"/>
        <v>44407-139</v>
      </c>
    </row>
    <row r="141" spans="1:46" x14ac:dyDescent="0.35">
      <c r="A141" s="204">
        <v>140</v>
      </c>
      <c r="B141" s="14" t="s">
        <v>83</v>
      </c>
      <c r="C141" s="1" t="s">
        <v>152</v>
      </c>
      <c r="D141" s="1" t="s">
        <v>161</v>
      </c>
      <c r="E141" s="12">
        <v>44407</v>
      </c>
      <c r="F141" s="201">
        <v>1.8</v>
      </c>
      <c r="G141" s="201">
        <v>0.9</v>
      </c>
      <c r="H141" s="201">
        <v>0</v>
      </c>
      <c r="I141" s="201">
        <v>0</v>
      </c>
      <c r="J141" s="201">
        <v>0</v>
      </c>
      <c r="K141" s="201">
        <v>0.1</v>
      </c>
      <c r="L141" s="201"/>
      <c r="M141" s="201">
        <v>4.5</v>
      </c>
      <c r="N141" s="201">
        <v>2.7</v>
      </c>
      <c r="O141" s="201">
        <v>0</v>
      </c>
      <c r="P141" s="201">
        <v>1129.7</v>
      </c>
      <c r="Q141" s="201">
        <v>1151.0999999999999</v>
      </c>
      <c r="R141" s="201"/>
      <c r="S141" s="201"/>
      <c r="T141" s="201">
        <v>2822.3</v>
      </c>
      <c r="U141" s="201">
        <v>14.1</v>
      </c>
      <c r="V141" s="201"/>
      <c r="W141" s="201"/>
      <c r="X141" s="201"/>
      <c r="Y141" s="201"/>
      <c r="Z141" s="201"/>
      <c r="AA141" s="61"/>
      <c r="AB141" s="201"/>
      <c r="AC141" s="61"/>
      <c r="AD141" s="201">
        <v>5.9</v>
      </c>
      <c r="AE141" s="61"/>
      <c r="AF141" s="61">
        <v>0</v>
      </c>
      <c r="AG141" s="61"/>
      <c r="AH141" s="61"/>
      <c r="AI141" s="61"/>
      <c r="AJ141" s="61"/>
      <c r="AK141" s="61"/>
      <c r="AL141" s="291">
        <v>20</v>
      </c>
      <c r="AM141" s="201">
        <v>18</v>
      </c>
      <c r="AN141" s="201">
        <v>14</v>
      </c>
      <c r="AO141" s="61"/>
      <c r="AP141" s="61"/>
      <c r="AQ141" s="61"/>
      <c r="AR141" s="61"/>
      <c r="AS141" s="101" t="s">
        <v>180</v>
      </c>
      <c r="AT141" s="206" t="str">
        <f t="shared" si="2"/>
        <v>44407-140</v>
      </c>
    </row>
    <row r="142" spans="1:46" x14ac:dyDescent="0.35">
      <c r="A142" s="204">
        <v>141</v>
      </c>
      <c r="B142" s="14" t="s">
        <v>83</v>
      </c>
      <c r="C142" s="1" t="s">
        <v>198</v>
      </c>
      <c r="D142" s="1" t="s">
        <v>161</v>
      </c>
      <c r="E142" s="12">
        <v>44408</v>
      </c>
      <c r="F142" s="201">
        <v>1.6</v>
      </c>
      <c r="G142" s="201">
        <v>0.7</v>
      </c>
      <c r="H142" s="201">
        <v>0</v>
      </c>
      <c r="I142" s="201">
        <v>0.2</v>
      </c>
      <c r="J142" s="201">
        <v>0</v>
      </c>
      <c r="K142" s="201">
        <v>0</v>
      </c>
      <c r="L142" s="201"/>
      <c r="M142" s="201">
        <v>4.2</v>
      </c>
      <c r="N142" s="201">
        <v>2</v>
      </c>
      <c r="O142" s="201">
        <v>0</v>
      </c>
      <c r="P142" s="201">
        <v>1135.0999999999999</v>
      </c>
      <c r="Q142" s="201">
        <v>1158.2</v>
      </c>
      <c r="R142" s="201"/>
      <c r="S142" s="201"/>
      <c r="T142" s="201">
        <v>2867.1</v>
      </c>
      <c r="U142" s="201">
        <v>10.1</v>
      </c>
      <c r="V142" s="201"/>
      <c r="W142" s="201"/>
      <c r="X142" s="201"/>
      <c r="Y142" s="201"/>
      <c r="Z142" s="201"/>
      <c r="AA142" s="61"/>
      <c r="AB142" s="201"/>
      <c r="AC142" s="61"/>
      <c r="AD142" s="201">
        <v>11.1</v>
      </c>
      <c r="AE142" s="61"/>
      <c r="AF142" s="61">
        <v>0</v>
      </c>
      <c r="AG142" s="61"/>
      <c r="AH142" s="61"/>
      <c r="AI142" s="61"/>
      <c r="AJ142" s="61"/>
      <c r="AK142" s="61"/>
      <c r="AL142" s="291">
        <v>18</v>
      </c>
      <c r="AM142" s="201">
        <v>16</v>
      </c>
      <c r="AN142" s="201">
        <v>9</v>
      </c>
      <c r="AO142" s="61"/>
      <c r="AP142" s="61"/>
      <c r="AQ142" s="61"/>
      <c r="AR142" s="61"/>
      <c r="AS142" s="101" t="s">
        <v>216</v>
      </c>
      <c r="AT142" s="206" t="str">
        <f t="shared" si="2"/>
        <v>44408-141</v>
      </c>
    </row>
    <row r="143" spans="1:46" x14ac:dyDescent="0.35">
      <c r="A143" s="204">
        <v>142</v>
      </c>
      <c r="B143" s="14" t="s">
        <v>83</v>
      </c>
      <c r="C143" s="1" t="s">
        <v>160</v>
      </c>
      <c r="D143" s="1" t="s">
        <v>161</v>
      </c>
      <c r="E143" s="12">
        <v>44408</v>
      </c>
      <c r="F143" s="201">
        <v>1.3</v>
      </c>
      <c r="G143" s="201">
        <v>1.1000000000000001</v>
      </c>
      <c r="H143" s="201">
        <v>0</v>
      </c>
      <c r="I143" s="201">
        <v>0</v>
      </c>
      <c r="J143" s="201">
        <v>0</v>
      </c>
      <c r="K143" s="201">
        <v>0</v>
      </c>
      <c r="L143" s="201"/>
      <c r="M143" s="201">
        <v>8.6999999999999993</v>
      </c>
      <c r="N143" s="201">
        <v>0</v>
      </c>
      <c r="O143" s="201">
        <v>1.6</v>
      </c>
      <c r="P143" s="201">
        <v>1140.7</v>
      </c>
      <c r="Q143" s="201">
        <v>1264.5</v>
      </c>
      <c r="R143" s="201"/>
      <c r="S143" s="201"/>
      <c r="T143" s="201">
        <v>2127.1999999999998</v>
      </c>
      <c r="U143" s="201">
        <v>432.3</v>
      </c>
      <c r="V143" s="201"/>
      <c r="W143" s="201"/>
      <c r="X143" s="201"/>
      <c r="Y143" s="201"/>
      <c r="Z143" s="201"/>
      <c r="AA143" s="61"/>
      <c r="AB143" s="201"/>
      <c r="AC143" s="61"/>
      <c r="AD143" s="201">
        <v>15.1</v>
      </c>
      <c r="AE143" s="61"/>
      <c r="AF143" s="61">
        <v>0</v>
      </c>
      <c r="AG143" s="61"/>
      <c r="AH143" s="61"/>
      <c r="AI143" s="61"/>
      <c r="AJ143" s="61"/>
      <c r="AK143" s="61"/>
      <c r="AL143" s="291">
        <v>24</v>
      </c>
      <c r="AM143" s="201">
        <v>22</v>
      </c>
      <c r="AN143" s="201">
        <v>15</v>
      </c>
      <c r="AO143" s="61"/>
      <c r="AP143" s="61"/>
      <c r="AQ143" s="61"/>
      <c r="AR143" s="61"/>
      <c r="AS143" s="101" t="s">
        <v>185</v>
      </c>
      <c r="AT143" s="206" t="str">
        <f t="shared" si="2"/>
        <v>44408-142</v>
      </c>
    </row>
    <row r="144" spans="1:46" x14ac:dyDescent="0.35">
      <c r="A144" s="204">
        <v>143</v>
      </c>
      <c r="B144" s="14" t="s">
        <v>83</v>
      </c>
      <c r="C144" s="1" t="s">
        <v>152</v>
      </c>
      <c r="D144" s="1" t="s">
        <v>161</v>
      </c>
      <c r="E144" s="12">
        <v>44408</v>
      </c>
      <c r="F144" s="201">
        <v>1.7</v>
      </c>
      <c r="G144" s="201">
        <v>0.8</v>
      </c>
      <c r="H144" s="201">
        <v>0</v>
      </c>
      <c r="I144" s="201">
        <v>0.2</v>
      </c>
      <c r="J144" s="201">
        <v>0.1</v>
      </c>
      <c r="K144" s="201">
        <v>0.1</v>
      </c>
      <c r="L144" s="201"/>
      <c r="M144" s="201">
        <v>4.5</v>
      </c>
      <c r="N144" s="201">
        <v>2.1</v>
      </c>
      <c r="O144" s="201">
        <v>0.1</v>
      </c>
      <c r="P144" s="201">
        <v>1154.9000000000001</v>
      </c>
      <c r="Q144" s="201">
        <v>1174.2</v>
      </c>
      <c r="R144" s="201"/>
      <c r="S144" s="201"/>
      <c r="T144" s="201">
        <v>2898.4</v>
      </c>
      <c r="U144" s="201">
        <v>11.6</v>
      </c>
      <c r="V144" s="201"/>
      <c r="W144" s="201"/>
      <c r="X144" s="201"/>
      <c r="Y144" s="201"/>
      <c r="Z144" s="201"/>
      <c r="AA144" s="61"/>
      <c r="AB144" s="201"/>
      <c r="AC144" s="61"/>
      <c r="AD144" s="201">
        <v>6</v>
      </c>
      <c r="AE144" s="61"/>
      <c r="AF144" s="61">
        <v>0</v>
      </c>
      <c r="AG144" s="61"/>
      <c r="AH144" s="61"/>
      <c r="AI144" s="61"/>
      <c r="AJ144" s="61"/>
      <c r="AK144" s="61"/>
      <c r="AL144" s="291">
        <v>19</v>
      </c>
      <c r="AM144" s="201">
        <v>17</v>
      </c>
      <c r="AN144" s="201">
        <v>11</v>
      </c>
      <c r="AO144" s="61"/>
      <c r="AP144" s="61"/>
      <c r="AQ144" s="61"/>
      <c r="AR144" s="61"/>
      <c r="AS144" s="101" t="s">
        <v>184</v>
      </c>
      <c r="AT144" s="206" t="str">
        <f t="shared" si="2"/>
        <v>44408-143</v>
      </c>
    </row>
    <row r="145" spans="1:46" x14ac:dyDescent="0.35">
      <c r="A145" s="204">
        <v>144</v>
      </c>
      <c r="B145" s="14" t="s">
        <v>83</v>
      </c>
      <c r="C145" s="1" t="s">
        <v>160</v>
      </c>
      <c r="D145" s="1" t="s">
        <v>161</v>
      </c>
      <c r="E145" s="12">
        <v>44408</v>
      </c>
      <c r="F145" s="201">
        <v>1.3</v>
      </c>
      <c r="G145" s="201">
        <v>1.1000000000000001</v>
      </c>
      <c r="H145" s="201">
        <v>0</v>
      </c>
      <c r="I145" s="201">
        <v>0.2</v>
      </c>
      <c r="J145" s="201">
        <v>0</v>
      </c>
      <c r="K145" s="201">
        <v>0.1</v>
      </c>
      <c r="L145" s="201"/>
      <c r="M145" s="201">
        <v>8.8000000000000007</v>
      </c>
      <c r="N145" s="201">
        <v>0.3</v>
      </c>
      <c r="O145" s="201">
        <v>1.4</v>
      </c>
      <c r="P145" s="201">
        <v>1169.7</v>
      </c>
      <c r="Q145" s="201">
        <v>1271.3</v>
      </c>
      <c r="R145" s="201"/>
      <c r="S145" s="201"/>
      <c r="T145" s="201">
        <v>2178.6999999999998</v>
      </c>
      <c r="U145" s="201">
        <v>448.4</v>
      </c>
      <c r="V145" s="201"/>
      <c r="W145" s="201"/>
      <c r="X145" s="201"/>
      <c r="Y145" s="201"/>
      <c r="Z145" s="201"/>
      <c r="AA145" s="61"/>
      <c r="AB145" s="201"/>
      <c r="AC145" s="61"/>
      <c r="AD145" s="201">
        <v>15.1</v>
      </c>
      <c r="AE145" s="61"/>
      <c r="AF145" s="61">
        <v>0</v>
      </c>
      <c r="AG145" s="61"/>
      <c r="AH145" s="61"/>
      <c r="AI145" s="61"/>
      <c r="AJ145" s="61"/>
      <c r="AK145" s="61"/>
      <c r="AL145" s="291">
        <v>24</v>
      </c>
      <c r="AM145" s="201">
        <v>22</v>
      </c>
      <c r="AN145" s="201">
        <v>15</v>
      </c>
      <c r="AO145" s="61"/>
      <c r="AP145" s="61"/>
      <c r="AQ145" s="61"/>
      <c r="AR145" s="61"/>
      <c r="AS145" s="101" t="s">
        <v>176</v>
      </c>
      <c r="AT145" s="206" t="str">
        <f t="shared" si="2"/>
        <v>44408-144</v>
      </c>
    </row>
    <row r="146" spans="1:46" x14ac:dyDescent="0.35">
      <c r="A146" s="204">
        <v>145</v>
      </c>
      <c r="B146" s="14" t="s">
        <v>83</v>
      </c>
      <c r="C146" s="1" t="s">
        <v>152</v>
      </c>
      <c r="D146" s="1" t="s">
        <v>161</v>
      </c>
      <c r="E146" s="12">
        <v>44408</v>
      </c>
      <c r="F146" s="201">
        <v>1.7</v>
      </c>
      <c r="G146" s="201">
        <v>0.8</v>
      </c>
      <c r="H146" s="201">
        <v>0</v>
      </c>
      <c r="I146" s="201">
        <v>0.1</v>
      </c>
      <c r="J146" s="201">
        <v>0</v>
      </c>
      <c r="K146" s="201">
        <v>0</v>
      </c>
      <c r="L146" s="201"/>
      <c r="M146" s="201">
        <v>4.2</v>
      </c>
      <c r="N146" s="201">
        <v>1.9</v>
      </c>
      <c r="O146" s="201">
        <v>0</v>
      </c>
      <c r="P146" s="201">
        <v>1137.3</v>
      </c>
      <c r="Q146" s="201">
        <v>1150.4000000000001</v>
      </c>
      <c r="R146" s="201"/>
      <c r="S146" s="201"/>
      <c r="T146" s="201">
        <v>2840</v>
      </c>
      <c r="U146" s="201">
        <v>11</v>
      </c>
      <c r="V146" s="201"/>
      <c r="W146" s="201"/>
      <c r="X146" s="201"/>
      <c r="Y146" s="201"/>
      <c r="Z146" s="201"/>
      <c r="AA146" s="61"/>
      <c r="AB146" s="201"/>
      <c r="AC146" s="61"/>
      <c r="AD146" s="201">
        <v>6</v>
      </c>
      <c r="AE146" s="61"/>
      <c r="AF146" s="61">
        <v>0</v>
      </c>
      <c r="AG146" s="61"/>
      <c r="AH146" s="61"/>
      <c r="AI146" s="61"/>
      <c r="AJ146" s="61"/>
      <c r="AK146" s="61"/>
      <c r="AL146" s="291">
        <v>20</v>
      </c>
      <c r="AM146" s="201">
        <v>18</v>
      </c>
      <c r="AN146" s="201">
        <v>14</v>
      </c>
      <c r="AO146" s="61"/>
      <c r="AP146" s="61"/>
      <c r="AQ146" s="61"/>
      <c r="AR146" s="61"/>
      <c r="AS146" s="101" t="s">
        <v>177</v>
      </c>
      <c r="AT146" s="206" t="str">
        <f t="shared" si="2"/>
        <v>44408-145</v>
      </c>
    </row>
    <row r="147" spans="1:46" x14ac:dyDescent="0.35">
      <c r="A147" s="204">
        <v>146</v>
      </c>
      <c r="B147" s="14" t="s">
        <v>73</v>
      </c>
      <c r="C147" s="1" t="s">
        <v>157</v>
      </c>
      <c r="D147" s="1" t="s">
        <v>150</v>
      </c>
      <c r="E147" s="12">
        <v>44409</v>
      </c>
      <c r="F147" s="201">
        <v>0</v>
      </c>
      <c r="G147" s="201">
        <v>1</v>
      </c>
      <c r="H147" s="201">
        <v>0</v>
      </c>
      <c r="I147" s="201">
        <v>0</v>
      </c>
      <c r="J147" s="201">
        <v>0</v>
      </c>
      <c r="K147" s="201">
        <v>0</v>
      </c>
      <c r="L147" s="201">
        <v>0</v>
      </c>
      <c r="M147" s="201">
        <v>19</v>
      </c>
      <c r="N147" s="201">
        <v>0</v>
      </c>
      <c r="O147" s="201">
        <v>0</v>
      </c>
      <c r="P147" s="201">
        <v>0</v>
      </c>
      <c r="Q147" s="201">
        <v>200</v>
      </c>
      <c r="R147" s="201">
        <v>29</v>
      </c>
      <c r="S147" s="201">
        <v>0</v>
      </c>
      <c r="T147" s="201">
        <v>0</v>
      </c>
      <c r="U147" s="201">
        <v>0</v>
      </c>
      <c r="V147" s="201">
        <v>1</v>
      </c>
      <c r="W147" s="201">
        <v>0</v>
      </c>
      <c r="X147" s="201">
        <v>0</v>
      </c>
      <c r="Y147" s="201">
        <v>0</v>
      </c>
      <c r="Z147" s="201">
        <v>0</v>
      </c>
      <c r="AA147" s="61"/>
      <c r="AB147" s="201">
        <v>0</v>
      </c>
      <c r="AC147" s="61"/>
      <c r="AD147" s="201">
        <v>76.319999999999993</v>
      </c>
      <c r="AE147" s="61"/>
      <c r="AF147" s="61"/>
      <c r="AG147" s="61"/>
      <c r="AH147" s="61"/>
      <c r="AI147" s="61"/>
      <c r="AJ147" s="61"/>
      <c r="AK147" s="61"/>
      <c r="AL147" s="291">
        <v>20</v>
      </c>
      <c r="AM147" s="201">
        <v>18</v>
      </c>
      <c r="AN147" s="201">
        <v>13</v>
      </c>
      <c r="AO147" s="61"/>
      <c r="AP147" s="61"/>
      <c r="AQ147" s="61"/>
      <c r="AR147" s="61"/>
      <c r="AS147" s="101" t="s">
        <v>214</v>
      </c>
      <c r="AT147" s="206" t="str">
        <f t="shared" si="2"/>
        <v>44409-146</v>
      </c>
    </row>
    <row r="148" spans="1:46" x14ac:dyDescent="0.35">
      <c r="A148" s="204">
        <v>147</v>
      </c>
      <c r="B148" s="14" t="s">
        <v>73</v>
      </c>
      <c r="C148" s="1" t="s">
        <v>157</v>
      </c>
      <c r="D148" s="1" t="s">
        <v>150</v>
      </c>
      <c r="E148" s="12">
        <v>44410</v>
      </c>
      <c r="F148" s="201">
        <v>0</v>
      </c>
      <c r="G148" s="201">
        <v>0</v>
      </c>
      <c r="H148" s="201">
        <v>0</v>
      </c>
      <c r="I148" s="201">
        <v>0</v>
      </c>
      <c r="J148" s="201">
        <v>0</v>
      </c>
      <c r="K148" s="201">
        <v>0</v>
      </c>
      <c r="L148" s="201">
        <v>0</v>
      </c>
      <c r="M148" s="201">
        <v>16</v>
      </c>
      <c r="N148" s="201">
        <v>0</v>
      </c>
      <c r="O148" s="201">
        <v>0</v>
      </c>
      <c r="P148" s="201">
        <v>0</v>
      </c>
      <c r="Q148" s="201">
        <v>218</v>
      </c>
      <c r="R148" s="201">
        <v>27</v>
      </c>
      <c r="S148" s="201">
        <v>0</v>
      </c>
      <c r="T148" s="201">
        <v>0</v>
      </c>
      <c r="U148" s="201">
        <v>0</v>
      </c>
      <c r="V148" s="201">
        <v>0</v>
      </c>
      <c r="W148" s="201">
        <v>0</v>
      </c>
      <c r="X148" s="201">
        <v>0</v>
      </c>
      <c r="Y148" s="201">
        <v>0</v>
      </c>
      <c r="Z148" s="201">
        <v>0</v>
      </c>
      <c r="AA148" s="61"/>
      <c r="AB148" s="201">
        <v>0</v>
      </c>
      <c r="AC148" s="61"/>
      <c r="AD148" s="201">
        <v>76.95</v>
      </c>
      <c r="AE148" s="61"/>
      <c r="AF148" s="61"/>
      <c r="AG148" s="61"/>
      <c r="AH148" s="61"/>
      <c r="AI148" s="61"/>
      <c r="AJ148" s="61"/>
      <c r="AK148" s="61"/>
      <c r="AL148" s="291">
        <v>18</v>
      </c>
      <c r="AM148" s="201">
        <v>15</v>
      </c>
      <c r="AN148" s="201">
        <v>12</v>
      </c>
      <c r="AO148" s="61"/>
      <c r="AP148" s="61"/>
      <c r="AQ148" s="61"/>
      <c r="AR148" s="61"/>
      <c r="AS148" s="101" t="s">
        <v>214</v>
      </c>
      <c r="AT148" s="206" t="str">
        <f t="shared" si="2"/>
        <v>44410-147</v>
      </c>
    </row>
    <row r="149" spans="1:46" x14ac:dyDescent="0.35">
      <c r="A149" s="204">
        <v>148</v>
      </c>
      <c r="B149" s="14" t="s">
        <v>83</v>
      </c>
      <c r="C149" s="1" t="s">
        <v>160</v>
      </c>
      <c r="D149" s="1" t="s">
        <v>161</v>
      </c>
      <c r="E149" s="12">
        <v>44416</v>
      </c>
      <c r="F149" s="201">
        <v>1.3</v>
      </c>
      <c r="G149" s="201">
        <v>1.2</v>
      </c>
      <c r="H149" s="201">
        <v>0</v>
      </c>
      <c r="I149" s="201">
        <v>0</v>
      </c>
      <c r="J149" s="201">
        <v>0</v>
      </c>
      <c r="K149" s="201">
        <v>0</v>
      </c>
      <c r="L149" s="201"/>
      <c r="M149" s="201">
        <v>7.6</v>
      </c>
      <c r="N149" s="201">
        <v>0</v>
      </c>
      <c r="O149" s="201">
        <v>1.4</v>
      </c>
      <c r="P149" s="201">
        <v>1162.2</v>
      </c>
      <c r="Q149" s="201">
        <v>1302.2</v>
      </c>
      <c r="R149" s="201"/>
      <c r="S149" s="201"/>
      <c r="T149" s="201">
        <v>2180.5</v>
      </c>
      <c r="U149" s="201">
        <v>453.3</v>
      </c>
      <c r="V149" s="201"/>
      <c r="W149" s="201"/>
      <c r="X149" s="201"/>
      <c r="Y149" s="201"/>
      <c r="Z149" s="201"/>
      <c r="AA149" s="61"/>
      <c r="AB149" s="201"/>
      <c r="AC149" s="61"/>
      <c r="AD149" s="201">
        <v>15.1</v>
      </c>
      <c r="AE149" s="61"/>
      <c r="AF149" s="61">
        <v>0</v>
      </c>
      <c r="AG149" s="61"/>
      <c r="AH149" s="61"/>
      <c r="AI149" s="61"/>
      <c r="AJ149" s="61"/>
      <c r="AK149" s="61"/>
      <c r="AL149" s="291">
        <v>24</v>
      </c>
      <c r="AM149" s="201">
        <v>22</v>
      </c>
      <c r="AN149" s="201">
        <v>14</v>
      </c>
      <c r="AO149" s="61"/>
      <c r="AP149" s="61"/>
      <c r="AQ149" s="61"/>
      <c r="AR149" s="61"/>
      <c r="AS149" s="101" t="s">
        <v>185</v>
      </c>
      <c r="AT149" s="206" t="str">
        <f t="shared" si="2"/>
        <v>44416-148</v>
      </c>
    </row>
    <row r="150" spans="1:46" x14ac:dyDescent="0.35">
      <c r="A150" s="204">
        <v>149</v>
      </c>
      <c r="B150" s="14" t="s">
        <v>83</v>
      </c>
      <c r="C150" s="1" t="s">
        <v>152</v>
      </c>
      <c r="D150" s="1" t="s">
        <v>161</v>
      </c>
      <c r="E150" s="12">
        <v>44416</v>
      </c>
      <c r="F150" s="201">
        <v>1.7</v>
      </c>
      <c r="G150" s="201">
        <v>1</v>
      </c>
      <c r="H150" s="201">
        <v>0</v>
      </c>
      <c r="I150" s="201">
        <v>0</v>
      </c>
      <c r="J150" s="201">
        <v>0</v>
      </c>
      <c r="K150" s="201">
        <v>0</v>
      </c>
      <c r="L150" s="201"/>
      <c r="M150" s="201">
        <v>3.6</v>
      </c>
      <c r="N150" s="201">
        <v>2.6</v>
      </c>
      <c r="O150" s="201">
        <v>0.2</v>
      </c>
      <c r="P150" s="201">
        <v>1124.7</v>
      </c>
      <c r="Q150" s="201">
        <v>1192.0999999999999</v>
      </c>
      <c r="R150" s="201"/>
      <c r="S150" s="201"/>
      <c r="T150" s="201">
        <v>2805.9</v>
      </c>
      <c r="U150" s="201">
        <v>11.5</v>
      </c>
      <c r="V150" s="201"/>
      <c r="W150" s="201"/>
      <c r="X150" s="201"/>
      <c r="Y150" s="201"/>
      <c r="Z150" s="201"/>
      <c r="AA150" s="61"/>
      <c r="AB150" s="201"/>
      <c r="AC150" s="61"/>
      <c r="AD150" s="201">
        <v>6.1</v>
      </c>
      <c r="AE150" s="61"/>
      <c r="AF150" s="61">
        <v>0</v>
      </c>
      <c r="AG150" s="61"/>
      <c r="AH150" s="61"/>
      <c r="AI150" s="61"/>
      <c r="AJ150" s="61"/>
      <c r="AK150" s="61"/>
      <c r="AL150" s="291">
        <v>18</v>
      </c>
      <c r="AM150" s="201">
        <v>16</v>
      </c>
      <c r="AN150" s="201">
        <v>8</v>
      </c>
      <c r="AO150" s="61"/>
      <c r="AP150" s="61"/>
      <c r="AQ150" s="61"/>
      <c r="AR150" s="61"/>
      <c r="AS150" s="101" t="s">
        <v>184</v>
      </c>
      <c r="AT150" s="206" t="str">
        <f t="shared" si="2"/>
        <v>44416-149</v>
      </c>
    </row>
    <row r="151" spans="1:46" x14ac:dyDescent="0.35">
      <c r="A151" s="204">
        <v>150</v>
      </c>
      <c r="B151" s="14" t="s">
        <v>83</v>
      </c>
      <c r="C151" s="1" t="s">
        <v>160</v>
      </c>
      <c r="D151" s="1" t="s">
        <v>161</v>
      </c>
      <c r="E151" s="12">
        <v>44416</v>
      </c>
      <c r="F151" s="201">
        <v>1.3</v>
      </c>
      <c r="G151" s="201">
        <v>1.3</v>
      </c>
      <c r="H151" s="201">
        <v>0</v>
      </c>
      <c r="I151" s="201">
        <v>0</v>
      </c>
      <c r="J151" s="201">
        <v>0</v>
      </c>
      <c r="K151" s="201">
        <v>0</v>
      </c>
      <c r="L151" s="201"/>
      <c r="M151" s="201">
        <v>7.9</v>
      </c>
      <c r="N151" s="201">
        <v>1.1000000000000001</v>
      </c>
      <c r="O151" s="201">
        <v>1.5</v>
      </c>
      <c r="P151" s="201">
        <v>1128.5999999999999</v>
      </c>
      <c r="Q151" s="201">
        <v>1282.3</v>
      </c>
      <c r="R151" s="201"/>
      <c r="S151" s="201"/>
      <c r="T151" s="201">
        <v>2139.4</v>
      </c>
      <c r="U151" s="201">
        <v>448.3</v>
      </c>
      <c r="V151" s="201"/>
      <c r="W151" s="201"/>
      <c r="X151" s="201"/>
      <c r="Y151" s="201"/>
      <c r="Z151" s="201"/>
      <c r="AA151" s="61"/>
      <c r="AB151" s="201"/>
      <c r="AC151" s="61"/>
      <c r="AD151" s="201">
        <v>15.1</v>
      </c>
      <c r="AE151" s="61"/>
      <c r="AF151" s="61">
        <v>0</v>
      </c>
      <c r="AG151" s="61"/>
      <c r="AH151" s="61"/>
      <c r="AI151" s="61"/>
      <c r="AJ151" s="61"/>
      <c r="AK151" s="61"/>
      <c r="AL151" s="291">
        <v>24</v>
      </c>
      <c r="AM151" s="201">
        <v>22</v>
      </c>
      <c r="AN151" s="201">
        <v>15</v>
      </c>
      <c r="AO151" s="61"/>
      <c r="AP151" s="61"/>
      <c r="AQ151" s="61"/>
      <c r="AR151" s="61"/>
      <c r="AS151" s="101" t="s">
        <v>176</v>
      </c>
      <c r="AT151" s="206" t="str">
        <f t="shared" si="2"/>
        <v>44416-150</v>
      </c>
    </row>
    <row r="152" spans="1:46" x14ac:dyDescent="0.35">
      <c r="A152" s="204">
        <v>151</v>
      </c>
      <c r="B152" s="14" t="s">
        <v>83</v>
      </c>
      <c r="C152" s="1" t="s">
        <v>152</v>
      </c>
      <c r="D152" s="1" t="s">
        <v>161</v>
      </c>
      <c r="E152" s="12">
        <v>44416</v>
      </c>
      <c r="F152" s="201">
        <v>1.7</v>
      </c>
      <c r="G152" s="201">
        <v>1</v>
      </c>
      <c r="H152" s="201">
        <v>0</v>
      </c>
      <c r="I152" s="201">
        <v>0</v>
      </c>
      <c r="J152" s="201">
        <v>0</v>
      </c>
      <c r="K152" s="201">
        <v>0</v>
      </c>
      <c r="L152" s="201"/>
      <c r="M152" s="201">
        <v>3.7</v>
      </c>
      <c r="N152" s="201">
        <v>2.4</v>
      </c>
      <c r="O152" s="201">
        <v>0.4</v>
      </c>
      <c r="P152" s="201">
        <v>1124.5</v>
      </c>
      <c r="Q152" s="201">
        <v>1182.9000000000001</v>
      </c>
      <c r="R152" s="201"/>
      <c r="S152" s="201"/>
      <c r="T152" s="201">
        <v>2813.1</v>
      </c>
      <c r="U152" s="201">
        <v>11.6</v>
      </c>
      <c r="V152" s="201"/>
      <c r="W152" s="201"/>
      <c r="X152" s="201"/>
      <c r="Y152" s="201"/>
      <c r="Z152" s="201"/>
      <c r="AA152" s="61"/>
      <c r="AB152" s="201"/>
      <c r="AC152" s="61"/>
      <c r="AD152" s="201">
        <v>6.1</v>
      </c>
      <c r="AE152" s="61"/>
      <c r="AF152" s="61">
        <v>0</v>
      </c>
      <c r="AG152" s="61"/>
      <c r="AH152" s="61"/>
      <c r="AI152" s="61"/>
      <c r="AJ152" s="61"/>
      <c r="AK152" s="61"/>
      <c r="AL152" s="291">
        <v>21</v>
      </c>
      <c r="AM152" s="201">
        <v>19</v>
      </c>
      <c r="AN152" s="201">
        <v>14</v>
      </c>
      <c r="AO152" s="61"/>
      <c r="AP152" s="61"/>
      <c r="AQ152" s="61"/>
      <c r="AR152" s="61"/>
      <c r="AS152" s="101" t="s">
        <v>177</v>
      </c>
      <c r="AT152" s="206" t="str">
        <f t="shared" si="2"/>
        <v>44416-151</v>
      </c>
    </row>
    <row r="153" spans="1:46" x14ac:dyDescent="0.35">
      <c r="A153" s="204">
        <v>152</v>
      </c>
      <c r="B153" s="14" t="s">
        <v>83</v>
      </c>
      <c r="C153" s="1" t="s">
        <v>160</v>
      </c>
      <c r="D153" s="1" t="s">
        <v>161</v>
      </c>
      <c r="E153" s="12">
        <v>44418</v>
      </c>
      <c r="F153" s="201">
        <v>1.4</v>
      </c>
      <c r="G153" s="201">
        <v>1.3</v>
      </c>
      <c r="H153" s="201">
        <v>0</v>
      </c>
      <c r="I153" s="201">
        <v>0</v>
      </c>
      <c r="J153" s="201">
        <v>0</v>
      </c>
      <c r="K153" s="201">
        <v>0</v>
      </c>
      <c r="L153" s="201"/>
      <c r="M153" s="201">
        <v>8.9</v>
      </c>
      <c r="N153" s="201">
        <v>1.2</v>
      </c>
      <c r="O153" s="201">
        <v>2.2000000000000002</v>
      </c>
      <c r="P153" s="201">
        <v>1249.5</v>
      </c>
      <c r="Q153" s="201">
        <v>1429.4</v>
      </c>
      <c r="R153" s="201"/>
      <c r="S153" s="201"/>
      <c r="T153" s="201">
        <v>2437.8000000000002</v>
      </c>
      <c r="U153" s="201">
        <v>493.6</v>
      </c>
      <c r="V153" s="201"/>
      <c r="W153" s="201"/>
      <c r="X153" s="201"/>
      <c r="Y153" s="201"/>
      <c r="Z153" s="201"/>
      <c r="AA153" s="61"/>
      <c r="AB153" s="201"/>
      <c r="AC153" s="61"/>
      <c r="AD153" s="201">
        <v>14.9</v>
      </c>
      <c r="AE153" s="61"/>
      <c r="AF153" s="61">
        <v>0</v>
      </c>
      <c r="AG153" s="61"/>
      <c r="AH153" s="61"/>
      <c r="AI153" s="61"/>
      <c r="AJ153" s="61"/>
      <c r="AK153" s="61"/>
      <c r="AL153" s="291">
        <v>24</v>
      </c>
      <c r="AM153" s="201">
        <v>22</v>
      </c>
      <c r="AN153" s="201">
        <v>15</v>
      </c>
      <c r="AO153" s="61"/>
      <c r="AP153" s="61"/>
      <c r="AQ153" s="61"/>
      <c r="AR153" s="61"/>
      <c r="AS153" s="101" t="s">
        <v>173</v>
      </c>
      <c r="AT153" s="206" t="str">
        <f t="shared" si="2"/>
        <v>44418-152</v>
      </c>
    </row>
    <row r="154" spans="1:46" x14ac:dyDescent="0.35">
      <c r="A154" s="204">
        <v>153</v>
      </c>
      <c r="B154" s="14" t="s">
        <v>83</v>
      </c>
      <c r="C154" s="1" t="s">
        <v>160</v>
      </c>
      <c r="D154" s="1" t="s">
        <v>161</v>
      </c>
      <c r="E154" s="12">
        <v>44418</v>
      </c>
      <c r="F154" s="201">
        <v>1.3</v>
      </c>
      <c r="G154" s="201">
        <v>1.3</v>
      </c>
      <c r="H154" s="201">
        <v>0</v>
      </c>
      <c r="I154" s="201">
        <v>0</v>
      </c>
      <c r="J154" s="201">
        <v>0</v>
      </c>
      <c r="K154" s="201">
        <v>0</v>
      </c>
      <c r="L154" s="201"/>
      <c r="M154" s="201">
        <v>9</v>
      </c>
      <c r="N154" s="201">
        <v>1.1000000000000001</v>
      </c>
      <c r="O154" s="201">
        <v>1.8</v>
      </c>
      <c r="P154" s="201">
        <v>1227.9000000000001</v>
      </c>
      <c r="Q154" s="201">
        <v>1407.4</v>
      </c>
      <c r="R154" s="201"/>
      <c r="S154" s="201"/>
      <c r="T154" s="201">
        <v>2398</v>
      </c>
      <c r="U154" s="201">
        <v>486.6</v>
      </c>
      <c r="V154" s="201"/>
      <c r="W154" s="201"/>
      <c r="X154" s="201"/>
      <c r="Y154" s="201"/>
      <c r="Z154" s="201"/>
      <c r="AA154" s="61"/>
      <c r="AB154" s="201"/>
      <c r="AC154" s="61"/>
      <c r="AD154" s="201">
        <v>14.9</v>
      </c>
      <c r="AE154" s="61"/>
      <c r="AF154" s="61">
        <v>0</v>
      </c>
      <c r="AG154" s="61"/>
      <c r="AH154" s="61"/>
      <c r="AI154" s="61"/>
      <c r="AJ154" s="61"/>
      <c r="AK154" s="61"/>
      <c r="AL154" s="291">
        <v>24</v>
      </c>
      <c r="AM154" s="201">
        <v>22</v>
      </c>
      <c r="AN154" s="201">
        <v>14</v>
      </c>
      <c r="AO154" s="61"/>
      <c r="AP154" s="61"/>
      <c r="AQ154" s="61"/>
      <c r="AR154" s="61"/>
      <c r="AS154" s="101" t="s">
        <v>174</v>
      </c>
      <c r="AT154" s="206" t="str">
        <f t="shared" si="2"/>
        <v>44418-153</v>
      </c>
    </row>
    <row r="155" spans="1:46" x14ac:dyDescent="0.35">
      <c r="A155" s="204">
        <v>154</v>
      </c>
      <c r="B155" s="14" t="s">
        <v>83</v>
      </c>
      <c r="C155" s="1" t="s">
        <v>152</v>
      </c>
      <c r="D155" s="1" t="s">
        <v>161</v>
      </c>
      <c r="E155" s="12">
        <v>44418</v>
      </c>
      <c r="F155" s="201">
        <v>1.6</v>
      </c>
      <c r="G155" s="201">
        <v>0.8</v>
      </c>
      <c r="H155" s="201">
        <v>0</v>
      </c>
      <c r="I155" s="201">
        <v>0</v>
      </c>
      <c r="J155" s="201">
        <v>0</v>
      </c>
      <c r="K155" s="201">
        <v>0</v>
      </c>
      <c r="L155" s="201"/>
      <c r="M155" s="201">
        <v>4.0999999999999996</v>
      </c>
      <c r="N155" s="201">
        <v>2.2999999999999998</v>
      </c>
      <c r="O155" s="201">
        <v>0.4</v>
      </c>
      <c r="P155" s="201">
        <v>1198.3</v>
      </c>
      <c r="Q155" s="201">
        <v>1269.2</v>
      </c>
      <c r="R155" s="201"/>
      <c r="S155" s="201"/>
      <c r="T155" s="201">
        <v>3127.7</v>
      </c>
      <c r="U155" s="201">
        <v>14.4</v>
      </c>
      <c r="V155" s="201"/>
      <c r="W155" s="201"/>
      <c r="X155" s="201"/>
      <c r="Y155" s="201"/>
      <c r="Z155" s="201"/>
      <c r="AA155" s="61"/>
      <c r="AB155" s="201"/>
      <c r="AC155" s="61"/>
      <c r="AD155" s="201">
        <v>5.9</v>
      </c>
      <c r="AE155" s="61"/>
      <c r="AF155" s="61">
        <v>0</v>
      </c>
      <c r="AG155" s="61"/>
      <c r="AH155" s="61"/>
      <c r="AI155" s="61"/>
      <c r="AJ155" s="61"/>
      <c r="AK155" s="61"/>
      <c r="AL155" s="291">
        <v>19</v>
      </c>
      <c r="AM155" s="201">
        <v>17</v>
      </c>
      <c r="AN155" s="201">
        <v>13</v>
      </c>
      <c r="AO155" s="61"/>
      <c r="AP155" s="61"/>
      <c r="AQ155" s="61"/>
      <c r="AR155" s="61"/>
      <c r="AS155" s="101" t="s">
        <v>175</v>
      </c>
      <c r="AT155" s="206" t="str">
        <f t="shared" si="2"/>
        <v>44418-154</v>
      </c>
    </row>
    <row r="156" spans="1:46" x14ac:dyDescent="0.35">
      <c r="A156" s="204">
        <v>155</v>
      </c>
      <c r="B156" s="14" t="s">
        <v>83</v>
      </c>
      <c r="C156" s="1" t="s">
        <v>160</v>
      </c>
      <c r="D156" s="1" t="s">
        <v>161</v>
      </c>
      <c r="E156" s="12">
        <v>44419</v>
      </c>
      <c r="F156" s="201">
        <v>1.5</v>
      </c>
      <c r="G156" s="201">
        <v>1.3</v>
      </c>
      <c r="H156" s="201">
        <v>0</v>
      </c>
      <c r="I156" s="201">
        <v>0</v>
      </c>
      <c r="J156" s="201">
        <v>0</v>
      </c>
      <c r="K156" s="201">
        <v>0</v>
      </c>
      <c r="L156" s="201"/>
      <c r="M156" s="201">
        <v>8.6999999999999993</v>
      </c>
      <c r="N156" s="201">
        <v>1.3</v>
      </c>
      <c r="O156" s="201">
        <v>1.1000000000000001</v>
      </c>
      <c r="P156" s="201">
        <v>1156</v>
      </c>
      <c r="Q156" s="201">
        <v>1750</v>
      </c>
      <c r="R156" s="201"/>
      <c r="S156" s="201"/>
      <c r="T156" s="201">
        <v>2172.1999999999998</v>
      </c>
      <c r="U156" s="201">
        <v>443.8</v>
      </c>
      <c r="V156" s="201"/>
      <c r="W156" s="201"/>
      <c r="X156" s="201"/>
      <c r="Y156" s="201"/>
      <c r="Z156" s="201"/>
      <c r="AA156" s="61"/>
      <c r="AB156" s="201"/>
      <c r="AC156" s="61"/>
      <c r="AD156" s="201">
        <v>15</v>
      </c>
      <c r="AE156" s="61"/>
      <c r="AF156" s="61">
        <v>0</v>
      </c>
      <c r="AG156" s="61"/>
      <c r="AH156" s="61"/>
      <c r="AI156" s="61"/>
      <c r="AJ156" s="61"/>
      <c r="AK156" s="61"/>
      <c r="AL156" s="291">
        <v>23</v>
      </c>
      <c r="AM156" s="201">
        <v>22</v>
      </c>
      <c r="AN156" s="201">
        <v>15</v>
      </c>
      <c r="AO156" s="61"/>
      <c r="AP156" s="61"/>
      <c r="AQ156" s="61"/>
      <c r="AR156" s="61"/>
      <c r="AS156" s="101" t="s">
        <v>173</v>
      </c>
      <c r="AT156" s="206" t="str">
        <f t="shared" si="2"/>
        <v>44419-155</v>
      </c>
    </row>
    <row r="157" spans="1:46" x14ac:dyDescent="0.35">
      <c r="A157" s="204">
        <v>156</v>
      </c>
      <c r="B157" s="14" t="s">
        <v>83</v>
      </c>
      <c r="C157" s="1" t="s">
        <v>160</v>
      </c>
      <c r="D157" s="1" t="s">
        <v>161</v>
      </c>
      <c r="E157" s="12">
        <v>44419</v>
      </c>
      <c r="F157" s="201">
        <v>1.4</v>
      </c>
      <c r="G157" s="201">
        <v>1.2</v>
      </c>
      <c r="H157" s="201">
        <v>0</v>
      </c>
      <c r="I157" s="201">
        <v>0</v>
      </c>
      <c r="J157" s="201">
        <v>0</v>
      </c>
      <c r="K157" s="201">
        <v>0</v>
      </c>
      <c r="L157" s="201"/>
      <c r="M157" s="201">
        <v>8.6999999999999993</v>
      </c>
      <c r="N157" s="201">
        <v>1.4</v>
      </c>
      <c r="O157" s="201">
        <v>1.2</v>
      </c>
      <c r="P157" s="201">
        <v>1157.0999999999999</v>
      </c>
      <c r="Q157" s="201">
        <v>1763</v>
      </c>
      <c r="R157" s="201"/>
      <c r="S157" s="201"/>
      <c r="T157" s="201">
        <v>2176.1999999999998</v>
      </c>
      <c r="U157" s="201">
        <v>444.2</v>
      </c>
      <c r="V157" s="201"/>
      <c r="W157" s="201"/>
      <c r="X157" s="201"/>
      <c r="Y157" s="201"/>
      <c r="Z157" s="201"/>
      <c r="AA157" s="61"/>
      <c r="AB157" s="201"/>
      <c r="AC157" s="61"/>
      <c r="AD157" s="201">
        <v>14.9</v>
      </c>
      <c r="AE157" s="61"/>
      <c r="AF157" s="61">
        <v>0</v>
      </c>
      <c r="AG157" s="61"/>
      <c r="AH157" s="61"/>
      <c r="AI157" s="61"/>
      <c r="AJ157" s="61"/>
      <c r="AK157" s="61"/>
      <c r="AL157" s="291">
        <v>23</v>
      </c>
      <c r="AM157" s="201">
        <v>22</v>
      </c>
      <c r="AN157" s="201">
        <v>14</v>
      </c>
      <c r="AO157" s="61"/>
      <c r="AP157" s="61"/>
      <c r="AQ157" s="61"/>
      <c r="AR157" s="61"/>
      <c r="AS157" s="101" t="s">
        <v>174</v>
      </c>
      <c r="AT157" s="206" t="str">
        <f t="shared" si="2"/>
        <v>44419-156</v>
      </c>
    </row>
    <row r="158" spans="1:46" x14ac:dyDescent="0.35">
      <c r="A158" s="204">
        <v>157</v>
      </c>
      <c r="B158" s="14" t="s">
        <v>83</v>
      </c>
      <c r="C158" s="1" t="s">
        <v>155</v>
      </c>
      <c r="D158" s="1" t="s">
        <v>161</v>
      </c>
      <c r="E158" s="12">
        <v>44419</v>
      </c>
      <c r="F158" s="201">
        <v>1.8</v>
      </c>
      <c r="G158" s="201">
        <v>0.9</v>
      </c>
      <c r="H158" s="201">
        <v>0</v>
      </c>
      <c r="I158" s="201">
        <v>0</v>
      </c>
      <c r="J158" s="201">
        <v>0</v>
      </c>
      <c r="K158" s="201">
        <v>0</v>
      </c>
      <c r="L158" s="201"/>
      <c r="M158" s="201">
        <v>8.1</v>
      </c>
      <c r="N158" s="201">
        <v>1.8</v>
      </c>
      <c r="O158" s="201">
        <v>1.1000000000000001</v>
      </c>
      <c r="P158" s="201">
        <v>1176.8</v>
      </c>
      <c r="Q158" s="201">
        <v>1158.0999999999999</v>
      </c>
      <c r="R158" s="201"/>
      <c r="S158" s="201"/>
      <c r="T158" s="201">
        <v>2936.9</v>
      </c>
      <c r="U158" s="201">
        <v>11.4</v>
      </c>
      <c r="V158" s="201"/>
      <c r="W158" s="201"/>
      <c r="X158" s="201"/>
      <c r="Y158" s="201"/>
      <c r="Z158" s="201"/>
      <c r="AA158" s="61"/>
      <c r="AB158" s="201"/>
      <c r="AC158" s="61"/>
      <c r="AD158" s="201">
        <v>25.5</v>
      </c>
      <c r="AE158" s="61"/>
      <c r="AF158" s="61">
        <v>0</v>
      </c>
      <c r="AG158" s="61"/>
      <c r="AH158" s="61"/>
      <c r="AI158" s="61"/>
      <c r="AJ158" s="61"/>
      <c r="AK158" s="61"/>
      <c r="AL158" s="291">
        <v>21</v>
      </c>
      <c r="AM158" s="201">
        <v>19</v>
      </c>
      <c r="AN158" s="201">
        <v>16</v>
      </c>
      <c r="AO158" s="61"/>
      <c r="AP158" s="61"/>
      <c r="AQ158" s="61"/>
      <c r="AR158" s="61"/>
      <c r="AS158" s="101" t="s">
        <v>175</v>
      </c>
      <c r="AT158" s="206" t="str">
        <f t="shared" si="2"/>
        <v>44419-157</v>
      </c>
    </row>
    <row r="159" spans="1:46" x14ac:dyDescent="0.35">
      <c r="A159" s="204">
        <v>158</v>
      </c>
      <c r="B159" s="14" t="s">
        <v>83</v>
      </c>
      <c r="C159" s="1" t="s">
        <v>160</v>
      </c>
      <c r="D159" s="1" t="s">
        <v>161</v>
      </c>
      <c r="E159" s="12">
        <v>44427</v>
      </c>
      <c r="F159" s="201">
        <v>1.5</v>
      </c>
      <c r="G159" s="201">
        <v>1.3</v>
      </c>
      <c r="H159" s="201">
        <v>0</v>
      </c>
      <c r="I159" s="201">
        <v>0</v>
      </c>
      <c r="J159" s="201">
        <v>0</v>
      </c>
      <c r="K159" s="201">
        <v>0</v>
      </c>
      <c r="L159" s="201"/>
      <c r="M159" s="201">
        <v>8.6</v>
      </c>
      <c r="N159" s="201">
        <v>0</v>
      </c>
      <c r="O159" s="201">
        <v>1.4</v>
      </c>
      <c r="P159" s="201">
        <v>1243.0999999999999</v>
      </c>
      <c r="Q159" s="201">
        <v>1395.1</v>
      </c>
      <c r="R159" s="201"/>
      <c r="S159" s="201"/>
      <c r="T159" s="201">
        <v>2400.8000000000002</v>
      </c>
      <c r="U159" s="201">
        <v>490.4</v>
      </c>
      <c r="V159" s="201"/>
      <c r="W159" s="201"/>
      <c r="X159" s="201"/>
      <c r="Y159" s="201"/>
      <c r="Z159" s="201"/>
      <c r="AA159" s="61"/>
      <c r="AB159" s="201"/>
      <c r="AC159" s="61"/>
      <c r="AD159" s="201">
        <v>15.1</v>
      </c>
      <c r="AE159" s="61"/>
      <c r="AF159" s="61">
        <v>0</v>
      </c>
      <c r="AG159" s="61"/>
      <c r="AH159" s="61"/>
      <c r="AI159" s="61"/>
      <c r="AJ159" s="61"/>
      <c r="AK159" s="61"/>
      <c r="AL159" s="291">
        <v>24</v>
      </c>
      <c r="AM159" s="201">
        <v>22</v>
      </c>
      <c r="AN159" s="201">
        <v>15</v>
      </c>
      <c r="AO159" s="61"/>
      <c r="AP159" s="61"/>
      <c r="AQ159" s="61"/>
      <c r="AR159" s="61"/>
      <c r="AS159" s="101" t="s">
        <v>173</v>
      </c>
      <c r="AT159" s="206" t="str">
        <f t="shared" si="2"/>
        <v>44427-158</v>
      </c>
    </row>
    <row r="160" spans="1:46" x14ac:dyDescent="0.35">
      <c r="A160" s="204">
        <v>159</v>
      </c>
      <c r="B160" s="14" t="s">
        <v>83</v>
      </c>
      <c r="C160" s="1" t="s">
        <v>160</v>
      </c>
      <c r="D160" s="1" t="s">
        <v>161</v>
      </c>
      <c r="E160" s="12">
        <v>44427</v>
      </c>
      <c r="F160" s="201">
        <v>1.6</v>
      </c>
      <c r="G160" s="201">
        <v>1.2</v>
      </c>
      <c r="H160" s="201">
        <v>0</v>
      </c>
      <c r="I160" s="201">
        <v>0</v>
      </c>
      <c r="J160" s="201">
        <v>0</v>
      </c>
      <c r="K160" s="201">
        <v>0</v>
      </c>
      <c r="L160" s="201"/>
      <c r="M160" s="201">
        <v>8.4</v>
      </c>
      <c r="N160" s="201">
        <v>0.1</v>
      </c>
      <c r="O160" s="201">
        <v>1.8</v>
      </c>
      <c r="P160" s="201">
        <v>1252.2</v>
      </c>
      <c r="Q160" s="201">
        <v>1395.8</v>
      </c>
      <c r="R160" s="201"/>
      <c r="S160" s="201"/>
      <c r="T160" s="201">
        <v>2425.1</v>
      </c>
      <c r="U160" s="201">
        <v>495</v>
      </c>
      <c r="V160" s="201"/>
      <c r="W160" s="201"/>
      <c r="X160" s="201"/>
      <c r="Y160" s="201"/>
      <c r="Z160" s="201"/>
      <c r="AA160" s="61"/>
      <c r="AB160" s="201"/>
      <c r="AC160" s="61"/>
      <c r="AD160" s="201">
        <v>15.1</v>
      </c>
      <c r="AE160" s="61"/>
      <c r="AF160" s="61">
        <v>0</v>
      </c>
      <c r="AG160" s="61"/>
      <c r="AH160" s="61"/>
      <c r="AI160" s="61"/>
      <c r="AJ160" s="61"/>
      <c r="AK160" s="61"/>
      <c r="AL160" s="291">
        <v>24</v>
      </c>
      <c r="AM160" s="201">
        <v>22</v>
      </c>
      <c r="AN160" s="201">
        <v>16</v>
      </c>
      <c r="AO160" s="61"/>
      <c r="AP160" s="61"/>
      <c r="AQ160" s="61"/>
      <c r="AR160" s="61"/>
      <c r="AS160" s="101" t="s">
        <v>174</v>
      </c>
      <c r="AT160" s="206" t="str">
        <f t="shared" si="2"/>
        <v>44427-159</v>
      </c>
    </row>
    <row r="161" spans="1:46" x14ac:dyDescent="0.35">
      <c r="A161" s="204">
        <v>160</v>
      </c>
      <c r="B161" s="14" t="s">
        <v>83</v>
      </c>
      <c r="C161" s="1" t="s">
        <v>160</v>
      </c>
      <c r="D161" s="1" t="s">
        <v>161</v>
      </c>
      <c r="E161" s="12">
        <v>44427</v>
      </c>
      <c r="F161" s="201">
        <v>1.6</v>
      </c>
      <c r="G161" s="201">
        <v>1.2</v>
      </c>
      <c r="H161" s="201">
        <v>0</v>
      </c>
      <c r="I161" s="201">
        <v>0</v>
      </c>
      <c r="J161" s="201">
        <v>0</v>
      </c>
      <c r="K161" s="201">
        <v>0</v>
      </c>
      <c r="L161" s="201"/>
      <c r="M161" s="201">
        <v>9.1999999999999993</v>
      </c>
      <c r="N161" s="201">
        <v>0.2</v>
      </c>
      <c r="O161" s="201">
        <v>1.4</v>
      </c>
      <c r="P161" s="201">
        <v>1249.8</v>
      </c>
      <c r="Q161" s="201">
        <v>1387.2</v>
      </c>
      <c r="R161" s="201"/>
      <c r="S161" s="201"/>
      <c r="T161" s="201">
        <v>2415.6</v>
      </c>
      <c r="U161" s="201">
        <v>493.2</v>
      </c>
      <c r="V161" s="201"/>
      <c r="W161" s="201"/>
      <c r="X161" s="201"/>
      <c r="Y161" s="201"/>
      <c r="Z161" s="201"/>
      <c r="AA161" s="61"/>
      <c r="AB161" s="201"/>
      <c r="AC161" s="61"/>
      <c r="AD161" s="201">
        <v>15.1</v>
      </c>
      <c r="AE161" s="61"/>
      <c r="AF161" s="61">
        <v>0</v>
      </c>
      <c r="AG161" s="61"/>
      <c r="AH161" s="61"/>
      <c r="AI161" s="61"/>
      <c r="AJ161" s="61"/>
      <c r="AK161" s="61"/>
      <c r="AL161" s="291">
        <v>24</v>
      </c>
      <c r="AM161" s="201">
        <v>23</v>
      </c>
      <c r="AN161" s="201">
        <v>15</v>
      </c>
      <c r="AO161" s="61"/>
      <c r="AP161" s="61"/>
      <c r="AQ161" s="61"/>
      <c r="AR161" s="61"/>
      <c r="AS161" s="101" t="s">
        <v>175</v>
      </c>
      <c r="AT161" s="206" t="str">
        <f t="shared" si="2"/>
        <v>44427-160</v>
      </c>
    </row>
    <row r="162" spans="1:46" x14ac:dyDescent="0.35">
      <c r="A162" s="204">
        <v>161</v>
      </c>
      <c r="B162" s="14" t="s">
        <v>83</v>
      </c>
      <c r="C162" s="1" t="s">
        <v>160</v>
      </c>
      <c r="D162" s="1" t="s">
        <v>161</v>
      </c>
      <c r="E162" s="12">
        <v>44427</v>
      </c>
      <c r="F162" s="201">
        <v>1.4</v>
      </c>
      <c r="G162" s="201">
        <v>1.3</v>
      </c>
      <c r="H162" s="201">
        <v>0.1</v>
      </c>
      <c r="I162" s="201">
        <v>0.1</v>
      </c>
      <c r="J162" s="201">
        <v>0</v>
      </c>
      <c r="K162" s="201">
        <v>0</v>
      </c>
      <c r="L162" s="201"/>
      <c r="M162" s="201">
        <v>8.8000000000000007</v>
      </c>
      <c r="N162" s="201">
        <v>0.3</v>
      </c>
      <c r="O162" s="201">
        <v>1.5</v>
      </c>
      <c r="P162" s="201">
        <v>1268.5</v>
      </c>
      <c r="Q162" s="201">
        <v>1385.4</v>
      </c>
      <c r="R162" s="201"/>
      <c r="S162" s="201"/>
      <c r="T162" s="201">
        <v>2452.5</v>
      </c>
      <c r="U162" s="201">
        <v>477.3</v>
      </c>
      <c r="V162" s="201"/>
      <c r="W162" s="201"/>
      <c r="X162" s="201"/>
      <c r="Y162" s="201"/>
      <c r="Z162" s="201"/>
      <c r="AA162" s="61"/>
      <c r="AB162" s="201"/>
      <c r="AC162" s="61"/>
      <c r="AD162" s="201">
        <v>14.8</v>
      </c>
      <c r="AE162" s="61"/>
      <c r="AF162" s="61">
        <v>0</v>
      </c>
      <c r="AG162" s="61"/>
      <c r="AH162" s="61"/>
      <c r="AI162" s="61"/>
      <c r="AJ162" s="61"/>
      <c r="AK162" s="61"/>
      <c r="AL162" s="291">
        <v>24</v>
      </c>
      <c r="AM162" s="201">
        <v>22</v>
      </c>
      <c r="AN162" s="201">
        <v>16</v>
      </c>
      <c r="AO162" s="61"/>
      <c r="AP162" s="61"/>
      <c r="AQ162" s="61"/>
      <c r="AR162" s="61"/>
      <c r="AS162" s="101" t="s">
        <v>185</v>
      </c>
      <c r="AT162" s="206" t="str">
        <f t="shared" si="2"/>
        <v>44427-161</v>
      </c>
    </row>
    <row r="163" spans="1:46" x14ac:dyDescent="0.35">
      <c r="A163" s="204">
        <v>162</v>
      </c>
      <c r="B163" s="14" t="s">
        <v>83</v>
      </c>
      <c r="C163" s="1" t="s">
        <v>152</v>
      </c>
      <c r="D163" s="1" t="s">
        <v>161</v>
      </c>
      <c r="E163" s="12">
        <v>44430</v>
      </c>
      <c r="F163" s="201">
        <v>1.7</v>
      </c>
      <c r="G163" s="201">
        <v>0.9</v>
      </c>
      <c r="H163" s="201">
        <v>0.2</v>
      </c>
      <c r="I163" s="201">
        <v>0</v>
      </c>
      <c r="J163" s="201">
        <v>0.1</v>
      </c>
      <c r="K163" s="201">
        <v>0</v>
      </c>
      <c r="L163" s="201"/>
      <c r="M163" s="201">
        <v>3.3</v>
      </c>
      <c r="N163" s="201">
        <v>1.6</v>
      </c>
      <c r="O163" s="201">
        <v>0</v>
      </c>
      <c r="P163" s="201">
        <v>1170.3</v>
      </c>
      <c r="Q163" s="201">
        <v>1216.5</v>
      </c>
      <c r="R163" s="201"/>
      <c r="S163" s="201"/>
      <c r="T163" s="201">
        <v>3019.4</v>
      </c>
      <c r="U163" s="201">
        <v>14.4</v>
      </c>
      <c r="V163" s="201"/>
      <c r="W163" s="201"/>
      <c r="X163" s="201"/>
      <c r="Y163" s="201"/>
      <c r="Z163" s="201"/>
      <c r="AA163" s="61"/>
      <c r="AB163" s="201"/>
      <c r="AC163" s="61"/>
      <c r="AD163" s="201">
        <v>6</v>
      </c>
      <c r="AE163" s="61"/>
      <c r="AF163" s="61">
        <v>0</v>
      </c>
      <c r="AG163" s="61"/>
      <c r="AH163" s="61"/>
      <c r="AI163" s="61"/>
      <c r="AJ163" s="61"/>
      <c r="AK163" s="61"/>
      <c r="AL163" s="291">
        <v>20</v>
      </c>
      <c r="AM163" s="201">
        <v>18</v>
      </c>
      <c r="AN163" s="201">
        <v>14</v>
      </c>
      <c r="AO163" s="61"/>
      <c r="AP163" s="61"/>
      <c r="AQ163" s="61"/>
      <c r="AR163" s="61"/>
      <c r="AS163" s="101" t="s">
        <v>173</v>
      </c>
      <c r="AT163" s="206" t="str">
        <f t="shared" si="2"/>
        <v>44430-162</v>
      </c>
    </row>
    <row r="164" spans="1:46" x14ac:dyDescent="0.35">
      <c r="A164" s="204">
        <v>163</v>
      </c>
      <c r="B164" s="14" t="s">
        <v>83</v>
      </c>
      <c r="C164" s="1" t="s">
        <v>152</v>
      </c>
      <c r="D164" s="1" t="s">
        <v>161</v>
      </c>
      <c r="E164" s="12">
        <v>44430</v>
      </c>
      <c r="F164" s="201">
        <v>1.6</v>
      </c>
      <c r="G164" s="201">
        <v>1</v>
      </c>
      <c r="H164" s="201">
        <v>0</v>
      </c>
      <c r="I164" s="201">
        <v>0</v>
      </c>
      <c r="J164" s="201">
        <v>0</v>
      </c>
      <c r="K164" s="201">
        <v>0</v>
      </c>
      <c r="L164" s="201"/>
      <c r="M164" s="201">
        <v>3.4</v>
      </c>
      <c r="N164" s="201">
        <v>1.8</v>
      </c>
      <c r="O164" s="201">
        <v>0</v>
      </c>
      <c r="P164" s="201">
        <v>1209.7</v>
      </c>
      <c r="Q164" s="201">
        <v>1236.5</v>
      </c>
      <c r="R164" s="201"/>
      <c r="S164" s="201"/>
      <c r="T164" s="201">
        <v>3136.3</v>
      </c>
      <c r="U164" s="201">
        <v>14.1</v>
      </c>
      <c r="V164" s="201"/>
      <c r="W164" s="201"/>
      <c r="X164" s="201"/>
      <c r="Y164" s="201"/>
      <c r="Z164" s="201"/>
      <c r="AA164" s="61"/>
      <c r="AB164" s="201"/>
      <c r="AC164" s="61"/>
      <c r="AD164" s="201">
        <v>5.9</v>
      </c>
      <c r="AE164" s="61"/>
      <c r="AF164" s="61">
        <v>0</v>
      </c>
      <c r="AG164" s="61"/>
      <c r="AH164" s="61"/>
      <c r="AI164" s="61"/>
      <c r="AJ164" s="61"/>
      <c r="AK164" s="61"/>
      <c r="AL164" s="291">
        <v>19</v>
      </c>
      <c r="AM164" s="201">
        <v>18</v>
      </c>
      <c r="AN164" s="201">
        <v>13</v>
      </c>
      <c r="AO164" s="61"/>
      <c r="AP164" s="61"/>
      <c r="AQ164" s="61"/>
      <c r="AR164" s="61"/>
      <c r="AS164" s="101" t="s">
        <v>174</v>
      </c>
      <c r="AT164" s="206" t="str">
        <f t="shared" si="2"/>
        <v>44430-163</v>
      </c>
    </row>
    <row r="165" spans="1:46" x14ac:dyDescent="0.35">
      <c r="A165" s="204">
        <v>164</v>
      </c>
      <c r="B165" s="14" t="s">
        <v>83</v>
      </c>
      <c r="C165" s="1" t="s">
        <v>152</v>
      </c>
      <c r="D165" s="1" t="s">
        <v>161</v>
      </c>
      <c r="E165" s="12">
        <v>44430</v>
      </c>
      <c r="F165" s="201">
        <v>1.7</v>
      </c>
      <c r="G165" s="201">
        <v>0.8</v>
      </c>
      <c r="H165" s="201">
        <v>0</v>
      </c>
      <c r="I165" s="201">
        <v>0</v>
      </c>
      <c r="J165" s="201">
        <v>0</v>
      </c>
      <c r="K165" s="201">
        <v>0</v>
      </c>
      <c r="L165" s="201"/>
      <c r="M165" s="201">
        <v>3.4</v>
      </c>
      <c r="N165" s="201">
        <v>1.6</v>
      </c>
      <c r="O165" s="201">
        <v>0</v>
      </c>
      <c r="P165" s="201">
        <v>1208.4000000000001</v>
      </c>
      <c r="Q165" s="201">
        <v>1227.9000000000001</v>
      </c>
      <c r="R165" s="201"/>
      <c r="S165" s="201"/>
      <c r="T165" s="201">
        <v>3129.4</v>
      </c>
      <c r="U165" s="201">
        <v>13.9</v>
      </c>
      <c r="V165" s="201"/>
      <c r="W165" s="201"/>
      <c r="X165" s="201"/>
      <c r="Y165" s="201"/>
      <c r="Z165" s="201"/>
      <c r="AA165" s="61"/>
      <c r="AB165" s="201"/>
      <c r="AC165" s="61"/>
      <c r="AD165" s="201">
        <v>6</v>
      </c>
      <c r="AE165" s="61"/>
      <c r="AF165" s="61">
        <v>0</v>
      </c>
      <c r="AG165" s="61"/>
      <c r="AH165" s="61"/>
      <c r="AI165" s="61"/>
      <c r="AJ165" s="61"/>
      <c r="AK165" s="61"/>
      <c r="AL165" s="291">
        <v>19</v>
      </c>
      <c r="AM165" s="201">
        <v>18</v>
      </c>
      <c r="AN165" s="201">
        <v>13</v>
      </c>
      <c r="AO165" s="61"/>
      <c r="AP165" s="61"/>
      <c r="AQ165" s="61"/>
      <c r="AR165" s="61"/>
      <c r="AS165" s="101" t="s">
        <v>175</v>
      </c>
      <c r="AT165" s="206" t="str">
        <f t="shared" si="2"/>
        <v>44430-164</v>
      </c>
    </row>
    <row r="166" spans="1:46" x14ac:dyDescent="0.35">
      <c r="A166" s="204">
        <v>165</v>
      </c>
      <c r="B166" s="14" t="s">
        <v>83</v>
      </c>
      <c r="C166" s="1" t="s">
        <v>152</v>
      </c>
      <c r="D166" s="1" t="s">
        <v>161</v>
      </c>
      <c r="E166" s="12">
        <v>44431</v>
      </c>
      <c r="F166" s="201">
        <v>1.7</v>
      </c>
      <c r="G166" s="201">
        <v>0.9</v>
      </c>
      <c r="H166" s="201">
        <v>0</v>
      </c>
      <c r="I166" s="201">
        <v>0</v>
      </c>
      <c r="J166" s="201">
        <v>0</v>
      </c>
      <c r="K166" s="201">
        <v>0</v>
      </c>
      <c r="L166" s="201"/>
      <c r="M166" s="201">
        <v>3.2</v>
      </c>
      <c r="N166" s="201">
        <v>1.4</v>
      </c>
      <c r="O166" s="201">
        <v>0.1</v>
      </c>
      <c r="P166" s="201">
        <v>1216.8</v>
      </c>
      <c r="Q166" s="201">
        <v>1245</v>
      </c>
      <c r="R166" s="201"/>
      <c r="S166" s="201"/>
      <c r="T166" s="201">
        <v>3143.5</v>
      </c>
      <c r="U166" s="201">
        <v>12.8</v>
      </c>
      <c r="V166" s="201"/>
      <c r="W166" s="201"/>
      <c r="X166" s="201"/>
      <c r="Y166" s="201"/>
      <c r="Z166" s="201"/>
      <c r="AA166" s="61"/>
      <c r="AB166" s="201"/>
      <c r="AC166" s="61"/>
      <c r="AD166" s="201">
        <v>6.1</v>
      </c>
      <c r="AE166" s="61"/>
      <c r="AF166" s="61">
        <v>0</v>
      </c>
      <c r="AG166" s="61"/>
      <c r="AH166" s="61"/>
      <c r="AI166" s="61"/>
      <c r="AJ166" s="61"/>
      <c r="AK166" s="61"/>
      <c r="AL166" s="291">
        <v>20</v>
      </c>
      <c r="AM166" s="201">
        <v>18</v>
      </c>
      <c r="AN166" s="201">
        <v>12</v>
      </c>
      <c r="AO166" s="61"/>
      <c r="AP166" s="61"/>
      <c r="AQ166" s="61"/>
      <c r="AR166" s="61"/>
      <c r="AS166" s="101" t="s">
        <v>185</v>
      </c>
      <c r="AT166" s="206" t="str">
        <f t="shared" si="2"/>
        <v>44431-165</v>
      </c>
    </row>
    <row r="167" spans="1:46" x14ac:dyDescent="0.35">
      <c r="A167" s="204">
        <v>166</v>
      </c>
      <c r="B167" s="14" t="s">
        <v>83</v>
      </c>
      <c r="C167" s="1" t="s">
        <v>160</v>
      </c>
      <c r="D167" s="1" t="s">
        <v>161</v>
      </c>
      <c r="E167" s="12">
        <v>44434</v>
      </c>
      <c r="F167" s="201">
        <v>1.5</v>
      </c>
      <c r="G167" s="201">
        <v>1.3</v>
      </c>
      <c r="H167" s="201">
        <v>0</v>
      </c>
      <c r="I167" s="201">
        <v>0</v>
      </c>
      <c r="J167" s="201">
        <v>0</v>
      </c>
      <c r="K167" s="201">
        <v>0</v>
      </c>
      <c r="L167" s="201"/>
      <c r="M167" s="201">
        <v>7.6</v>
      </c>
      <c r="N167" s="201">
        <v>0.7</v>
      </c>
      <c r="O167" s="201">
        <v>2</v>
      </c>
      <c r="P167" s="201">
        <v>1256.7</v>
      </c>
      <c r="Q167" s="201">
        <v>1416.5</v>
      </c>
      <c r="R167" s="201"/>
      <c r="S167" s="201"/>
      <c r="T167" s="201">
        <v>2417.8000000000002</v>
      </c>
      <c r="U167" s="201">
        <v>499.1</v>
      </c>
      <c r="V167" s="201"/>
      <c r="W167" s="201"/>
      <c r="X167" s="201"/>
      <c r="Y167" s="201"/>
      <c r="Z167" s="201"/>
      <c r="AA167" s="61"/>
      <c r="AB167" s="201"/>
      <c r="AC167" s="61"/>
      <c r="AD167" s="201">
        <v>15.1</v>
      </c>
      <c r="AE167" s="61"/>
      <c r="AF167" s="61">
        <v>0</v>
      </c>
      <c r="AG167" s="61"/>
      <c r="AH167" s="61"/>
      <c r="AI167" s="61"/>
      <c r="AJ167" s="61"/>
      <c r="AK167" s="61"/>
      <c r="AL167" s="291">
        <v>24</v>
      </c>
      <c r="AM167" s="201">
        <v>22</v>
      </c>
      <c r="AN167" s="201">
        <v>14</v>
      </c>
      <c r="AO167" s="61"/>
      <c r="AP167" s="61"/>
      <c r="AQ167" s="61"/>
      <c r="AR167" s="61"/>
      <c r="AS167" s="101" t="s">
        <v>173</v>
      </c>
      <c r="AT167" s="206" t="str">
        <f t="shared" si="2"/>
        <v>44434-166</v>
      </c>
    </row>
    <row r="168" spans="1:46" x14ac:dyDescent="0.35">
      <c r="A168" s="204">
        <v>167</v>
      </c>
      <c r="B168" s="14" t="s">
        <v>83</v>
      </c>
      <c r="C168" s="1" t="s">
        <v>152</v>
      </c>
      <c r="D168" s="1" t="s">
        <v>161</v>
      </c>
      <c r="E168" s="12">
        <v>44434</v>
      </c>
      <c r="F168" s="201">
        <v>1.6</v>
      </c>
      <c r="G168" s="201">
        <v>1</v>
      </c>
      <c r="H168" s="201">
        <v>0</v>
      </c>
      <c r="I168" s="201">
        <v>0.1</v>
      </c>
      <c r="J168" s="201">
        <v>0</v>
      </c>
      <c r="K168" s="201">
        <v>0</v>
      </c>
      <c r="L168" s="201"/>
      <c r="M168" s="201">
        <v>4.0999999999999996</v>
      </c>
      <c r="N168" s="201">
        <v>2.8</v>
      </c>
      <c r="O168" s="201">
        <v>1.4</v>
      </c>
      <c r="P168" s="201">
        <v>1198.0999999999999</v>
      </c>
      <c r="Q168" s="201">
        <v>1277.0999999999999</v>
      </c>
      <c r="R168" s="201"/>
      <c r="S168" s="201"/>
      <c r="T168" s="201">
        <v>3067.7</v>
      </c>
      <c r="U168" s="201">
        <v>15.3</v>
      </c>
      <c r="V168" s="201"/>
      <c r="W168" s="201"/>
      <c r="X168" s="201"/>
      <c r="Y168" s="201"/>
      <c r="Z168" s="201"/>
      <c r="AA168" s="61"/>
      <c r="AB168" s="201"/>
      <c r="AC168" s="61"/>
      <c r="AD168" s="201">
        <v>6</v>
      </c>
      <c r="AE168" s="61"/>
      <c r="AF168" s="61">
        <v>0</v>
      </c>
      <c r="AG168" s="61"/>
      <c r="AH168" s="61"/>
      <c r="AI168" s="61"/>
      <c r="AJ168" s="61"/>
      <c r="AK168" s="61"/>
      <c r="AL168" s="291">
        <v>20</v>
      </c>
      <c r="AM168" s="201">
        <v>18</v>
      </c>
      <c r="AN168" s="201">
        <v>14</v>
      </c>
      <c r="AO168" s="61"/>
      <c r="AP168" s="61"/>
      <c r="AQ168" s="61"/>
      <c r="AR168" s="61"/>
      <c r="AS168" s="101" t="s">
        <v>174</v>
      </c>
      <c r="AT168" s="206" t="str">
        <f t="shared" si="2"/>
        <v>44434-167</v>
      </c>
    </row>
    <row r="169" spans="1:46" x14ac:dyDescent="0.35">
      <c r="A169" s="204">
        <v>168</v>
      </c>
      <c r="B169" s="14" t="s">
        <v>83</v>
      </c>
      <c r="C169" s="1" t="s">
        <v>160</v>
      </c>
      <c r="D169" s="1" t="s">
        <v>161</v>
      </c>
      <c r="E169" s="12">
        <v>44434</v>
      </c>
      <c r="F169" s="201">
        <v>1.4</v>
      </c>
      <c r="G169" s="201">
        <v>1.2</v>
      </c>
      <c r="H169" s="201">
        <v>0</v>
      </c>
      <c r="I169" s="201">
        <v>0</v>
      </c>
      <c r="J169" s="201">
        <v>0</v>
      </c>
      <c r="K169" s="201">
        <v>0</v>
      </c>
      <c r="L169" s="201"/>
      <c r="M169" s="201">
        <v>7.4</v>
      </c>
      <c r="N169" s="201">
        <v>0.6</v>
      </c>
      <c r="O169" s="201">
        <v>1.9</v>
      </c>
      <c r="P169" s="201">
        <v>1219.9000000000001</v>
      </c>
      <c r="Q169" s="201">
        <v>1369.9</v>
      </c>
      <c r="R169" s="201"/>
      <c r="S169" s="201"/>
      <c r="T169" s="201">
        <v>2359.9</v>
      </c>
      <c r="U169" s="201">
        <v>488.1</v>
      </c>
      <c r="V169" s="201"/>
      <c r="W169" s="201"/>
      <c r="X169" s="201"/>
      <c r="Y169" s="201"/>
      <c r="Z169" s="201"/>
      <c r="AA169" s="61"/>
      <c r="AB169" s="201"/>
      <c r="AC169" s="61"/>
      <c r="AD169" s="201">
        <v>14.8</v>
      </c>
      <c r="AE169" s="61"/>
      <c r="AF169" s="61">
        <v>0</v>
      </c>
      <c r="AG169" s="61"/>
      <c r="AH169" s="61"/>
      <c r="AI169" s="61"/>
      <c r="AJ169" s="61"/>
      <c r="AK169" s="61"/>
      <c r="AL169" s="291">
        <v>24</v>
      </c>
      <c r="AM169" s="201">
        <v>22</v>
      </c>
      <c r="AN169" s="201">
        <v>15</v>
      </c>
      <c r="AO169" s="61"/>
      <c r="AP169" s="61"/>
      <c r="AQ169" s="61"/>
      <c r="AR169" s="61"/>
      <c r="AS169" s="101" t="s">
        <v>175</v>
      </c>
      <c r="AT169" s="206" t="str">
        <f t="shared" si="2"/>
        <v>44434-168</v>
      </c>
    </row>
    <row r="170" spans="1:46" x14ac:dyDescent="0.35">
      <c r="A170" s="204">
        <v>169</v>
      </c>
      <c r="B170" s="14" t="s">
        <v>83</v>
      </c>
      <c r="C170" s="1" t="s">
        <v>160</v>
      </c>
      <c r="D170" s="1" t="s">
        <v>161</v>
      </c>
      <c r="E170" s="12">
        <v>44435</v>
      </c>
      <c r="F170" s="201">
        <v>1.4</v>
      </c>
      <c r="G170" s="201">
        <v>1.2</v>
      </c>
      <c r="H170" s="201">
        <v>0.1</v>
      </c>
      <c r="I170" s="201">
        <v>0</v>
      </c>
      <c r="J170" s="201">
        <v>0</v>
      </c>
      <c r="K170" s="201">
        <v>0</v>
      </c>
      <c r="L170" s="201"/>
      <c r="M170" s="201">
        <v>7.5</v>
      </c>
      <c r="N170" s="201">
        <v>1.3</v>
      </c>
      <c r="O170" s="201">
        <v>1.3</v>
      </c>
      <c r="P170" s="201">
        <v>1228.9000000000001</v>
      </c>
      <c r="Q170" s="201">
        <v>1397</v>
      </c>
      <c r="R170" s="201"/>
      <c r="S170" s="201"/>
      <c r="T170" s="201">
        <v>2355.9</v>
      </c>
      <c r="U170" s="201">
        <v>486</v>
      </c>
      <c r="V170" s="201"/>
      <c r="W170" s="201"/>
      <c r="X170" s="201"/>
      <c r="Y170" s="201"/>
      <c r="Z170" s="201"/>
      <c r="AA170" s="61"/>
      <c r="AB170" s="201"/>
      <c r="AC170" s="61"/>
      <c r="AD170" s="201">
        <v>15.2</v>
      </c>
      <c r="AE170" s="61"/>
      <c r="AF170" s="61">
        <v>0</v>
      </c>
      <c r="AG170" s="61"/>
      <c r="AH170" s="61"/>
      <c r="AI170" s="61"/>
      <c r="AJ170" s="61"/>
      <c r="AK170" s="61"/>
      <c r="AL170" s="291">
        <v>24</v>
      </c>
      <c r="AM170" s="201">
        <v>22</v>
      </c>
      <c r="AN170" s="201">
        <v>15</v>
      </c>
      <c r="AO170" s="61"/>
      <c r="AP170" s="61"/>
      <c r="AQ170" s="61"/>
      <c r="AR170" s="61"/>
      <c r="AS170" s="101" t="s">
        <v>185</v>
      </c>
      <c r="AT170" s="206" t="str">
        <f t="shared" si="2"/>
        <v>44435-169</v>
      </c>
    </row>
    <row r="171" spans="1:46" x14ac:dyDescent="0.35">
      <c r="A171" s="204">
        <v>170</v>
      </c>
      <c r="B171" s="14" t="s">
        <v>83</v>
      </c>
      <c r="C171" s="1" t="s">
        <v>152</v>
      </c>
      <c r="D171" s="1" t="s">
        <v>161</v>
      </c>
      <c r="E171" s="12">
        <v>44435</v>
      </c>
      <c r="F171" s="201">
        <v>1.7</v>
      </c>
      <c r="G171" s="201">
        <v>0.9</v>
      </c>
      <c r="H171" s="201">
        <v>0</v>
      </c>
      <c r="I171" s="201">
        <v>0</v>
      </c>
      <c r="J171" s="201">
        <v>0</v>
      </c>
      <c r="K171" s="201">
        <v>0</v>
      </c>
      <c r="L171" s="201"/>
      <c r="M171" s="201">
        <v>3.8</v>
      </c>
      <c r="N171" s="201">
        <v>2.6</v>
      </c>
      <c r="O171" s="201">
        <v>0</v>
      </c>
      <c r="P171" s="201">
        <v>1221.0999999999999</v>
      </c>
      <c r="Q171" s="201">
        <v>1300.5999999999999</v>
      </c>
      <c r="R171" s="201"/>
      <c r="S171" s="201"/>
      <c r="T171" s="201">
        <v>3135.2</v>
      </c>
      <c r="U171" s="201">
        <v>14.5</v>
      </c>
      <c r="V171" s="201"/>
      <c r="W171" s="201"/>
      <c r="X171" s="201"/>
      <c r="Y171" s="201"/>
      <c r="Z171" s="201"/>
      <c r="AA171" s="61"/>
      <c r="AB171" s="201"/>
      <c r="AC171" s="61"/>
      <c r="AD171" s="201">
        <v>6.1</v>
      </c>
      <c r="AE171" s="61"/>
      <c r="AF171" s="61">
        <v>0</v>
      </c>
      <c r="AG171" s="61"/>
      <c r="AH171" s="61"/>
      <c r="AI171" s="61"/>
      <c r="AJ171" s="61"/>
      <c r="AK171" s="61"/>
      <c r="AL171" s="291">
        <v>20</v>
      </c>
      <c r="AM171" s="201">
        <v>17</v>
      </c>
      <c r="AN171" s="201">
        <v>13</v>
      </c>
      <c r="AO171" s="61"/>
      <c r="AP171" s="61"/>
      <c r="AQ171" s="61"/>
      <c r="AR171" s="61"/>
      <c r="AS171" s="101" t="s">
        <v>184</v>
      </c>
      <c r="AT171" s="206" t="str">
        <f t="shared" si="2"/>
        <v>44435-170</v>
      </c>
    </row>
    <row r="172" spans="1:46" x14ac:dyDescent="0.35">
      <c r="A172" s="204">
        <v>171</v>
      </c>
      <c r="B172" s="14" t="s">
        <v>83</v>
      </c>
      <c r="C172" s="1" t="s">
        <v>152</v>
      </c>
      <c r="D172" s="1" t="s">
        <v>161</v>
      </c>
      <c r="E172" s="12">
        <v>44438</v>
      </c>
      <c r="F172" s="201">
        <v>1.9</v>
      </c>
      <c r="G172" s="201">
        <v>1</v>
      </c>
      <c r="H172" s="201">
        <v>0.2</v>
      </c>
      <c r="I172" s="201">
        <v>0</v>
      </c>
      <c r="J172" s="201">
        <v>0</v>
      </c>
      <c r="K172" s="201">
        <v>0</v>
      </c>
      <c r="L172" s="201"/>
      <c r="M172" s="201">
        <v>3.7</v>
      </c>
      <c r="N172" s="201">
        <v>2</v>
      </c>
      <c r="O172" s="201">
        <v>0</v>
      </c>
      <c r="P172" s="201">
        <v>1213.2</v>
      </c>
      <c r="Q172" s="201">
        <v>1258</v>
      </c>
      <c r="R172" s="201"/>
      <c r="S172" s="201"/>
      <c r="T172" s="201">
        <v>3183.3</v>
      </c>
      <c r="U172" s="201">
        <v>11.6</v>
      </c>
      <c r="V172" s="201"/>
      <c r="W172" s="201"/>
      <c r="X172" s="201"/>
      <c r="Y172" s="201"/>
      <c r="Z172" s="201"/>
      <c r="AA172" s="61"/>
      <c r="AB172" s="201"/>
      <c r="AC172" s="61"/>
      <c r="AD172" s="201">
        <v>6</v>
      </c>
      <c r="AE172" s="61"/>
      <c r="AF172" s="61">
        <v>0</v>
      </c>
      <c r="AG172" s="61"/>
      <c r="AH172" s="61"/>
      <c r="AI172" s="61"/>
      <c r="AJ172" s="61"/>
      <c r="AK172" s="61"/>
      <c r="AL172" s="291">
        <v>21</v>
      </c>
      <c r="AM172" s="201">
        <v>21</v>
      </c>
      <c r="AN172" s="201">
        <v>20</v>
      </c>
      <c r="AO172" s="61"/>
      <c r="AP172" s="61"/>
      <c r="AQ172" s="61"/>
      <c r="AR172" s="61"/>
      <c r="AS172" s="101" t="s">
        <v>178</v>
      </c>
      <c r="AT172" s="206" t="str">
        <f t="shared" si="2"/>
        <v>44438-171</v>
      </c>
    </row>
    <row r="173" spans="1:46" x14ac:dyDescent="0.35">
      <c r="A173" s="204">
        <v>172</v>
      </c>
      <c r="B173" s="14" t="s">
        <v>83</v>
      </c>
      <c r="C173" s="1" t="s">
        <v>160</v>
      </c>
      <c r="D173" s="1" t="s">
        <v>161</v>
      </c>
      <c r="E173" s="12">
        <v>44438</v>
      </c>
      <c r="F173" s="201">
        <v>1.5</v>
      </c>
      <c r="G173" s="201">
        <v>1.3</v>
      </c>
      <c r="H173" s="201">
        <v>0</v>
      </c>
      <c r="I173" s="201">
        <v>0</v>
      </c>
      <c r="J173" s="201">
        <v>0</v>
      </c>
      <c r="K173" s="201">
        <v>0</v>
      </c>
      <c r="L173" s="201"/>
      <c r="M173" s="201">
        <v>7.5</v>
      </c>
      <c r="N173" s="201">
        <v>0.7</v>
      </c>
      <c r="O173" s="201">
        <v>1.4</v>
      </c>
      <c r="P173" s="201">
        <v>1220.9000000000001</v>
      </c>
      <c r="Q173" s="201">
        <v>1347</v>
      </c>
      <c r="R173" s="201"/>
      <c r="S173" s="201"/>
      <c r="T173" s="201">
        <v>2401.9</v>
      </c>
      <c r="U173" s="201">
        <v>484.6</v>
      </c>
      <c r="V173" s="201"/>
      <c r="W173" s="201"/>
      <c r="X173" s="201"/>
      <c r="Y173" s="201"/>
      <c r="Z173" s="201"/>
      <c r="AA173" s="61"/>
      <c r="AB173" s="201"/>
      <c r="AC173" s="61"/>
      <c r="AD173" s="201">
        <v>15.1</v>
      </c>
      <c r="AE173" s="61"/>
      <c r="AF173" s="61">
        <v>0</v>
      </c>
      <c r="AG173" s="61"/>
      <c r="AH173" s="61"/>
      <c r="AI173" s="61"/>
      <c r="AJ173" s="61"/>
      <c r="AK173" s="61"/>
      <c r="AL173" s="291">
        <v>24</v>
      </c>
      <c r="AM173" s="201">
        <v>22</v>
      </c>
      <c r="AN173" s="201">
        <v>16</v>
      </c>
      <c r="AO173" s="61"/>
      <c r="AP173" s="61"/>
      <c r="AQ173" s="61"/>
      <c r="AR173" s="61"/>
      <c r="AS173" s="101" t="s">
        <v>179</v>
      </c>
      <c r="AT173" s="206" t="str">
        <f t="shared" si="2"/>
        <v>44438-172</v>
      </c>
    </row>
    <row r="174" spans="1:46" x14ac:dyDescent="0.35">
      <c r="A174" s="204">
        <v>173</v>
      </c>
      <c r="B174" s="14" t="s">
        <v>83</v>
      </c>
      <c r="C174" s="1" t="s">
        <v>198</v>
      </c>
      <c r="D174" s="1" t="s">
        <v>161</v>
      </c>
      <c r="E174" s="12">
        <v>44438</v>
      </c>
      <c r="F174" s="201">
        <v>1.8</v>
      </c>
      <c r="G174" s="201">
        <v>0.9</v>
      </c>
      <c r="H174" s="201">
        <v>0</v>
      </c>
      <c r="I174" s="201">
        <v>0</v>
      </c>
      <c r="J174" s="201">
        <v>0</v>
      </c>
      <c r="K174" s="201">
        <v>0</v>
      </c>
      <c r="L174" s="201"/>
      <c r="M174" s="201">
        <v>3.3</v>
      </c>
      <c r="N174" s="201">
        <v>2</v>
      </c>
      <c r="O174" s="201">
        <v>0.1</v>
      </c>
      <c r="P174" s="201">
        <v>1195.5</v>
      </c>
      <c r="Q174" s="201">
        <v>1227.7</v>
      </c>
      <c r="R174" s="201"/>
      <c r="S174" s="201"/>
      <c r="T174" s="201">
        <v>3117.3</v>
      </c>
      <c r="U174" s="201">
        <v>12.4</v>
      </c>
      <c r="V174" s="201"/>
      <c r="W174" s="201"/>
      <c r="X174" s="201"/>
      <c r="Y174" s="201"/>
      <c r="Z174" s="201"/>
      <c r="AA174" s="61"/>
      <c r="AB174" s="201"/>
      <c r="AC174" s="61"/>
      <c r="AD174" s="201">
        <v>11.2</v>
      </c>
      <c r="AE174" s="61"/>
      <c r="AF174" s="61">
        <v>0</v>
      </c>
      <c r="AG174" s="61"/>
      <c r="AH174" s="61"/>
      <c r="AI174" s="61"/>
      <c r="AJ174" s="61"/>
      <c r="AK174" s="61"/>
      <c r="AL174" s="291">
        <v>20</v>
      </c>
      <c r="AM174" s="201">
        <v>18</v>
      </c>
      <c r="AN174" s="201">
        <v>14</v>
      </c>
      <c r="AO174" s="61"/>
      <c r="AP174" s="61"/>
      <c r="AQ174" s="61"/>
      <c r="AR174" s="61"/>
      <c r="AS174" s="101" t="s">
        <v>180</v>
      </c>
      <c r="AT174" s="206" t="str">
        <f t="shared" si="2"/>
        <v>44438-173</v>
      </c>
    </row>
    <row r="175" spans="1:46" x14ac:dyDescent="0.35">
      <c r="A175" s="204">
        <v>174</v>
      </c>
      <c r="B175" s="14" t="s">
        <v>83</v>
      </c>
      <c r="C175" s="1" t="s">
        <v>198</v>
      </c>
      <c r="D175" s="1" t="s">
        <v>161</v>
      </c>
      <c r="E175" s="12">
        <v>44439</v>
      </c>
      <c r="F175" s="201">
        <v>1.9</v>
      </c>
      <c r="G175" s="201">
        <v>1.1000000000000001</v>
      </c>
      <c r="H175" s="201">
        <v>0.2</v>
      </c>
      <c r="I175" s="201">
        <v>0.2</v>
      </c>
      <c r="J175" s="201">
        <v>0</v>
      </c>
      <c r="K175" s="201">
        <v>0.1</v>
      </c>
      <c r="L175" s="201"/>
      <c r="M175" s="201">
        <v>3.2</v>
      </c>
      <c r="N175" s="201">
        <v>2.2000000000000002</v>
      </c>
      <c r="O175" s="201">
        <v>0</v>
      </c>
      <c r="P175" s="201">
        <v>1215.8</v>
      </c>
      <c r="Q175" s="201">
        <v>1275.7</v>
      </c>
      <c r="R175" s="201"/>
      <c r="S175" s="201"/>
      <c r="T175" s="201">
        <v>3058</v>
      </c>
      <c r="U175" s="201">
        <v>11.5</v>
      </c>
      <c r="V175" s="201"/>
      <c r="W175" s="201"/>
      <c r="X175" s="201"/>
      <c r="Y175" s="201"/>
      <c r="Z175" s="201"/>
      <c r="AA175" s="61"/>
      <c r="AB175" s="201"/>
      <c r="AC175" s="61"/>
      <c r="AD175" s="201">
        <v>11.2</v>
      </c>
      <c r="AE175" s="61"/>
      <c r="AF175" s="61">
        <v>0</v>
      </c>
      <c r="AG175" s="61"/>
      <c r="AH175" s="61"/>
      <c r="AI175" s="61"/>
      <c r="AJ175" s="61"/>
      <c r="AK175" s="61"/>
      <c r="AL175" s="291">
        <v>18</v>
      </c>
      <c r="AM175" s="201">
        <v>16</v>
      </c>
      <c r="AN175" s="201">
        <v>13</v>
      </c>
      <c r="AO175" s="61"/>
      <c r="AP175" s="61"/>
      <c r="AQ175" s="61"/>
      <c r="AR175" s="61"/>
      <c r="AS175" s="101" t="s">
        <v>216</v>
      </c>
      <c r="AT175" s="206" t="str">
        <f t="shared" si="2"/>
        <v>44439-174</v>
      </c>
    </row>
    <row r="176" spans="1:46" x14ac:dyDescent="0.35">
      <c r="A176" s="204">
        <v>175</v>
      </c>
      <c r="B176" s="14" t="s">
        <v>83</v>
      </c>
      <c r="C176" s="1" t="s">
        <v>160</v>
      </c>
      <c r="D176" s="1" t="s">
        <v>161</v>
      </c>
      <c r="E176" s="12">
        <v>44439</v>
      </c>
      <c r="F176" s="201">
        <v>1.4</v>
      </c>
      <c r="G176" s="201">
        <v>1.1000000000000001</v>
      </c>
      <c r="H176" s="201">
        <v>0.1</v>
      </c>
      <c r="I176" s="201">
        <v>0</v>
      </c>
      <c r="J176" s="201">
        <v>0</v>
      </c>
      <c r="K176" s="201">
        <v>0</v>
      </c>
      <c r="L176" s="201"/>
      <c r="M176" s="201">
        <v>8</v>
      </c>
      <c r="N176" s="201">
        <v>1.1000000000000001</v>
      </c>
      <c r="O176" s="201">
        <v>1.1000000000000001</v>
      </c>
      <c r="P176" s="201">
        <v>1238.5</v>
      </c>
      <c r="Q176" s="201">
        <v>1370.6</v>
      </c>
      <c r="R176" s="201"/>
      <c r="S176" s="201"/>
      <c r="T176" s="201">
        <v>2357.1999999999998</v>
      </c>
      <c r="U176" s="201">
        <v>490.8</v>
      </c>
      <c r="V176" s="201"/>
      <c r="W176" s="201"/>
      <c r="X176" s="201"/>
      <c r="Y176" s="201"/>
      <c r="Z176" s="201"/>
      <c r="AA176" s="61"/>
      <c r="AB176" s="201"/>
      <c r="AC176" s="61"/>
      <c r="AD176" s="201">
        <v>15.1</v>
      </c>
      <c r="AE176" s="61"/>
      <c r="AF176" s="61">
        <v>0</v>
      </c>
      <c r="AG176" s="61"/>
      <c r="AH176" s="61"/>
      <c r="AI176" s="61"/>
      <c r="AJ176" s="61"/>
      <c r="AK176" s="61"/>
      <c r="AL176" s="291">
        <v>24</v>
      </c>
      <c r="AM176" s="201">
        <v>22</v>
      </c>
      <c r="AN176" s="201">
        <v>15</v>
      </c>
      <c r="AO176" s="61"/>
      <c r="AP176" s="61"/>
      <c r="AQ176" s="61"/>
      <c r="AR176" s="61"/>
      <c r="AS176" s="101" t="s">
        <v>185</v>
      </c>
      <c r="AT176" s="206" t="str">
        <f t="shared" si="2"/>
        <v>44439-175</v>
      </c>
    </row>
    <row r="177" spans="1:46" x14ac:dyDescent="0.35">
      <c r="A177" s="204">
        <v>176</v>
      </c>
      <c r="B177" s="14" t="s">
        <v>83</v>
      </c>
      <c r="C177" s="1" t="s">
        <v>152</v>
      </c>
      <c r="D177" s="1" t="s">
        <v>161</v>
      </c>
      <c r="E177" s="12">
        <v>44439</v>
      </c>
      <c r="F177" s="201">
        <v>1.8</v>
      </c>
      <c r="G177" s="201">
        <v>1</v>
      </c>
      <c r="H177" s="201">
        <v>0</v>
      </c>
      <c r="I177" s="201">
        <v>0</v>
      </c>
      <c r="J177" s="201">
        <v>0</v>
      </c>
      <c r="K177" s="201">
        <v>0</v>
      </c>
      <c r="L177" s="201"/>
      <c r="M177" s="201">
        <v>3.6</v>
      </c>
      <c r="N177" s="201">
        <v>1.9</v>
      </c>
      <c r="O177" s="201">
        <v>0</v>
      </c>
      <c r="P177" s="201">
        <v>1227.4000000000001</v>
      </c>
      <c r="Q177" s="201">
        <v>1289.2</v>
      </c>
      <c r="R177" s="201"/>
      <c r="S177" s="201"/>
      <c r="T177" s="201">
        <v>3108.5</v>
      </c>
      <c r="U177" s="201">
        <v>12.2</v>
      </c>
      <c r="V177" s="201"/>
      <c r="W177" s="201"/>
      <c r="X177" s="201"/>
      <c r="Y177" s="201"/>
      <c r="Z177" s="201"/>
      <c r="AA177" s="61"/>
      <c r="AB177" s="201"/>
      <c r="AC177" s="61"/>
      <c r="AD177" s="201">
        <v>6</v>
      </c>
      <c r="AE177" s="61"/>
      <c r="AF177" s="61">
        <v>0</v>
      </c>
      <c r="AG177" s="61"/>
      <c r="AH177" s="61"/>
      <c r="AI177" s="61"/>
      <c r="AJ177" s="61"/>
      <c r="AK177" s="61"/>
      <c r="AL177" s="291">
        <v>16</v>
      </c>
      <c r="AM177" s="201">
        <v>13</v>
      </c>
      <c r="AN177" s="201">
        <v>10</v>
      </c>
      <c r="AO177" s="61"/>
      <c r="AP177" s="61"/>
      <c r="AQ177" s="61"/>
      <c r="AR177" s="61"/>
      <c r="AS177" s="101" t="s">
        <v>184</v>
      </c>
      <c r="AT177" s="206" t="str">
        <f t="shared" si="2"/>
        <v>44439-176</v>
      </c>
    </row>
    <row r="178" spans="1:46" x14ac:dyDescent="0.35">
      <c r="A178" s="204">
        <v>177</v>
      </c>
      <c r="B178" s="14" t="s">
        <v>73</v>
      </c>
      <c r="C178" s="1" t="s">
        <v>157</v>
      </c>
      <c r="D178" s="1" t="s">
        <v>150</v>
      </c>
      <c r="E178" s="12">
        <v>44440</v>
      </c>
      <c r="F178" s="201">
        <v>0</v>
      </c>
      <c r="G178" s="201">
        <v>1</v>
      </c>
      <c r="H178" s="201">
        <v>0</v>
      </c>
      <c r="I178" s="201">
        <v>0</v>
      </c>
      <c r="J178" s="201">
        <v>0</v>
      </c>
      <c r="K178" s="201">
        <v>0</v>
      </c>
      <c r="L178" s="201">
        <v>0</v>
      </c>
      <c r="M178" s="201">
        <v>14</v>
      </c>
      <c r="N178" s="201">
        <v>0</v>
      </c>
      <c r="O178" s="201">
        <v>0</v>
      </c>
      <c r="P178" s="201">
        <v>2</v>
      </c>
      <c r="Q178" s="201">
        <v>138</v>
      </c>
      <c r="R178" s="201">
        <v>24</v>
      </c>
      <c r="S178" s="201">
        <v>0</v>
      </c>
      <c r="T178" s="201">
        <v>7</v>
      </c>
      <c r="U178" s="201">
        <v>0</v>
      </c>
      <c r="V178" s="201">
        <v>1</v>
      </c>
      <c r="W178" s="201">
        <v>0</v>
      </c>
      <c r="X178" s="201">
        <v>0</v>
      </c>
      <c r="Y178" s="201">
        <v>0</v>
      </c>
      <c r="Z178" s="201">
        <v>0</v>
      </c>
      <c r="AA178" s="61"/>
      <c r="AB178" s="201">
        <v>0</v>
      </c>
      <c r="AC178" s="61"/>
      <c r="AD178" s="201">
        <v>78.67</v>
      </c>
      <c r="AE178" s="61"/>
      <c r="AF178" s="61"/>
      <c r="AG178" s="61"/>
      <c r="AH178" s="61"/>
      <c r="AI178" s="61"/>
      <c r="AJ178" s="61"/>
      <c r="AK178" s="61"/>
      <c r="AL178" s="291">
        <v>19</v>
      </c>
      <c r="AM178" s="201">
        <v>16</v>
      </c>
      <c r="AN178" s="201">
        <v>12</v>
      </c>
      <c r="AO178" s="61"/>
      <c r="AP178" s="61"/>
      <c r="AQ178" s="61"/>
      <c r="AR178" s="61"/>
      <c r="AS178" s="101" t="s">
        <v>158</v>
      </c>
      <c r="AT178" s="206" t="str">
        <f t="shared" si="2"/>
        <v>44440-177</v>
      </c>
    </row>
    <row r="179" spans="1:46" x14ac:dyDescent="0.35">
      <c r="A179" s="204">
        <v>178</v>
      </c>
      <c r="B179" s="14" t="s">
        <v>73</v>
      </c>
      <c r="C179" s="1" t="s">
        <v>149</v>
      </c>
      <c r="D179" s="1" t="s">
        <v>150</v>
      </c>
      <c r="E179" s="12">
        <v>44440</v>
      </c>
      <c r="F179" s="201">
        <v>1</v>
      </c>
      <c r="G179" s="201">
        <v>1</v>
      </c>
      <c r="H179" s="201">
        <v>0</v>
      </c>
      <c r="I179" s="201">
        <v>0</v>
      </c>
      <c r="J179" s="201">
        <v>0</v>
      </c>
      <c r="K179" s="201">
        <v>0</v>
      </c>
      <c r="L179" s="201">
        <v>0</v>
      </c>
      <c r="M179" s="201">
        <v>3</v>
      </c>
      <c r="N179" s="201">
        <v>3</v>
      </c>
      <c r="O179" s="201">
        <v>0</v>
      </c>
      <c r="P179" s="201">
        <v>1365</v>
      </c>
      <c r="Q179" s="201">
        <v>766</v>
      </c>
      <c r="R179" s="201">
        <v>0</v>
      </c>
      <c r="S179" s="201">
        <v>0</v>
      </c>
      <c r="T179" s="201">
        <v>3021</v>
      </c>
      <c r="U179" s="201">
        <v>20</v>
      </c>
      <c r="V179" s="201">
        <v>1</v>
      </c>
      <c r="W179" s="201">
        <v>0</v>
      </c>
      <c r="X179" s="201">
        <v>0</v>
      </c>
      <c r="Y179" s="201">
        <v>0</v>
      </c>
      <c r="Z179" s="201">
        <v>0</v>
      </c>
      <c r="AA179" s="61"/>
      <c r="AB179" s="201">
        <v>0</v>
      </c>
      <c r="AC179" s="61"/>
      <c r="AD179" s="201">
        <v>18.64</v>
      </c>
      <c r="AE179" s="61"/>
      <c r="AF179" s="61"/>
      <c r="AG179" s="61"/>
      <c r="AH179" s="61"/>
      <c r="AI179" s="61"/>
      <c r="AJ179" s="61"/>
      <c r="AK179" s="61"/>
      <c r="AL179" s="291">
        <v>20</v>
      </c>
      <c r="AM179" s="201">
        <v>18</v>
      </c>
      <c r="AN179" s="201">
        <v>11</v>
      </c>
      <c r="AO179" s="61"/>
      <c r="AP179" s="61"/>
      <c r="AQ179" s="61"/>
      <c r="AR179" s="61"/>
      <c r="AS179" s="101" t="s">
        <v>158</v>
      </c>
      <c r="AT179" s="206" t="str">
        <f t="shared" si="2"/>
        <v>44440-178</v>
      </c>
    </row>
    <row r="180" spans="1:46" x14ac:dyDescent="0.35">
      <c r="A180" s="204">
        <v>179</v>
      </c>
      <c r="B180" s="14" t="s">
        <v>83</v>
      </c>
      <c r="C180" s="1" t="s">
        <v>160</v>
      </c>
      <c r="D180" s="1" t="s">
        <v>161</v>
      </c>
      <c r="E180" s="12">
        <v>44444</v>
      </c>
      <c r="F180" s="201">
        <v>1.6</v>
      </c>
      <c r="G180" s="201">
        <v>1.4</v>
      </c>
      <c r="H180" s="201">
        <v>0.1</v>
      </c>
      <c r="I180" s="201">
        <v>0</v>
      </c>
      <c r="J180" s="201">
        <v>0</v>
      </c>
      <c r="K180" s="201">
        <v>0</v>
      </c>
      <c r="L180" s="201"/>
      <c r="M180" s="201">
        <v>9.4</v>
      </c>
      <c r="N180" s="201">
        <v>0.4</v>
      </c>
      <c r="O180" s="201">
        <v>1.3</v>
      </c>
      <c r="P180" s="201">
        <v>1152</v>
      </c>
      <c r="Q180" s="201">
        <v>1382</v>
      </c>
      <c r="R180" s="201"/>
      <c r="S180" s="201"/>
      <c r="T180" s="201">
        <v>2183</v>
      </c>
      <c r="U180" s="201">
        <v>440.1</v>
      </c>
      <c r="V180" s="201"/>
      <c r="W180" s="201"/>
      <c r="X180" s="201"/>
      <c r="Y180" s="201"/>
      <c r="Z180" s="201"/>
      <c r="AA180" s="61"/>
      <c r="AB180" s="201"/>
      <c r="AC180" s="61"/>
      <c r="AD180" s="201">
        <v>15.5</v>
      </c>
      <c r="AE180" s="61"/>
      <c r="AF180" s="61">
        <v>0</v>
      </c>
      <c r="AG180" s="61"/>
      <c r="AH180" s="61"/>
      <c r="AI180" s="61"/>
      <c r="AJ180" s="61"/>
      <c r="AK180" s="61"/>
      <c r="AL180" s="291">
        <v>23</v>
      </c>
      <c r="AM180" s="201">
        <v>22</v>
      </c>
      <c r="AN180" s="201">
        <v>14</v>
      </c>
      <c r="AO180" s="61"/>
      <c r="AP180" s="61"/>
      <c r="AQ180" s="61"/>
      <c r="AR180" s="61"/>
      <c r="AS180" s="101" t="s">
        <v>217</v>
      </c>
      <c r="AT180" s="206" t="str">
        <f t="shared" si="2"/>
        <v>44444-179</v>
      </c>
    </row>
    <row r="181" spans="1:46" x14ac:dyDescent="0.35">
      <c r="A181" s="204">
        <v>180</v>
      </c>
      <c r="B181" s="14" t="s">
        <v>83</v>
      </c>
      <c r="C181" s="1" t="s">
        <v>152</v>
      </c>
      <c r="D181" s="1" t="s">
        <v>161</v>
      </c>
      <c r="E181" s="12">
        <v>44444</v>
      </c>
      <c r="F181" s="201">
        <v>2</v>
      </c>
      <c r="G181" s="201">
        <v>1.1000000000000001</v>
      </c>
      <c r="H181" s="201">
        <v>0</v>
      </c>
      <c r="I181" s="201">
        <v>0</v>
      </c>
      <c r="J181" s="201">
        <v>0</v>
      </c>
      <c r="K181" s="201">
        <v>0</v>
      </c>
      <c r="L181" s="201"/>
      <c r="M181" s="201">
        <v>4.0999999999999996</v>
      </c>
      <c r="N181" s="201">
        <v>2.5</v>
      </c>
      <c r="O181" s="201">
        <v>0</v>
      </c>
      <c r="P181" s="201">
        <v>1165</v>
      </c>
      <c r="Q181" s="201">
        <v>1292</v>
      </c>
      <c r="R181" s="201"/>
      <c r="S181" s="201"/>
      <c r="T181" s="201">
        <v>2945</v>
      </c>
      <c r="U181" s="201">
        <v>17</v>
      </c>
      <c r="V181" s="201"/>
      <c r="W181" s="201"/>
      <c r="X181" s="201"/>
      <c r="Y181" s="201"/>
      <c r="Z181" s="201"/>
      <c r="AA181" s="61"/>
      <c r="AB181" s="201"/>
      <c r="AC181" s="61"/>
      <c r="AD181" s="201">
        <v>6</v>
      </c>
      <c r="AE181" s="61"/>
      <c r="AF181" s="61">
        <v>0</v>
      </c>
      <c r="AG181" s="61"/>
      <c r="AH181" s="61"/>
      <c r="AI181" s="61"/>
      <c r="AJ181" s="61"/>
      <c r="AK181" s="61"/>
      <c r="AL181" s="291">
        <v>19</v>
      </c>
      <c r="AM181" s="201">
        <v>17</v>
      </c>
      <c r="AN181" s="201">
        <v>11</v>
      </c>
      <c r="AO181" s="61"/>
      <c r="AP181" s="61"/>
      <c r="AQ181" s="61"/>
      <c r="AR181" s="61"/>
      <c r="AS181" s="101" t="s">
        <v>218</v>
      </c>
      <c r="AT181" s="206" t="str">
        <f t="shared" si="2"/>
        <v>44444-180</v>
      </c>
    </row>
    <row r="182" spans="1:46" x14ac:dyDescent="0.35">
      <c r="A182" s="204">
        <v>181</v>
      </c>
      <c r="B182" s="14" t="s">
        <v>83</v>
      </c>
      <c r="C182" s="1" t="s">
        <v>198</v>
      </c>
      <c r="D182" s="1" t="s">
        <v>161</v>
      </c>
      <c r="E182" s="12">
        <v>44444</v>
      </c>
      <c r="F182" s="201">
        <v>2.1</v>
      </c>
      <c r="G182" s="201">
        <v>1.1000000000000001</v>
      </c>
      <c r="H182" s="201">
        <v>0</v>
      </c>
      <c r="I182" s="201">
        <v>0</v>
      </c>
      <c r="J182" s="201">
        <v>0</v>
      </c>
      <c r="K182" s="201">
        <v>0</v>
      </c>
      <c r="L182" s="201"/>
      <c r="M182" s="201">
        <v>4.2</v>
      </c>
      <c r="N182" s="201">
        <v>2.2000000000000002</v>
      </c>
      <c r="O182" s="201">
        <v>0</v>
      </c>
      <c r="P182" s="201">
        <v>1171</v>
      </c>
      <c r="Q182" s="201">
        <v>1306</v>
      </c>
      <c r="R182" s="201"/>
      <c r="S182" s="201"/>
      <c r="T182" s="201">
        <v>2966</v>
      </c>
      <c r="U182" s="201">
        <v>10.1</v>
      </c>
      <c r="V182" s="201"/>
      <c r="W182" s="201"/>
      <c r="X182" s="201"/>
      <c r="Y182" s="201"/>
      <c r="Z182" s="201"/>
      <c r="AA182" s="61"/>
      <c r="AB182" s="201"/>
      <c r="AC182" s="61"/>
      <c r="AD182" s="201">
        <v>11.2</v>
      </c>
      <c r="AE182" s="61"/>
      <c r="AF182" s="61">
        <v>0</v>
      </c>
      <c r="AG182" s="61"/>
      <c r="AH182" s="61"/>
      <c r="AI182" s="61"/>
      <c r="AJ182" s="61"/>
      <c r="AK182" s="61"/>
      <c r="AL182" s="291">
        <v>19</v>
      </c>
      <c r="AM182" s="201">
        <v>18</v>
      </c>
      <c r="AN182" s="201">
        <v>12</v>
      </c>
      <c r="AO182" s="61"/>
      <c r="AP182" s="61"/>
      <c r="AQ182" s="61"/>
      <c r="AR182" s="61"/>
      <c r="AS182" s="101" t="s">
        <v>219</v>
      </c>
      <c r="AT182" s="206" t="str">
        <f t="shared" si="2"/>
        <v>44444-181</v>
      </c>
    </row>
    <row r="183" spans="1:46" x14ac:dyDescent="0.35">
      <c r="A183" s="204">
        <v>182</v>
      </c>
      <c r="B183" s="14" t="s">
        <v>83</v>
      </c>
      <c r="C183" s="1" t="s">
        <v>152</v>
      </c>
      <c r="D183" s="1" t="s">
        <v>161</v>
      </c>
      <c r="E183" s="12">
        <v>44446</v>
      </c>
      <c r="F183" s="201">
        <v>1.9</v>
      </c>
      <c r="G183" s="201">
        <v>1</v>
      </c>
      <c r="H183" s="201">
        <v>0</v>
      </c>
      <c r="I183" s="201">
        <v>0</v>
      </c>
      <c r="J183" s="201">
        <v>0</v>
      </c>
      <c r="K183" s="201">
        <v>0</v>
      </c>
      <c r="L183" s="201"/>
      <c r="M183" s="201">
        <v>4.5999999999999996</v>
      </c>
      <c r="N183" s="201">
        <v>2.4</v>
      </c>
      <c r="O183" s="201">
        <v>0.4</v>
      </c>
      <c r="P183" s="201">
        <v>1224.4000000000001</v>
      </c>
      <c r="Q183" s="201">
        <v>1328.6</v>
      </c>
      <c r="R183" s="201"/>
      <c r="S183" s="201"/>
      <c r="T183" s="201">
        <v>3173.4</v>
      </c>
      <c r="U183" s="201">
        <v>12</v>
      </c>
      <c r="V183" s="201"/>
      <c r="W183" s="201"/>
      <c r="X183" s="201"/>
      <c r="Y183" s="201"/>
      <c r="Z183" s="201"/>
      <c r="AA183" s="61"/>
      <c r="AB183" s="201"/>
      <c r="AC183" s="61"/>
      <c r="AD183" s="201">
        <v>5.9</v>
      </c>
      <c r="AE183" s="61"/>
      <c r="AF183" s="61">
        <v>0</v>
      </c>
      <c r="AG183" s="61"/>
      <c r="AH183" s="61"/>
      <c r="AI183" s="61"/>
      <c r="AJ183" s="61"/>
      <c r="AK183" s="61"/>
      <c r="AL183" s="291">
        <v>20</v>
      </c>
      <c r="AM183" s="201">
        <v>18</v>
      </c>
      <c r="AN183" s="201">
        <v>14</v>
      </c>
      <c r="AO183" s="61"/>
      <c r="AP183" s="61"/>
      <c r="AQ183" s="61"/>
      <c r="AR183" s="61"/>
      <c r="AS183" s="101" t="s">
        <v>162</v>
      </c>
      <c r="AT183" s="206" t="str">
        <f t="shared" si="2"/>
        <v>44446-182</v>
      </c>
    </row>
    <row r="184" spans="1:46" x14ac:dyDescent="0.35">
      <c r="A184" s="204">
        <v>183</v>
      </c>
      <c r="B184" s="14" t="s">
        <v>83</v>
      </c>
      <c r="C184" s="1" t="s">
        <v>160</v>
      </c>
      <c r="D184" s="1" t="s">
        <v>161</v>
      </c>
      <c r="E184" s="12">
        <v>44446</v>
      </c>
      <c r="F184" s="201">
        <v>1.5</v>
      </c>
      <c r="G184" s="201">
        <v>1.3</v>
      </c>
      <c r="H184" s="201">
        <v>0</v>
      </c>
      <c r="I184" s="201">
        <v>0</v>
      </c>
      <c r="J184" s="201">
        <v>0</v>
      </c>
      <c r="K184" s="201">
        <v>0</v>
      </c>
      <c r="L184" s="201"/>
      <c r="M184" s="201">
        <v>8.8000000000000007</v>
      </c>
      <c r="N184" s="201">
        <v>0.1</v>
      </c>
      <c r="O184" s="201">
        <v>2.7</v>
      </c>
      <c r="P184" s="201">
        <v>1214.5999999999999</v>
      </c>
      <c r="Q184" s="201">
        <v>1383.4</v>
      </c>
      <c r="R184" s="201"/>
      <c r="S184" s="201"/>
      <c r="T184" s="201">
        <v>2328.6999999999998</v>
      </c>
      <c r="U184" s="201">
        <v>482.3</v>
      </c>
      <c r="V184" s="201"/>
      <c r="W184" s="201"/>
      <c r="X184" s="201"/>
      <c r="Y184" s="201"/>
      <c r="Z184" s="201"/>
      <c r="AA184" s="61"/>
      <c r="AB184" s="201"/>
      <c r="AC184" s="61"/>
      <c r="AD184" s="201">
        <v>15.1</v>
      </c>
      <c r="AE184" s="61"/>
      <c r="AF184" s="61">
        <v>0</v>
      </c>
      <c r="AG184" s="61"/>
      <c r="AH184" s="61"/>
      <c r="AI184" s="61"/>
      <c r="AJ184" s="61"/>
      <c r="AK184" s="61"/>
      <c r="AL184" s="291">
        <v>24</v>
      </c>
      <c r="AM184" s="201">
        <v>22</v>
      </c>
      <c r="AN184" s="201">
        <v>15</v>
      </c>
      <c r="AO184" s="61"/>
      <c r="AP184" s="61"/>
      <c r="AQ184" s="61"/>
      <c r="AR184" s="61"/>
      <c r="AS184" s="101" t="s">
        <v>163</v>
      </c>
      <c r="AT184" s="206" t="str">
        <f t="shared" si="2"/>
        <v>44446-183</v>
      </c>
    </row>
    <row r="185" spans="1:46" x14ac:dyDescent="0.35">
      <c r="A185" s="204">
        <v>184</v>
      </c>
      <c r="B185" s="14" t="s">
        <v>83</v>
      </c>
      <c r="C185" s="1" t="s">
        <v>160</v>
      </c>
      <c r="D185" s="1" t="s">
        <v>161</v>
      </c>
      <c r="E185" s="12">
        <v>44446</v>
      </c>
      <c r="F185" s="201">
        <v>1.4</v>
      </c>
      <c r="G185" s="201">
        <v>1.3</v>
      </c>
      <c r="H185" s="201">
        <v>0</v>
      </c>
      <c r="I185" s="201">
        <v>0</v>
      </c>
      <c r="J185" s="201">
        <v>0</v>
      </c>
      <c r="K185" s="201">
        <v>0</v>
      </c>
      <c r="L185" s="201"/>
      <c r="M185" s="201">
        <v>9.1</v>
      </c>
      <c r="N185" s="201">
        <v>0.1</v>
      </c>
      <c r="O185" s="201">
        <v>2.6</v>
      </c>
      <c r="P185" s="201">
        <v>1228.5</v>
      </c>
      <c r="Q185" s="201">
        <v>1397.4</v>
      </c>
      <c r="R185" s="201"/>
      <c r="S185" s="201"/>
      <c r="T185" s="201">
        <v>2354.4</v>
      </c>
      <c r="U185" s="201">
        <v>487.9</v>
      </c>
      <c r="V185" s="201"/>
      <c r="W185" s="201"/>
      <c r="X185" s="201"/>
      <c r="Y185" s="201"/>
      <c r="Z185" s="201"/>
      <c r="AA185" s="61"/>
      <c r="AB185" s="201"/>
      <c r="AC185" s="61"/>
      <c r="AD185" s="201">
        <v>15.1</v>
      </c>
      <c r="AE185" s="61"/>
      <c r="AF185" s="61">
        <v>0</v>
      </c>
      <c r="AG185" s="61"/>
      <c r="AH185" s="61"/>
      <c r="AI185" s="61"/>
      <c r="AJ185" s="61"/>
      <c r="AK185" s="61"/>
      <c r="AL185" s="291">
        <v>24</v>
      </c>
      <c r="AM185" s="201">
        <v>22</v>
      </c>
      <c r="AN185" s="201">
        <v>15</v>
      </c>
      <c r="AO185" s="61"/>
      <c r="AP185" s="61"/>
      <c r="AQ185" s="61"/>
      <c r="AR185" s="61"/>
      <c r="AS185" s="101" t="s">
        <v>164</v>
      </c>
      <c r="AT185" s="206" t="str">
        <f t="shared" si="2"/>
        <v>44446-184</v>
      </c>
    </row>
    <row r="186" spans="1:46" x14ac:dyDescent="0.35">
      <c r="A186" s="204">
        <v>185</v>
      </c>
      <c r="B186" s="14" t="s">
        <v>83</v>
      </c>
      <c r="C186" s="1" t="s">
        <v>152</v>
      </c>
      <c r="D186" s="1" t="s">
        <v>161</v>
      </c>
      <c r="E186" s="12">
        <v>44449</v>
      </c>
      <c r="F186" s="201">
        <v>1.6</v>
      </c>
      <c r="G186" s="201">
        <v>0.8</v>
      </c>
      <c r="H186" s="201">
        <v>0</v>
      </c>
      <c r="I186" s="201">
        <v>0</v>
      </c>
      <c r="J186" s="201">
        <v>0</v>
      </c>
      <c r="K186" s="201">
        <v>0</v>
      </c>
      <c r="L186" s="201"/>
      <c r="M186" s="201">
        <v>4.3</v>
      </c>
      <c r="N186" s="201">
        <v>2.1</v>
      </c>
      <c r="O186" s="201">
        <v>0.4</v>
      </c>
      <c r="P186" s="201">
        <v>1193.2</v>
      </c>
      <c r="Q186" s="201">
        <v>1272.0999999999999</v>
      </c>
      <c r="R186" s="201"/>
      <c r="S186" s="201"/>
      <c r="T186" s="201">
        <v>3119</v>
      </c>
      <c r="U186" s="201">
        <v>12.4</v>
      </c>
      <c r="V186" s="201"/>
      <c r="W186" s="201"/>
      <c r="X186" s="201"/>
      <c r="Y186" s="201"/>
      <c r="Z186" s="201"/>
      <c r="AA186" s="61"/>
      <c r="AB186" s="201"/>
      <c r="AC186" s="61"/>
      <c r="AD186" s="201">
        <v>5.9</v>
      </c>
      <c r="AE186" s="61"/>
      <c r="AF186" s="61">
        <v>0</v>
      </c>
      <c r="AG186" s="61"/>
      <c r="AH186" s="61"/>
      <c r="AI186" s="61"/>
      <c r="AJ186" s="61"/>
      <c r="AK186" s="61"/>
      <c r="AL186" s="291">
        <v>19</v>
      </c>
      <c r="AM186" s="201">
        <v>17</v>
      </c>
      <c r="AN186" s="201">
        <v>13</v>
      </c>
      <c r="AO186" s="61"/>
      <c r="AP186" s="61"/>
      <c r="AQ186" s="61"/>
      <c r="AR186" s="61"/>
      <c r="AS186" s="101" t="s">
        <v>178</v>
      </c>
      <c r="AT186" s="206" t="str">
        <f t="shared" si="2"/>
        <v>44449-185</v>
      </c>
    </row>
    <row r="187" spans="1:46" x14ac:dyDescent="0.35">
      <c r="A187" s="204">
        <v>186</v>
      </c>
      <c r="B187" s="14" t="s">
        <v>83</v>
      </c>
      <c r="C187" s="1" t="s">
        <v>160</v>
      </c>
      <c r="D187" s="1" t="s">
        <v>161</v>
      </c>
      <c r="E187" s="12">
        <v>44449</v>
      </c>
      <c r="F187" s="201">
        <v>1.3</v>
      </c>
      <c r="G187" s="201">
        <v>1.3</v>
      </c>
      <c r="H187" s="201">
        <v>0</v>
      </c>
      <c r="I187" s="201">
        <v>0</v>
      </c>
      <c r="J187" s="201">
        <v>0</v>
      </c>
      <c r="K187" s="201">
        <v>0</v>
      </c>
      <c r="L187" s="201"/>
      <c r="M187" s="201">
        <v>8.8000000000000007</v>
      </c>
      <c r="N187" s="201">
        <v>0.9</v>
      </c>
      <c r="O187" s="201">
        <v>1.9</v>
      </c>
      <c r="P187" s="201">
        <v>1201.2</v>
      </c>
      <c r="Q187" s="201">
        <v>1407.2</v>
      </c>
      <c r="R187" s="201"/>
      <c r="S187" s="201"/>
      <c r="T187" s="201">
        <v>2307.6</v>
      </c>
      <c r="U187" s="201">
        <v>474.3</v>
      </c>
      <c r="V187" s="201"/>
      <c r="W187" s="201"/>
      <c r="X187" s="201"/>
      <c r="Y187" s="201"/>
      <c r="Z187" s="201"/>
      <c r="AA187" s="61"/>
      <c r="AB187" s="201"/>
      <c r="AC187" s="61"/>
      <c r="AD187" s="201">
        <v>14.9</v>
      </c>
      <c r="AE187" s="61"/>
      <c r="AF187" s="61">
        <v>0</v>
      </c>
      <c r="AG187" s="61"/>
      <c r="AH187" s="61"/>
      <c r="AI187" s="61"/>
      <c r="AJ187" s="61"/>
      <c r="AK187" s="61"/>
      <c r="AL187" s="291">
        <v>24</v>
      </c>
      <c r="AM187" s="201">
        <v>22</v>
      </c>
      <c r="AN187" s="201">
        <v>15</v>
      </c>
      <c r="AO187" s="61"/>
      <c r="AP187" s="61"/>
      <c r="AQ187" s="61"/>
      <c r="AR187" s="61"/>
      <c r="AS187" s="101" t="s">
        <v>179</v>
      </c>
      <c r="AT187" s="206" t="str">
        <f t="shared" si="2"/>
        <v>44449-186</v>
      </c>
    </row>
    <row r="188" spans="1:46" x14ac:dyDescent="0.35">
      <c r="A188" s="204">
        <v>187</v>
      </c>
      <c r="B188" s="14" t="s">
        <v>83</v>
      </c>
      <c r="C188" s="1" t="s">
        <v>160</v>
      </c>
      <c r="D188" s="1" t="s">
        <v>161</v>
      </c>
      <c r="E188" s="12">
        <v>44449</v>
      </c>
      <c r="F188" s="201">
        <v>1.3</v>
      </c>
      <c r="G188" s="201">
        <v>1.3</v>
      </c>
      <c r="H188" s="201">
        <v>0</v>
      </c>
      <c r="I188" s="201">
        <v>0</v>
      </c>
      <c r="J188" s="201">
        <v>0</v>
      </c>
      <c r="K188" s="201">
        <v>0</v>
      </c>
      <c r="L188" s="201"/>
      <c r="M188" s="201">
        <v>8.6999999999999993</v>
      </c>
      <c r="N188" s="201">
        <v>0.7</v>
      </c>
      <c r="O188" s="201">
        <v>1.9</v>
      </c>
      <c r="P188" s="201">
        <v>1210.3</v>
      </c>
      <c r="Q188" s="201">
        <v>1403.3</v>
      </c>
      <c r="R188" s="201"/>
      <c r="S188" s="201"/>
      <c r="T188" s="201">
        <v>2326</v>
      </c>
      <c r="U188" s="201">
        <v>477.8</v>
      </c>
      <c r="V188" s="201"/>
      <c r="W188" s="201"/>
      <c r="X188" s="201"/>
      <c r="Y188" s="201"/>
      <c r="Z188" s="201"/>
      <c r="AA188" s="61"/>
      <c r="AB188" s="201"/>
      <c r="AC188" s="61"/>
      <c r="AD188" s="201">
        <v>15</v>
      </c>
      <c r="AE188" s="61"/>
      <c r="AF188" s="61">
        <v>0</v>
      </c>
      <c r="AG188" s="61"/>
      <c r="AH188" s="61"/>
      <c r="AI188" s="61"/>
      <c r="AJ188" s="61"/>
      <c r="AK188" s="61"/>
      <c r="AL188" s="291">
        <v>24</v>
      </c>
      <c r="AM188" s="201">
        <v>22</v>
      </c>
      <c r="AN188" s="201">
        <v>15</v>
      </c>
      <c r="AO188" s="61"/>
      <c r="AP188" s="61"/>
      <c r="AQ188" s="61"/>
      <c r="AR188" s="61"/>
      <c r="AS188" s="101" t="s">
        <v>180</v>
      </c>
      <c r="AT188" s="206" t="str">
        <f t="shared" si="2"/>
        <v>44449-187</v>
      </c>
    </row>
    <row r="189" spans="1:46" x14ac:dyDescent="0.35">
      <c r="A189" s="204">
        <v>188</v>
      </c>
      <c r="B189" s="14" t="s">
        <v>83</v>
      </c>
      <c r="C189" s="1" t="s">
        <v>160</v>
      </c>
      <c r="D189" s="1" t="s">
        <v>161</v>
      </c>
      <c r="E189" s="12">
        <v>44450</v>
      </c>
      <c r="F189" s="201">
        <v>1.5</v>
      </c>
      <c r="G189" s="201">
        <v>1.3</v>
      </c>
      <c r="H189" s="201">
        <v>0</v>
      </c>
      <c r="I189" s="201">
        <v>0</v>
      </c>
      <c r="J189" s="201">
        <v>0</v>
      </c>
      <c r="K189" s="201">
        <v>0</v>
      </c>
      <c r="L189" s="201"/>
      <c r="M189" s="201">
        <v>8.9</v>
      </c>
      <c r="N189" s="201">
        <v>1.4</v>
      </c>
      <c r="O189" s="201">
        <v>1.9</v>
      </c>
      <c r="P189" s="201">
        <v>1219.2</v>
      </c>
      <c r="Q189" s="201">
        <v>1433.4</v>
      </c>
      <c r="R189" s="201"/>
      <c r="S189" s="201"/>
      <c r="T189" s="201">
        <v>2237.8000000000002</v>
      </c>
      <c r="U189" s="201">
        <v>498.6</v>
      </c>
      <c r="V189" s="201"/>
      <c r="W189" s="201"/>
      <c r="X189" s="201"/>
      <c r="Y189" s="201"/>
      <c r="Z189" s="201"/>
      <c r="AA189" s="61"/>
      <c r="AB189" s="201"/>
      <c r="AC189" s="61"/>
      <c r="AD189" s="201">
        <v>15</v>
      </c>
      <c r="AE189" s="61"/>
      <c r="AF189" s="61">
        <v>0</v>
      </c>
      <c r="AG189" s="61"/>
      <c r="AH189" s="61"/>
      <c r="AI189" s="61"/>
      <c r="AJ189" s="61"/>
      <c r="AK189" s="61"/>
      <c r="AL189" s="291">
        <v>24</v>
      </c>
      <c r="AM189" s="201">
        <v>22</v>
      </c>
      <c r="AN189" s="201">
        <v>15</v>
      </c>
      <c r="AO189" s="61"/>
      <c r="AP189" s="61"/>
      <c r="AQ189" s="61"/>
      <c r="AR189" s="61"/>
      <c r="AS189" s="101" t="s">
        <v>185</v>
      </c>
      <c r="AT189" s="206" t="str">
        <f t="shared" si="2"/>
        <v>44450-188</v>
      </c>
    </row>
    <row r="190" spans="1:46" x14ac:dyDescent="0.35">
      <c r="A190" s="204">
        <v>189</v>
      </c>
      <c r="B190" s="14" t="s">
        <v>83</v>
      </c>
      <c r="C190" s="1" t="s">
        <v>160</v>
      </c>
      <c r="D190" s="1" t="s">
        <v>161</v>
      </c>
      <c r="E190" s="12">
        <v>44450</v>
      </c>
      <c r="F190" s="201">
        <v>1.4</v>
      </c>
      <c r="G190" s="201">
        <v>1.2</v>
      </c>
      <c r="H190" s="201">
        <v>0</v>
      </c>
      <c r="I190" s="201">
        <v>0</v>
      </c>
      <c r="J190" s="201">
        <v>0</v>
      </c>
      <c r="K190" s="201">
        <v>0</v>
      </c>
      <c r="L190" s="201"/>
      <c r="M190" s="201">
        <v>8.9</v>
      </c>
      <c r="N190" s="201">
        <v>1.3</v>
      </c>
      <c r="O190" s="201">
        <v>1.7</v>
      </c>
      <c r="P190" s="201">
        <v>1212.3</v>
      </c>
      <c r="Q190" s="201">
        <v>1427.6</v>
      </c>
      <c r="R190" s="201"/>
      <c r="S190" s="201"/>
      <c r="T190" s="201">
        <v>2216.6999999999998</v>
      </c>
      <c r="U190" s="201">
        <v>489.4</v>
      </c>
      <c r="V190" s="201"/>
      <c r="W190" s="201"/>
      <c r="X190" s="201"/>
      <c r="Y190" s="201"/>
      <c r="Z190" s="201"/>
      <c r="AA190" s="61"/>
      <c r="AB190" s="201"/>
      <c r="AC190" s="61"/>
      <c r="AD190" s="201">
        <v>14.9</v>
      </c>
      <c r="AE190" s="61"/>
      <c r="AF190" s="61">
        <v>0</v>
      </c>
      <c r="AG190" s="61"/>
      <c r="AH190" s="61"/>
      <c r="AI190" s="61"/>
      <c r="AJ190" s="61"/>
      <c r="AK190" s="61"/>
      <c r="AL190" s="291">
        <v>24</v>
      </c>
      <c r="AM190" s="201">
        <v>22</v>
      </c>
      <c r="AN190" s="201">
        <v>16</v>
      </c>
      <c r="AO190" s="61"/>
      <c r="AP190" s="61"/>
      <c r="AQ190" s="61"/>
      <c r="AR190" s="61"/>
      <c r="AS190" s="101" t="s">
        <v>176</v>
      </c>
      <c r="AT190" s="206" t="str">
        <f t="shared" si="2"/>
        <v>44450-189</v>
      </c>
    </row>
    <row r="191" spans="1:46" x14ac:dyDescent="0.35">
      <c r="A191" s="204">
        <v>190</v>
      </c>
      <c r="B191" s="14" t="s">
        <v>83</v>
      </c>
      <c r="C191" s="1" t="s">
        <v>155</v>
      </c>
      <c r="D191" s="1" t="s">
        <v>161</v>
      </c>
      <c r="E191" s="12">
        <v>44450</v>
      </c>
      <c r="F191" s="201">
        <v>1.7</v>
      </c>
      <c r="G191" s="201">
        <v>0.8</v>
      </c>
      <c r="H191" s="201">
        <v>0</v>
      </c>
      <c r="I191" s="201">
        <v>0</v>
      </c>
      <c r="J191" s="201">
        <v>0</v>
      </c>
      <c r="K191" s="201">
        <v>0.1</v>
      </c>
      <c r="L191" s="201"/>
      <c r="M191" s="201">
        <v>7.8</v>
      </c>
      <c r="N191" s="201">
        <v>1.6</v>
      </c>
      <c r="O191" s="201">
        <v>0.2</v>
      </c>
      <c r="P191" s="201">
        <v>1197.7</v>
      </c>
      <c r="Q191" s="201">
        <v>1185.2</v>
      </c>
      <c r="R191" s="201"/>
      <c r="S191" s="201"/>
      <c r="T191" s="201">
        <v>2834.7</v>
      </c>
      <c r="U191" s="201">
        <v>10.4</v>
      </c>
      <c r="V191" s="201"/>
      <c r="W191" s="201"/>
      <c r="X191" s="201"/>
      <c r="Y191" s="201"/>
      <c r="Z191" s="201"/>
      <c r="AA191" s="61"/>
      <c r="AB191" s="201"/>
      <c r="AC191" s="61"/>
      <c r="AD191" s="201">
        <v>25.7</v>
      </c>
      <c r="AE191" s="61"/>
      <c r="AF191" s="61">
        <v>0</v>
      </c>
      <c r="AG191" s="61"/>
      <c r="AH191" s="61"/>
      <c r="AI191" s="61"/>
      <c r="AJ191" s="61"/>
      <c r="AK191" s="61"/>
      <c r="AL191" s="291">
        <v>19</v>
      </c>
      <c r="AM191" s="201">
        <v>18</v>
      </c>
      <c r="AN191" s="201">
        <v>13</v>
      </c>
      <c r="AO191" s="61"/>
      <c r="AP191" s="61"/>
      <c r="AQ191" s="61"/>
      <c r="AR191" s="61"/>
      <c r="AS191" s="101" t="s">
        <v>220</v>
      </c>
      <c r="AT191" s="206" t="str">
        <f t="shared" si="2"/>
        <v>44450-190</v>
      </c>
    </row>
    <row r="192" spans="1:46" x14ac:dyDescent="0.35">
      <c r="A192" s="204">
        <v>191</v>
      </c>
      <c r="B192" s="14" t="s">
        <v>83</v>
      </c>
      <c r="C192" s="1" t="s">
        <v>160</v>
      </c>
      <c r="D192" s="1" t="s">
        <v>161</v>
      </c>
      <c r="E192" s="12">
        <v>44452</v>
      </c>
      <c r="F192" s="201">
        <v>1.3</v>
      </c>
      <c r="G192" s="201">
        <v>1.2</v>
      </c>
      <c r="H192" s="201">
        <v>0</v>
      </c>
      <c r="I192" s="201">
        <v>0</v>
      </c>
      <c r="J192" s="201">
        <v>0</v>
      </c>
      <c r="K192" s="201">
        <v>0</v>
      </c>
      <c r="L192" s="201"/>
      <c r="M192" s="201">
        <v>8.4</v>
      </c>
      <c r="N192" s="201">
        <v>0.7</v>
      </c>
      <c r="O192" s="201">
        <v>1.4</v>
      </c>
      <c r="P192" s="201">
        <v>1137.4000000000001</v>
      </c>
      <c r="Q192" s="201">
        <v>1203.8</v>
      </c>
      <c r="R192" s="201"/>
      <c r="S192" s="201"/>
      <c r="T192" s="201">
        <v>2105.9</v>
      </c>
      <c r="U192" s="201">
        <v>439.7</v>
      </c>
      <c r="V192" s="201"/>
      <c r="W192" s="201"/>
      <c r="X192" s="201"/>
      <c r="Y192" s="201"/>
      <c r="Z192" s="201"/>
      <c r="AA192" s="61"/>
      <c r="AB192" s="201"/>
      <c r="AC192" s="61"/>
      <c r="AD192" s="201">
        <v>15</v>
      </c>
      <c r="AE192" s="61"/>
      <c r="AF192" s="61">
        <v>0</v>
      </c>
      <c r="AG192" s="61"/>
      <c r="AH192" s="61"/>
      <c r="AI192" s="61"/>
      <c r="AJ192" s="61"/>
      <c r="AK192" s="61"/>
      <c r="AL192" s="291">
        <v>24</v>
      </c>
      <c r="AM192" s="201">
        <v>22</v>
      </c>
      <c r="AN192" s="201">
        <v>15</v>
      </c>
      <c r="AO192" s="61"/>
      <c r="AP192" s="61"/>
      <c r="AQ192" s="61"/>
      <c r="AR192" s="61"/>
      <c r="AS192" s="101" t="s">
        <v>185</v>
      </c>
      <c r="AT192" s="206" t="str">
        <f t="shared" si="2"/>
        <v>44452-191</v>
      </c>
    </row>
    <row r="193" spans="1:46" x14ac:dyDescent="0.35">
      <c r="A193" s="204">
        <v>192</v>
      </c>
      <c r="B193" s="14" t="s">
        <v>83</v>
      </c>
      <c r="C193" s="1" t="s">
        <v>152</v>
      </c>
      <c r="D193" s="1" t="s">
        <v>161</v>
      </c>
      <c r="E193" s="12">
        <v>44452</v>
      </c>
      <c r="F193" s="201">
        <v>1.6</v>
      </c>
      <c r="G193" s="201">
        <v>1</v>
      </c>
      <c r="H193" s="201">
        <v>0</v>
      </c>
      <c r="I193" s="201">
        <v>0</v>
      </c>
      <c r="J193" s="201">
        <v>0</v>
      </c>
      <c r="K193" s="201">
        <v>0</v>
      </c>
      <c r="L193" s="201"/>
      <c r="M193" s="201">
        <v>4.4000000000000004</v>
      </c>
      <c r="N193" s="201">
        <v>1.6</v>
      </c>
      <c r="O193" s="201">
        <v>0</v>
      </c>
      <c r="P193" s="201">
        <v>1130.7</v>
      </c>
      <c r="Q193" s="201">
        <v>1107.8</v>
      </c>
      <c r="R193" s="201"/>
      <c r="S193" s="201"/>
      <c r="T193" s="201">
        <v>2797.1</v>
      </c>
      <c r="U193" s="201">
        <v>10.8</v>
      </c>
      <c r="V193" s="201"/>
      <c r="W193" s="201"/>
      <c r="X193" s="201"/>
      <c r="Y193" s="201"/>
      <c r="Z193" s="201"/>
      <c r="AA193" s="61"/>
      <c r="AB193" s="201"/>
      <c r="AC193" s="61"/>
      <c r="AD193" s="201">
        <v>6</v>
      </c>
      <c r="AE193" s="61"/>
      <c r="AF193" s="61">
        <v>0</v>
      </c>
      <c r="AG193" s="61"/>
      <c r="AH193" s="61"/>
      <c r="AI193" s="61"/>
      <c r="AJ193" s="61"/>
      <c r="AK193" s="61"/>
      <c r="AL193" s="291">
        <v>19</v>
      </c>
      <c r="AM193" s="201">
        <v>18</v>
      </c>
      <c r="AN193" s="201">
        <v>12</v>
      </c>
      <c r="AO193" s="61"/>
      <c r="AP193" s="61"/>
      <c r="AQ193" s="61"/>
      <c r="AR193" s="61"/>
      <c r="AS193" s="101" t="s">
        <v>184</v>
      </c>
      <c r="AT193" s="206" t="str">
        <f t="shared" si="2"/>
        <v>44452-192</v>
      </c>
    </row>
    <row r="194" spans="1:46" x14ac:dyDescent="0.35">
      <c r="A194" s="204">
        <v>193</v>
      </c>
      <c r="B194" s="14" t="s">
        <v>83</v>
      </c>
      <c r="C194" s="1" t="s">
        <v>160</v>
      </c>
      <c r="D194" s="1" t="s">
        <v>161</v>
      </c>
      <c r="E194" s="12">
        <v>44456</v>
      </c>
      <c r="F194" s="201">
        <v>1.5</v>
      </c>
      <c r="G194" s="201">
        <v>1.2</v>
      </c>
      <c r="H194" s="201">
        <v>0</v>
      </c>
      <c r="I194" s="201">
        <v>0</v>
      </c>
      <c r="J194" s="201">
        <v>0</v>
      </c>
      <c r="K194" s="201">
        <v>0</v>
      </c>
      <c r="L194" s="201"/>
      <c r="M194" s="201">
        <v>8.1</v>
      </c>
      <c r="N194" s="201">
        <v>0.9</v>
      </c>
      <c r="O194" s="201">
        <v>1.3</v>
      </c>
      <c r="P194" s="201">
        <v>1189.2</v>
      </c>
      <c r="Q194" s="201">
        <v>1302.0999999999999</v>
      </c>
      <c r="R194" s="201"/>
      <c r="S194" s="201"/>
      <c r="T194" s="201">
        <v>2272.6</v>
      </c>
      <c r="U194" s="201">
        <v>479.5</v>
      </c>
      <c r="V194" s="201"/>
      <c r="W194" s="201"/>
      <c r="X194" s="201"/>
      <c r="Y194" s="201"/>
      <c r="Z194" s="201"/>
      <c r="AA194" s="61"/>
      <c r="AB194" s="201"/>
      <c r="AC194" s="61"/>
      <c r="AD194" s="201">
        <v>15.1</v>
      </c>
      <c r="AE194" s="61"/>
      <c r="AF194" s="61">
        <v>0</v>
      </c>
      <c r="AG194" s="61"/>
      <c r="AH194" s="61"/>
      <c r="AI194" s="61"/>
      <c r="AJ194" s="61"/>
      <c r="AK194" s="61"/>
      <c r="AL194" s="291">
        <v>24</v>
      </c>
      <c r="AM194" s="201">
        <v>22</v>
      </c>
      <c r="AN194" s="201">
        <v>15</v>
      </c>
      <c r="AO194" s="61"/>
      <c r="AP194" s="61"/>
      <c r="AQ194" s="61"/>
      <c r="AR194" s="61"/>
      <c r="AS194" s="101" t="s">
        <v>178</v>
      </c>
      <c r="AT194" s="206" t="str">
        <f t="shared" ref="AT194:AT257" si="3">CONCATENATE(E194,"-",A194)</f>
        <v>44456-193</v>
      </c>
    </row>
    <row r="195" spans="1:46" x14ac:dyDescent="0.35">
      <c r="A195" s="204">
        <v>194</v>
      </c>
      <c r="B195" s="14" t="s">
        <v>83</v>
      </c>
      <c r="C195" s="1" t="s">
        <v>152</v>
      </c>
      <c r="D195" s="1" t="s">
        <v>161</v>
      </c>
      <c r="E195" s="12">
        <v>44456</v>
      </c>
      <c r="F195" s="201">
        <v>1.6</v>
      </c>
      <c r="G195" s="201">
        <v>0.9</v>
      </c>
      <c r="H195" s="201">
        <v>0</v>
      </c>
      <c r="I195" s="201">
        <v>0</v>
      </c>
      <c r="J195" s="201">
        <v>0</v>
      </c>
      <c r="K195" s="201">
        <v>0</v>
      </c>
      <c r="L195" s="201"/>
      <c r="M195" s="201">
        <v>4.4000000000000004</v>
      </c>
      <c r="N195" s="201">
        <v>2.2000000000000002</v>
      </c>
      <c r="O195" s="201">
        <v>0</v>
      </c>
      <c r="P195" s="201">
        <v>1168.2</v>
      </c>
      <c r="Q195" s="201">
        <v>1194.5</v>
      </c>
      <c r="R195" s="201"/>
      <c r="S195" s="201"/>
      <c r="T195" s="201">
        <v>2953.6</v>
      </c>
      <c r="U195" s="201">
        <v>14.5</v>
      </c>
      <c r="V195" s="201"/>
      <c r="W195" s="201"/>
      <c r="X195" s="201"/>
      <c r="Y195" s="201"/>
      <c r="Z195" s="201"/>
      <c r="AA195" s="61"/>
      <c r="AB195" s="201"/>
      <c r="AC195" s="61"/>
      <c r="AD195" s="201">
        <v>6</v>
      </c>
      <c r="AE195" s="61"/>
      <c r="AF195" s="61">
        <v>0</v>
      </c>
      <c r="AG195" s="61"/>
      <c r="AH195" s="61"/>
      <c r="AI195" s="61"/>
      <c r="AJ195" s="61"/>
      <c r="AK195" s="61"/>
      <c r="AL195" s="291">
        <v>19</v>
      </c>
      <c r="AM195" s="201">
        <v>18</v>
      </c>
      <c r="AN195" s="201">
        <v>13</v>
      </c>
      <c r="AO195" s="61"/>
      <c r="AP195" s="61"/>
      <c r="AQ195" s="61"/>
      <c r="AR195" s="61"/>
      <c r="AS195" s="101" t="s">
        <v>179</v>
      </c>
      <c r="AT195" s="206" t="str">
        <f t="shared" si="3"/>
        <v>44456-194</v>
      </c>
    </row>
    <row r="196" spans="1:46" x14ac:dyDescent="0.35">
      <c r="A196" s="204">
        <v>195</v>
      </c>
      <c r="B196" s="14" t="s">
        <v>83</v>
      </c>
      <c r="C196" s="1" t="s">
        <v>160</v>
      </c>
      <c r="D196" s="1" t="s">
        <v>161</v>
      </c>
      <c r="E196" s="12">
        <v>44456</v>
      </c>
      <c r="F196" s="201">
        <v>1.4</v>
      </c>
      <c r="G196" s="201">
        <v>1.2</v>
      </c>
      <c r="H196" s="201">
        <v>0</v>
      </c>
      <c r="I196" s="201">
        <v>0</v>
      </c>
      <c r="J196" s="201">
        <v>0</v>
      </c>
      <c r="K196" s="201">
        <v>0</v>
      </c>
      <c r="L196" s="201"/>
      <c r="M196" s="201">
        <v>8</v>
      </c>
      <c r="N196" s="201">
        <v>0.9</v>
      </c>
      <c r="O196" s="201">
        <v>1</v>
      </c>
      <c r="P196" s="201">
        <v>1193.5999999999999</v>
      </c>
      <c r="Q196" s="201">
        <v>1292.0999999999999</v>
      </c>
      <c r="R196" s="201"/>
      <c r="S196" s="201"/>
      <c r="T196" s="201">
        <v>2267.5</v>
      </c>
      <c r="U196" s="201">
        <v>476.9</v>
      </c>
      <c r="V196" s="201"/>
      <c r="W196" s="201"/>
      <c r="X196" s="201"/>
      <c r="Y196" s="201"/>
      <c r="Z196" s="201"/>
      <c r="AA196" s="61"/>
      <c r="AB196" s="201"/>
      <c r="AC196" s="61"/>
      <c r="AD196" s="201">
        <v>15.2</v>
      </c>
      <c r="AE196" s="61"/>
      <c r="AF196" s="61">
        <v>0</v>
      </c>
      <c r="AG196" s="61"/>
      <c r="AH196" s="61"/>
      <c r="AI196" s="61"/>
      <c r="AJ196" s="61"/>
      <c r="AK196" s="61"/>
      <c r="AL196" s="291">
        <v>24</v>
      </c>
      <c r="AM196" s="201">
        <v>22</v>
      </c>
      <c r="AN196" s="201">
        <v>15</v>
      </c>
      <c r="AO196" s="61"/>
      <c r="AP196" s="61"/>
      <c r="AQ196" s="61"/>
      <c r="AR196" s="61"/>
      <c r="AS196" s="101" t="s">
        <v>180</v>
      </c>
      <c r="AT196" s="206" t="str">
        <f t="shared" si="3"/>
        <v>44456-195</v>
      </c>
    </row>
    <row r="197" spans="1:46" x14ac:dyDescent="0.35">
      <c r="A197" s="204">
        <v>196</v>
      </c>
      <c r="B197" s="14" t="s">
        <v>83</v>
      </c>
      <c r="C197" s="1" t="s">
        <v>160</v>
      </c>
      <c r="D197" s="1" t="s">
        <v>161</v>
      </c>
      <c r="E197" s="12">
        <v>44457</v>
      </c>
      <c r="F197" s="201">
        <v>1.4</v>
      </c>
      <c r="G197" s="201">
        <v>1.1000000000000001</v>
      </c>
      <c r="H197" s="201">
        <v>0</v>
      </c>
      <c r="I197" s="201">
        <v>0</v>
      </c>
      <c r="J197" s="201">
        <v>0</v>
      </c>
      <c r="K197" s="201">
        <v>0</v>
      </c>
      <c r="L197" s="201"/>
      <c r="M197" s="201">
        <v>7.9</v>
      </c>
      <c r="N197" s="201">
        <v>0.9</v>
      </c>
      <c r="O197" s="201">
        <v>1.7</v>
      </c>
      <c r="P197" s="201">
        <v>1172.4000000000001</v>
      </c>
      <c r="Q197" s="201">
        <v>1281.7</v>
      </c>
      <c r="R197" s="201"/>
      <c r="S197" s="201"/>
      <c r="T197" s="201">
        <v>2263.1999999999998</v>
      </c>
      <c r="U197" s="201">
        <v>470.2</v>
      </c>
      <c r="V197" s="201"/>
      <c r="W197" s="201"/>
      <c r="X197" s="201"/>
      <c r="Y197" s="201"/>
      <c r="Z197" s="201"/>
      <c r="AA197" s="61"/>
      <c r="AB197" s="201"/>
      <c r="AC197" s="61"/>
      <c r="AD197" s="201">
        <v>15</v>
      </c>
      <c r="AE197" s="61"/>
      <c r="AF197" s="61">
        <v>0</v>
      </c>
      <c r="AG197" s="61"/>
      <c r="AH197" s="61"/>
      <c r="AI197" s="61"/>
      <c r="AJ197" s="61"/>
      <c r="AK197" s="61"/>
      <c r="AL197" s="291">
        <v>24</v>
      </c>
      <c r="AM197" s="201">
        <v>22</v>
      </c>
      <c r="AN197" s="201">
        <v>16</v>
      </c>
      <c r="AO197" s="61"/>
      <c r="AP197" s="61"/>
      <c r="AQ197" s="61"/>
      <c r="AR197" s="61"/>
      <c r="AS197" s="101" t="s">
        <v>185</v>
      </c>
      <c r="AT197" s="206" t="str">
        <f t="shared" si="3"/>
        <v>44457-196</v>
      </c>
    </row>
    <row r="198" spans="1:46" x14ac:dyDescent="0.35">
      <c r="A198" s="204">
        <v>197</v>
      </c>
      <c r="B198" s="14" t="s">
        <v>83</v>
      </c>
      <c r="C198" s="1" t="s">
        <v>152</v>
      </c>
      <c r="D198" s="1" t="s">
        <v>161</v>
      </c>
      <c r="E198" s="12">
        <v>44457</v>
      </c>
      <c r="F198" s="201">
        <v>2</v>
      </c>
      <c r="G198" s="201">
        <v>0.9</v>
      </c>
      <c r="H198" s="201">
        <v>0</v>
      </c>
      <c r="I198" s="201">
        <v>0</v>
      </c>
      <c r="J198" s="201">
        <v>0</v>
      </c>
      <c r="K198" s="201">
        <v>0</v>
      </c>
      <c r="L198" s="201"/>
      <c r="M198" s="201">
        <v>4.4000000000000004</v>
      </c>
      <c r="N198" s="201">
        <v>2</v>
      </c>
      <c r="O198" s="201">
        <v>0</v>
      </c>
      <c r="P198" s="201">
        <v>1175.5999999999999</v>
      </c>
      <c r="Q198" s="201">
        <v>1205.7</v>
      </c>
      <c r="R198" s="201"/>
      <c r="S198" s="201"/>
      <c r="T198" s="201">
        <v>3017.6</v>
      </c>
      <c r="U198" s="201">
        <v>11</v>
      </c>
      <c r="V198" s="201"/>
      <c r="W198" s="201"/>
      <c r="X198" s="201"/>
      <c r="Y198" s="201"/>
      <c r="Z198" s="201"/>
      <c r="AA198" s="61"/>
      <c r="AB198" s="201"/>
      <c r="AC198" s="61"/>
      <c r="AD198" s="201">
        <v>6</v>
      </c>
      <c r="AE198" s="61"/>
      <c r="AF198" s="61">
        <v>0</v>
      </c>
      <c r="AG198" s="61"/>
      <c r="AH198" s="61"/>
      <c r="AI198" s="61"/>
      <c r="AJ198" s="61"/>
      <c r="AK198" s="61"/>
      <c r="AL198" s="291">
        <v>18</v>
      </c>
      <c r="AM198" s="201">
        <v>17</v>
      </c>
      <c r="AN198" s="201">
        <v>12</v>
      </c>
      <c r="AO198" s="61"/>
      <c r="AP198" s="61"/>
      <c r="AQ198" s="61"/>
      <c r="AR198" s="61"/>
      <c r="AS198" s="101" t="s">
        <v>184</v>
      </c>
      <c r="AT198" s="206" t="str">
        <f t="shared" si="3"/>
        <v>44457-197</v>
      </c>
    </row>
    <row r="199" spans="1:46" x14ac:dyDescent="0.35">
      <c r="A199" s="204">
        <v>198</v>
      </c>
      <c r="B199" s="14" t="s">
        <v>83</v>
      </c>
      <c r="C199" s="1" t="s">
        <v>160</v>
      </c>
      <c r="D199" s="1" t="s">
        <v>161</v>
      </c>
      <c r="E199" s="12">
        <v>44457</v>
      </c>
      <c r="F199" s="201">
        <v>1.4</v>
      </c>
      <c r="G199" s="201">
        <v>1</v>
      </c>
      <c r="H199" s="201">
        <v>0</v>
      </c>
      <c r="I199" s="201">
        <v>0</v>
      </c>
      <c r="J199" s="201">
        <v>0</v>
      </c>
      <c r="K199" s="201">
        <v>0</v>
      </c>
      <c r="L199" s="201"/>
      <c r="M199" s="201">
        <v>7.9</v>
      </c>
      <c r="N199" s="201">
        <v>1</v>
      </c>
      <c r="O199" s="201">
        <v>1</v>
      </c>
      <c r="P199" s="201">
        <v>1193</v>
      </c>
      <c r="Q199" s="201">
        <v>1308.2</v>
      </c>
      <c r="R199" s="201"/>
      <c r="S199" s="201"/>
      <c r="T199" s="201">
        <v>2305.6999999999998</v>
      </c>
      <c r="U199" s="201">
        <v>478</v>
      </c>
      <c r="V199" s="201"/>
      <c r="W199" s="201"/>
      <c r="X199" s="201"/>
      <c r="Y199" s="201"/>
      <c r="Z199" s="201"/>
      <c r="AA199" s="61"/>
      <c r="AB199" s="201"/>
      <c r="AC199" s="61"/>
      <c r="AD199" s="201">
        <v>15.1</v>
      </c>
      <c r="AE199" s="61"/>
      <c r="AF199" s="61">
        <v>0</v>
      </c>
      <c r="AG199" s="61"/>
      <c r="AH199" s="61"/>
      <c r="AI199" s="61"/>
      <c r="AJ199" s="61"/>
      <c r="AK199" s="61"/>
      <c r="AL199" s="291">
        <v>24</v>
      </c>
      <c r="AM199" s="201">
        <v>22</v>
      </c>
      <c r="AN199" s="201">
        <v>15</v>
      </c>
      <c r="AO199" s="61"/>
      <c r="AP199" s="61"/>
      <c r="AQ199" s="61"/>
      <c r="AR199" s="61"/>
      <c r="AS199" s="101" t="s">
        <v>176</v>
      </c>
      <c r="AT199" s="206" t="str">
        <f t="shared" si="3"/>
        <v>44457-198</v>
      </c>
    </row>
    <row r="200" spans="1:46" x14ac:dyDescent="0.35">
      <c r="A200" s="204">
        <v>199</v>
      </c>
      <c r="B200" s="14" t="s">
        <v>83</v>
      </c>
      <c r="C200" s="1" t="s">
        <v>152</v>
      </c>
      <c r="D200" s="1" t="s">
        <v>161</v>
      </c>
      <c r="E200" s="12">
        <v>44459</v>
      </c>
      <c r="F200" s="201">
        <v>1.8</v>
      </c>
      <c r="G200" s="201">
        <v>1</v>
      </c>
      <c r="H200" s="201">
        <v>0</v>
      </c>
      <c r="I200" s="201">
        <v>0</v>
      </c>
      <c r="J200" s="201">
        <v>0.1</v>
      </c>
      <c r="K200" s="201">
        <v>0</v>
      </c>
      <c r="L200" s="201"/>
      <c r="M200" s="201">
        <v>3.4</v>
      </c>
      <c r="N200" s="201">
        <v>1.9</v>
      </c>
      <c r="O200" s="201">
        <v>0.1</v>
      </c>
      <c r="P200" s="201">
        <v>1228</v>
      </c>
      <c r="Q200" s="201">
        <v>1300.7</v>
      </c>
      <c r="R200" s="201"/>
      <c r="S200" s="201"/>
      <c r="T200" s="201">
        <v>3198.4</v>
      </c>
      <c r="U200" s="201">
        <v>12.2</v>
      </c>
      <c r="V200" s="201"/>
      <c r="W200" s="201"/>
      <c r="X200" s="201"/>
      <c r="Y200" s="201"/>
      <c r="Z200" s="201"/>
      <c r="AA200" s="61"/>
      <c r="AB200" s="201"/>
      <c r="AC200" s="61"/>
      <c r="AD200" s="201">
        <v>6</v>
      </c>
      <c r="AE200" s="61"/>
      <c r="AF200" s="61">
        <v>0</v>
      </c>
      <c r="AG200" s="61"/>
      <c r="AH200" s="61"/>
      <c r="AI200" s="61"/>
      <c r="AJ200" s="61"/>
      <c r="AK200" s="61"/>
      <c r="AL200" s="291">
        <v>19</v>
      </c>
      <c r="AM200" s="201">
        <v>17</v>
      </c>
      <c r="AN200" s="201">
        <v>13</v>
      </c>
      <c r="AO200" s="61"/>
      <c r="AP200" s="61"/>
      <c r="AQ200" s="61"/>
      <c r="AR200" s="61"/>
      <c r="AS200" s="101" t="s">
        <v>173</v>
      </c>
      <c r="AT200" s="206" t="str">
        <f t="shared" si="3"/>
        <v>44459-199</v>
      </c>
    </row>
    <row r="201" spans="1:46" x14ac:dyDescent="0.35">
      <c r="A201" s="204">
        <v>200</v>
      </c>
      <c r="B201" s="14" t="s">
        <v>83</v>
      </c>
      <c r="C201" s="1" t="s">
        <v>157</v>
      </c>
      <c r="D201" s="1" t="s">
        <v>161</v>
      </c>
      <c r="E201" s="12">
        <v>44459</v>
      </c>
      <c r="F201" s="201">
        <v>0</v>
      </c>
      <c r="G201" s="201">
        <v>0.7</v>
      </c>
      <c r="H201" s="201">
        <v>0</v>
      </c>
      <c r="I201" s="201">
        <v>0</v>
      </c>
      <c r="J201" s="201">
        <v>0</v>
      </c>
      <c r="K201" s="201">
        <v>0</v>
      </c>
      <c r="L201" s="201"/>
      <c r="M201" s="201">
        <v>16.899999999999999</v>
      </c>
      <c r="N201" s="201">
        <v>0</v>
      </c>
      <c r="O201" s="201">
        <v>0.6</v>
      </c>
      <c r="P201" s="201">
        <v>5</v>
      </c>
      <c r="Q201" s="201">
        <v>267.5</v>
      </c>
      <c r="R201" s="201"/>
      <c r="S201" s="201"/>
      <c r="T201" s="201">
        <v>8.4</v>
      </c>
      <c r="U201" s="201">
        <v>0.1</v>
      </c>
      <c r="V201" s="201"/>
      <c r="W201" s="201"/>
      <c r="X201" s="201"/>
      <c r="Y201" s="201"/>
      <c r="Z201" s="201"/>
      <c r="AA201" s="61"/>
      <c r="AB201" s="201"/>
      <c r="AC201" s="61"/>
      <c r="AD201" s="201">
        <v>76.3</v>
      </c>
      <c r="AE201" s="61"/>
      <c r="AF201" s="61">
        <v>0</v>
      </c>
      <c r="AG201" s="61"/>
      <c r="AH201" s="61"/>
      <c r="AI201" s="61"/>
      <c r="AJ201" s="61"/>
      <c r="AK201" s="61"/>
      <c r="AL201" s="291">
        <v>21</v>
      </c>
      <c r="AM201" s="201">
        <v>19</v>
      </c>
      <c r="AN201" s="201">
        <v>14</v>
      </c>
      <c r="AO201" s="61"/>
      <c r="AP201" s="61"/>
      <c r="AQ201" s="61"/>
      <c r="AR201" s="61"/>
      <c r="AS201" s="101" t="s">
        <v>174</v>
      </c>
      <c r="AT201" s="206" t="str">
        <f t="shared" si="3"/>
        <v>44459-200</v>
      </c>
    </row>
    <row r="202" spans="1:46" x14ac:dyDescent="0.35">
      <c r="A202" s="204">
        <v>201</v>
      </c>
      <c r="B202" s="14" t="s">
        <v>83</v>
      </c>
      <c r="C202" s="1" t="s">
        <v>160</v>
      </c>
      <c r="D202" s="1" t="s">
        <v>161</v>
      </c>
      <c r="E202" s="12">
        <v>44459</v>
      </c>
      <c r="F202" s="201">
        <v>1.5</v>
      </c>
      <c r="G202" s="201">
        <v>1.1000000000000001</v>
      </c>
      <c r="H202" s="201">
        <v>0</v>
      </c>
      <c r="I202" s="201">
        <v>0</v>
      </c>
      <c r="J202" s="201">
        <v>0</v>
      </c>
      <c r="K202" s="201">
        <v>0</v>
      </c>
      <c r="L202" s="201"/>
      <c r="M202" s="201">
        <v>7.5</v>
      </c>
      <c r="N202" s="201">
        <v>0.7</v>
      </c>
      <c r="O202" s="201">
        <v>1.9</v>
      </c>
      <c r="P202" s="201">
        <v>1248</v>
      </c>
      <c r="Q202" s="201">
        <v>1425.4</v>
      </c>
      <c r="R202" s="201"/>
      <c r="S202" s="201"/>
      <c r="T202" s="201">
        <v>2449.1</v>
      </c>
      <c r="U202" s="201">
        <v>504</v>
      </c>
      <c r="V202" s="201"/>
      <c r="W202" s="201"/>
      <c r="X202" s="201"/>
      <c r="Y202" s="201"/>
      <c r="Z202" s="201"/>
      <c r="AA202" s="61"/>
      <c r="AB202" s="201"/>
      <c r="AC202" s="61"/>
      <c r="AD202" s="201">
        <v>15.1</v>
      </c>
      <c r="AE202" s="61"/>
      <c r="AF202" s="61">
        <v>0</v>
      </c>
      <c r="AG202" s="61"/>
      <c r="AH202" s="61"/>
      <c r="AI202" s="61"/>
      <c r="AJ202" s="61"/>
      <c r="AK202" s="61"/>
      <c r="AL202" s="291">
        <v>24</v>
      </c>
      <c r="AM202" s="201">
        <v>22</v>
      </c>
      <c r="AN202" s="201">
        <v>15</v>
      </c>
      <c r="AO202" s="61"/>
      <c r="AP202" s="61"/>
      <c r="AQ202" s="61"/>
      <c r="AR202" s="61"/>
      <c r="AS202" s="101" t="s">
        <v>175</v>
      </c>
      <c r="AT202" s="206" t="str">
        <f t="shared" si="3"/>
        <v>44459-201</v>
      </c>
    </row>
    <row r="203" spans="1:46" x14ac:dyDescent="0.35">
      <c r="A203" s="204">
        <v>202</v>
      </c>
      <c r="B203" s="14" t="s">
        <v>83</v>
      </c>
      <c r="C203" s="1" t="s">
        <v>152</v>
      </c>
      <c r="D203" s="1" t="s">
        <v>161</v>
      </c>
      <c r="E203" s="12">
        <v>44460</v>
      </c>
      <c r="F203" s="201">
        <v>1.8</v>
      </c>
      <c r="G203" s="201">
        <v>1</v>
      </c>
      <c r="H203" s="201">
        <v>0</v>
      </c>
      <c r="I203" s="201">
        <v>0</v>
      </c>
      <c r="J203" s="201">
        <v>0</v>
      </c>
      <c r="K203" s="201">
        <v>0</v>
      </c>
      <c r="L203" s="201"/>
      <c r="M203" s="201">
        <v>3.3</v>
      </c>
      <c r="N203" s="201">
        <v>1.7</v>
      </c>
      <c r="O203" s="201">
        <v>0.1</v>
      </c>
      <c r="P203" s="201">
        <v>1214.3</v>
      </c>
      <c r="Q203" s="201">
        <v>1299.7</v>
      </c>
      <c r="R203" s="201"/>
      <c r="S203" s="201"/>
      <c r="T203" s="201">
        <v>3182.2</v>
      </c>
      <c r="U203" s="201">
        <v>13.3</v>
      </c>
      <c r="V203" s="201"/>
      <c r="W203" s="201"/>
      <c r="X203" s="201"/>
      <c r="Y203" s="201"/>
      <c r="Z203" s="201"/>
      <c r="AA203" s="61"/>
      <c r="AB203" s="201"/>
      <c r="AC203" s="61"/>
      <c r="AD203" s="201">
        <v>6</v>
      </c>
      <c r="AE203" s="61"/>
      <c r="AF203" s="61">
        <v>0</v>
      </c>
      <c r="AG203" s="61"/>
      <c r="AH203" s="61"/>
      <c r="AI203" s="61"/>
      <c r="AJ203" s="61"/>
      <c r="AK203" s="61"/>
      <c r="AL203" s="291">
        <v>19</v>
      </c>
      <c r="AM203" s="201">
        <v>17</v>
      </c>
      <c r="AN203" s="201">
        <v>12</v>
      </c>
      <c r="AO203" s="61"/>
      <c r="AP203" s="61"/>
      <c r="AQ203" s="61"/>
      <c r="AR203" s="61"/>
      <c r="AS203" s="101" t="s">
        <v>177</v>
      </c>
      <c r="AT203" s="206" t="str">
        <f t="shared" si="3"/>
        <v>44460-202</v>
      </c>
    </row>
    <row r="204" spans="1:46" x14ac:dyDescent="0.35">
      <c r="A204" s="204">
        <v>203</v>
      </c>
      <c r="B204" s="14" t="s">
        <v>83</v>
      </c>
      <c r="C204" s="1" t="s">
        <v>157</v>
      </c>
      <c r="D204" s="1" t="s">
        <v>161</v>
      </c>
      <c r="E204" s="12">
        <v>44460</v>
      </c>
      <c r="F204" s="201">
        <v>0</v>
      </c>
      <c r="G204" s="201">
        <v>0.8</v>
      </c>
      <c r="H204" s="201">
        <v>0</v>
      </c>
      <c r="I204" s="201">
        <v>0</v>
      </c>
      <c r="J204" s="201">
        <v>0</v>
      </c>
      <c r="K204" s="201">
        <v>0</v>
      </c>
      <c r="L204" s="201"/>
      <c r="M204" s="201">
        <v>17.100000000000001</v>
      </c>
      <c r="N204" s="201">
        <v>0</v>
      </c>
      <c r="O204" s="201">
        <v>1.8</v>
      </c>
      <c r="P204" s="201">
        <v>1.3</v>
      </c>
      <c r="Q204" s="201">
        <v>253.6</v>
      </c>
      <c r="R204" s="201"/>
      <c r="S204" s="201"/>
      <c r="T204" s="201">
        <v>0</v>
      </c>
      <c r="U204" s="201">
        <v>0.1</v>
      </c>
      <c r="V204" s="201"/>
      <c r="W204" s="201"/>
      <c r="X204" s="201"/>
      <c r="Y204" s="201"/>
      <c r="Z204" s="201"/>
      <c r="AA204" s="61"/>
      <c r="AB204" s="201"/>
      <c r="AC204" s="61"/>
      <c r="AD204" s="201">
        <v>76.8</v>
      </c>
      <c r="AE204" s="61"/>
      <c r="AF204" s="61">
        <v>0</v>
      </c>
      <c r="AG204" s="61"/>
      <c r="AH204" s="61"/>
      <c r="AI204" s="61"/>
      <c r="AJ204" s="61"/>
      <c r="AK204" s="61"/>
      <c r="AL204" s="291">
        <v>20</v>
      </c>
      <c r="AM204" s="201">
        <v>20</v>
      </c>
      <c r="AN204" s="201">
        <v>17</v>
      </c>
      <c r="AO204" s="61"/>
      <c r="AP204" s="61"/>
      <c r="AQ204" s="61"/>
      <c r="AR204" s="61"/>
      <c r="AS204" s="101" t="s">
        <v>221</v>
      </c>
      <c r="AT204" s="206" t="str">
        <f t="shared" si="3"/>
        <v>44460-203</v>
      </c>
    </row>
    <row r="205" spans="1:46" x14ac:dyDescent="0.35">
      <c r="A205" s="204">
        <v>204</v>
      </c>
      <c r="B205" s="14" t="s">
        <v>83</v>
      </c>
      <c r="C205" s="1" t="s">
        <v>160</v>
      </c>
      <c r="D205" s="1" t="s">
        <v>161</v>
      </c>
      <c r="E205" s="12">
        <v>44460</v>
      </c>
      <c r="F205" s="201">
        <v>1.4</v>
      </c>
      <c r="G205" s="201">
        <v>1.2</v>
      </c>
      <c r="H205" s="201">
        <v>0</v>
      </c>
      <c r="I205" s="201">
        <v>0</v>
      </c>
      <c r="J205" s="201">
        <v>0</v>
      </c>
      <c r="K205" s="201">
        <v>0</v>
      </c>
      <c r="L205" s="201"/>
      <c r="M205" s="201">
        <v>6.5</v>
      </c>
      <c r="N205" s="201">
        <v>0.4</v>
      </c>
      <c r="O205" s="201">
        <v>1.9</v>
      </c>
      <c r="P205" s="201">
        <v>1222.2</v>
      </c>
      <c r="Q205" s="201">
        <v>1398.6</v>
      </c>
      <c r="R205" s="201"/>
      <c r="S205" s="201"/>
      <c r="T205" s="201">
        <v>2360.4</v>
      </c>
      <c r="U205" s="201">
        <v>491</v>
      </c>
      <c r="V205" s="201"/>
      <c r="W205" s="201"/>
      <c r="X205" s="201"/>
      <c r="Y205" s="201"/>
      <c r="Z205" s="201"/>
      <c r="AA205" s="61"/>
      <c r="AB205" s="201"/>
      <c r="AC205" s="61"/>
      <c r="AD205" s="201">
        <v>15</v>
      </c>
      <c r="AE205" s="61"/>
      <c r="AF205" s="61">
        <v>0</v>
      </c>
      <c r="AG205" s="61"/>
      <c r="AH205" s="61"/>
      <c r="AI205" s="61"/>
      <c r="AJ205" s="61"/>
      <c r="AK205" s="61"/>
      <c r="AL205" s="291">
        <v>24</v>
      </c>
      <c r="AM205" s="201">
        <v>22</v>
      </c>
      <c r="AN205" s="201">
        <v>14</v>
      </c>
      <c r="AO205" s="61"/>
      <c r="AP205" s="61"/>
      <c r="AQ205" s="61"/>
      <c r="AR205" s="61"/>
      <c r="AS205" s="101" t="s">
        <v>176</v>
      </c>
      <c r="AT205" s="206" t="str">
        <f t="shared" si="3"/>
        <v>44460-204</v>
      </c>
    </row>
    <row r="206" spans="1:46" x14ac:dyDescent="0.35">
      <c r="A206" s="204">
        <v>205</v>
      </c>
      <c r="B206" s="14" t="s">
        <v>83</v>
      </c>
      <c r="C206" s="1" t="s">
        <v>152</v>
      </c>
      <c r="D206" s="1" t="s">
        <v>161</v>
      </c>
      <c r="E206" s="12">
        <v>44463</v>
      </c>
      <c r="F206" s="201">
        <v>1.9</v>
      </c>
      <c r="G206" s="201">
        <v>1.1000000000000001</v>
      </c>
      <c r="H206" s="201">
        <v>0</v>
      </c>
      <c r="I206" s="201">
        <v>0</v>
      </c>
      <c r="J206" s="201">
        <v>0</v>
      </c>
      <c r="K206" s="201">
        <v>0</v>
      </c>
      <c r="L206" s="201"/>
      <c r="M206" s="201">
        <v>3.8</v>
      </c>
      <c r="N206" s="201">
        <v>1.7</v>
      </c>
      <c r="O206" s="201">
        <v>0.7</v>
      </c>
      <c r="P206" s="201">
        <v>1188.9000000000001</v>
      </c>
      <c r="Q206" s="201">
        <v>1288.4000000000001</v>
      </c>
      <c r="R206" s="201"/>
      <c r="S206" s="201"/>
      <c r="T206" s="201">
        <v>3149.3</v>
      </c>
      <c r="U206" s="201">
        <v>11.8</v>
      </c>
      <c r="V206" s="201"/>
      <c r="W206" s="201"/>
      <c r="X206" s="201"/>
      <c r="Y206" s="201"/>
      <c r="Z206" s="201"/>
      <c r="AA206" s="61"/>
      <c r="AB206" s="201"/>
      <c r="AC206" s="61"/>
      <c r="AD206" s="201">
        <v>5.9</v>
      </c>
      <c r="AE206" s="61"/>
      <c r="AF206" s="61">
        <v>0</v>
      </c>
      <c r="AG206" s="61"/>
      <c r="AH206" s="61"/>
      <c r="AI206" s="61"/>
      <c r="AJ206" s="61"/>
      <c r="AK206" s="61"/>
      <c r="AL206" s="291">
        <v>19</v>
      </c>
      <c r="AM206" s="201">
        <v>17</v>
      </c>
      <c r="AN206" s="201">
        <v>13</v>
      </c>
      <c r="AO206" s="61"/>
      <c r="AP206" s="61"/>
      <c r="AQ206" s="61"/>
      <c r="AR206" s="61"/>
      <c r="AS206" s="101" t="s">
        <v>178</v>
      </c>
      <c r="AT206" s="206" t="str">
        <f t="shared" si="3"/>
        <v>44463-205</v>
      </c>
    </row>
    <row r="207" spans="1:46" x14ac:dyDescent="0.35">
      <c r="A207" s="204">
        <v>206</v>
      </c>
      <c r="B207" s="14" t="s">
        <v>83</v>
      </c>
      <c r="C207" s="1" t="s">
        <v>160</v>
      </c>
      <c r="D207" s="1" t="s">
        <v>161</v>
      </c>
      <c r="E207" s="12">
        <v>44463</v>
      </c>
      <c r="F207" s="201">
        <v>1.4</v>
      </c>
      <c r="G207" s="201">
        <v>1.3</v>
      </c>
      <c r="H207" s="201">
        <v>0</v>
      </c>
      <c r="I207" s="201">
        <v>0</v>
      </c>
      <c r="J207" s="201">
        <v>0</v>
      </c>
      <c r="K207" s="201">
        <v>0</v>
      </c>
      <c r="L207" s="201"/>
      <c r="M207" s="201">
        <v>7.2</v>
      </c>
      <c r="N207" s="201">
        <v>1</v>
      </c>
      <c r="O207" s="201">
        <v>1.4</v>
      </c>
      <c r="P207" s="201">
        <v>1237.7</v>
      </c>
      <c r="Q207" s="201">
        <v>1429.3</v>
      </c>
      <c r="R207" s="201"/>
      <c r="S207" s="201"/>
      <c r="T207" s="201">
        <v>2408.1999999999998</v>
      </c>
      <c r="U207" s="201">
        <v>497.9</v>
      </c>
      <c r="V207" s="201"/>
      <c r="W207" s="201"/>
      <c r="X207" s="201"/>
      <c r="Y207" s="201"/>
      <c r="Z207" s="201"/>
      <c r="AA207" s="61"/>
      <c r="AB207" s="201"/>
      <c r="AC207" s="61"/>
      <c r="AD207" s="201">
        <v>15</v>
      </c>
      <c r="AE207" s="61"/>
      <c r="AF207" s="61">
        <v>0</v>
      </c>
      <c r="AG207" s="61"/>
      <c r="AH207" s="61"/>
      <c r="AI207" s="61"/>
      <c r="AJ207" s="61"/>
      <c r="AK207" s="61"/>
      <c r="AL207" s="291">
        <v>24</v>
      </c>
      <c r="AM207" s="201">
        <v>22</v>
      </c>
      <c r="AN207" s="201">
        <v>15</v>
      </c>
      <c r="AO207" s="61"/>
      <c r="AP207" s="61"/>
      <c r="AQ207" s="61"/>
      <c r="AR207" s="61"/>
      <c r="AS207" s="101" t="s">
        <v>179</v>
      </c>
      <c r="AT207" s="206" t="str">
        <f t="shared" si="3"/>
        <v>44463-206</v>
      </c>
    </row>
    <row r="208" spans="1:46" x14ac:dyDescent="0.35">
      <c r="A208" s="204">
        <v>207</v>
      </c>
      <c r="B208" s="14" t="s">
        <v>83</v>
      </c>
      <c r="C208" s="1" t="s">
        <v>155</v>
      </c>
      <c r="D208" s="1" t="s">
        <v>161</v>
      </c>
      <c r="E208" s="12">
        <v>44463</v>
      </c>
      <c r="F208" s="201">
        <v>1.7</v>
      </c>
      <c r="G208" s="201">
        <v>1</v>
      </c>
      <c r="H208" s="201">
        <v>0</v>
      </c>
      <c r="I208" s="201">
        <v>0</v>
      </c>
      <c r="J208" s="201">
        <v>0</v>
      </c>
      <c r="K208" s="201">
        <v>0</v>
      </c>
      <c r="L208" s="201"/>
      <c r="M208" s="201">
        <v>8.4</v>
      </c>
      <c r="N208" s="201">
        <v>2</v>
      </c>
      <c r="O208" s="201">
        <v>0</v>
      </c>
      <c r="P208" s="201">
        <v>1223.7</v>
      </c>
      <c r="Q208" s="201">
        <v>1334.1</v>
      </c>
      <c r="R208" s="201"/>
      <c r="S208" s="201"/>
      <c r="T208" s="201">
        <v>3182.2</v>
      </c>
      <c r="U208" s="201">
        <v>13.2</v>
      </c>
      <c r="V208" s="201"/>
      <c r="W208" s="201"/>
      <c r="X208" s="201"/>
      <c r="Y208" s="201"/>
      <c r="Z208" s="201"/>
      <c r="AA208" s="61"/>
      <c r="AB208" s="201"/>
      <c r="AC208" s="61"/>
      <c r="AD208" s="201">
        <v>25.4</v>
      </c>
      <c r="AE208" s="61"/>
      <c r="AF208" s="61">
        <v>0</v>
      </c>
      <c r="AG208" s="61"/>
      <c r="AH208" s="61"/>
      <c r="AI208" s="61"/>
      <c r="AJ208" s="61"/>
      <c r="AK208" s="61"/>
      <c r="AL208" s="291">
        <v>21</v>
      </c>
      <c r="AM208" s="201">
        <v>19</v>
      </c>
      <c r="AN208" s="201">
        <v>15</v>
      </c>
      <c r="AO208" s="61"/>
      <c r="AP208" s="61"/>
      <c r="AQ208" s="61"/>
      <c r="AR208" s="61"/>
      <c r="AS208" s="101" t="s">
        <v>180</v>
      </c>
      <c r="AT208" s="206" t="str">
        <f t="shared" si="3"/>
        <v>44463-207</v>
      </c>
    </row>
    <row r="209" spans="1:46" x14ac:dyDescent="0.35">
      <c r="A209" s="204">
        <v>208</v>
      </c>
      <c r="B209" s="14" t="s">
        <v>83</v>
      </c>
      <c r="C209" s="1" t="s">
        <v>152</v>
      </c>
      <c r="D209" s="1" t="s">
        <v>161</v>
      </c>
      <c r="E209" s="12">
        <v>44464</v>
      </c>
      <c r="F209" s="201">
        <v>1.7</v>
      </c>
      <c r="G209" s="201">
        <v>1</v>
      </c>
      <c r="H209" s="201">
        <v>0</v>
      </c>
      <c r="I209" s="201">
        <v>0</v>
      </c>
      <c r="J209" s="201">
        <v>0</v>
      </c>
      <c r="K209" s="201">
        <v>0</v>
      </c>
      <c r="L209" s="201"/>
      <c r="M209" s="201">
        <v>3.7</v>
      </c>
      <c r="N209" s="201">
        <v>2.1</v>
      </c>
      <c r="O209" s="201">
        <v>0</v>
      </c>
      <c r="P209" s="201">
        <v>1221.5999999999999</v>
      </c>
      <c r="Q209" s="201">
        <v>1327.4</v>
      </c>
      <c r="R209" s="201"/>
      <c r="S209" s="201"/>
      <c r="T209" s="201">
        <v>3178.4</v>
      </c>
      <c r="U209" s="201">
        <v>11.7</v>
      </c>
      <c r="V209" s="201"/>
      <c r="W209" s="201"/>
      <c r="X209" s="201"/>
      <c r="Y209" s="201"/>
      <c r="Z209" s="201"/>
      <c r="AA209" s="61"/>
      <c r="AB209" s="201"/>
      <c r="AC209" s="61"/>
      <c r="AD209" s="201">
        <v>5.9</v>
      </c>
      <c r="AE209" s="61"/>
      <c r="AF209" s="61">
        <v>0</v>
      </c>
      <c r="AG209" s="61"/>
      <c r="AH209" s="61"/>
      <c r="AI209" s="61"/>
      <c r="AJ209" s="61"/>
      <c r="AK209" s="61"/>
      <c r="AL209" s="291">
        <v>19</v>
      </c>
      <c r="AM209" s="201">
        <v>17</v>
      </c>
      <c r="AN209" s="201">
        <v>12</v>
      </c>
      <c r="AO209" s="61"/>
      <c r="AP209" s="61"/>
      <c r="AQ209" s="61"/>
      <c r="AR209" s="61"/>
      <c r="AS209" s="101" t="s">
        <v>176</v>
      </c>
      <c r="AT209" s="206" t="str">
        <f t="shared" si="3"/>
        <v>44464-208</v>
      </c>
    </row>
    <row r="210" spans="1:46" x14ac:dyDescent="0.35">
      <c r="A210" s="204">
        <v>209</v>
      </c>
      <c r="B210" s="14" t="s">
        <v>83</v>
      </c>
      <c r="C210" s="1" t="s">
        <v>155</v>
      </c>
      <c r="D210" s="1" t="s">
        <v>161</v>
      </c>
      <c r="E210" s="12">
        <v>44464</v>
      </c>
      <c r="F210" s="201">
        <v>1.7</v>
      </c>
      <c r="G210" s="201">
        <v>1</v>
      </c>
      <c r="H210" s="201">
        <v>0</v>
      </c>
      <c r="I210" s="201">
        <v>0</v>
      </c>
      <c r="J210" s="201">
        <v>0</v>
      </c>
      <c r="K210" s="201">
        <v>0</v>
      </c>
      <c r="L210" s="201"/>
      <c r="M210" s="201">
        <v>7.6</v>
      </c>
      <c r="N210" s="201">
        <v>2.1</v>
      </c>
      <c r="O210" s="201">
        <v>0.2</v>
      </c>
      <c r="P210" s="201">
        <v>1237.8</v>
      </c>
      <c r="Q210" s="201">
        <v>1337.8</v>
      </c>
      <c r="R210" s="201"/>
      <c r="S210" s="201"/>
      <c r="T210" s="201">
        <v>3228.6</v>
      </c>
      <c r="U210" s="201">
        <v>11.8</v>
      </c>
      <c r="V210" s="201"/>
      <c r="W210" s="201"/>
      <c r="X210" s="201"/>
      <c r="Y210" s="201"/>
      <c r="Z210" s="201"/>
      <c r="AA210" s="61"/>
      <c r="AB210" s="201"/>
      <c r="AC210" s="61"/>
      <c r="AD210" s="201">
        <v>25.5</v>
      </c>
      <c r="AE210" s="61"/>
      <c r="AF210" s="61">
        <v>0</v>
      </c>
      <c r="AG210" s="61"/>
      <c r="AH210" s="61"/>
      <c r="AI210" s="61"/>
      <c r="AJ210" s="61"/>
      <c r="AK210" s="61"/>
      <c r="AL210" s="291">
        <v>20</v>
      </c>
      <c r="AM210" s="201">
        <v>18</v>
      </c>
      <c r="AN210" s="201">
        <v>13</v>
      </c>
      <c r="AO210" s="61"/>
      <c r="AP210" s="61"/>
      <c r="AQ210" s="61"/>
      <c r="AR210" s="61"/>
      <c r="AS210" s="101" t="s">
        <v>177</v>
      </c>
      <c r="AT210" s="206" t="str">
        <f t="shared" si="3"/>
        <v>44464-209</v>
      </c>
    </row>
    <row r="211" spans="1:46" x14ac:dyDescent="0.35">
      <c r="A211" s="204">
        <v>210</v>
      </c>
      <c r="B211" s="14" t="s">
        <v>83</v>
      </c>
      <c r="C211" s="1" t="s">
        <v>160</v>
      </c>
      <c r="D211" s="1" t="s">
        <v>161</v>
      </c>
      <c r="E211" s="12">
        <v>44464</v>
      </c>
      <c r="F211" s="201">
        <v>1.4</v>
      </c>
      <c r="G211" s="201">
        <v>1.2</v>
      </c>
      <c r="H211" s="201">
        <v>0</v>
      </c>
      <c r="I211" s="201">
        <v>0</v>
      </c>
      <c r="J211" s="201">
        <v>0</v>
      </c>
      <c r="K211" s="201">
        <v>0</v>
      </c>
      <c r="L211" s="201"/>
      <c r="M211" s="201">
        <v>7.5</v>
      </c>
      <c r="N211" s="201">
        <v>0.8</v>
      </c>
      <c r="O211" s="201">
        <v>1.7</v>
      </c>
      <c r="P211" s="201">
        <v>1245.0999999999999</v>
      </c>
      <c r="Q211" s="201">
        <v>1450.7</v>
      </c>
      <c r="R211" s="201"/>
      <c r="S211" s="201"/>
      <c r="T211" s="201">
        <v>2411.4</v>
      </c>
      <c r="U211" s="201">
        <v>494.2</v>
      </c>
      <c r="V211" s="201"/>
      <c r="W211" s="201"/>
      <c r="X211" s="201"/>
      <c r="Y211" s="201"/>
      <c r="Z211" s="201"/>
      <c r="AA211" s="61"/>
      <c r="AB211" s="201"/>
      <c r="AC211" s="61"/>
      <c r="AD211" s="201">
        <v>15</v>
      </c>
      <c r="AE211" s="61"/>
      <c r="AF211" s="61">
        <v>0</v>
      </c>
      <c r="AG211" s="61"/>
      <c r="AH211" s="61"/>
      <c r="AI211" s="61"/>
      <c r="AJ211" s="61"/>
      <c r="AK211" s="61"/>
      <c r="AL211" s="291">
        <v>23</v>
      </c>
      <c r="AM211" s="201">
        <v>22</v>
      </c>
      <c r="AN211" s="201">
        <v>15</v>
      </c>
      <c r="AO211" s="61"/>
      <c r="AP211" s="61"/>
      <c r="AQ211" s="61"/>
      <c r="AR211" s="61"/>
      <c r="AS211" s="101" t="s">
        <v>215</v>
      </c>
      <c r="AT211" s="206" t="str">
        <f t="shared" si="3"/>
        <v>44464-210</v>
      </c>
    </row>
    <row r="212" spans="1:46" x14ac:dyDescent="0.35">
      <c r="A212" s="204">
        <v>211</v>
      </c>
      <c r="B212" s="14" t="s">
        <v>83</v>
      </c>
      <c r="C212" s="1" t="s">
        <v>198</v>
      </c>
      <c r="D212" s="1" t="s">
        <v>161</v>
      </c>
      <c r="E212" s="12">
        <v>44466</v>
      </c>
      <c r="F212" s="201">
        <v>2</v>
      </c>
      <c r="G212" s="201">
        <v>0.9</v>
      </c>
      <c r="H212" s="201">
        <v>0</v>
      </c>
      <c r="I212" s="201">
        <v>0</v>
      </c>
      <c r="J212" s="201">
        <v>0</v>
      </c>
      <c r="K212" s="201">
        <v>0</v>
      </c>
      <c r="L212" s="201"/>
      <c r="M212" s="201">
        <v>3.7</v>
      </c>
      <c r="N212" s="201">
        <v>2.2000000000000002</v>
      </c>
      <c r="O212" s="201">
        <v>0.6</v>
      </c>
      <c r="P212" s="201">
        <v>1187.5999999999999</v>
      </c>
      <c r="Q212" s="201">
        <v>1255</v>
      </c>
      <c r="R212" s="201"/>
      <c r="S212" s="201"/>
      <c r="T212" s="201">
        <v>3111</v>
      </c>
      <c r="U212" s="201">
        <v>11.7</v>
      </c>
      <c r="V212" s="201"/>
      <c r="W212" s="201"/>
      <c r="X212" s="201"/>
      <c r="Y212" s="201"/>
      <c r="Z212" s="201"/>
      <c r="AA212" s="61"/>
      <c r="AB212" s="201"/>
      <c r="AC212" s="61"/>
      <c r="AD212" s="201">
        <v>11.1</v>
      </c>
      <c r="AE212" s="61"/>
      <c r="AF212" s="61">
        <v>0</v>
      </c>
      <c r="AG212" s="61"/>
      <c r="AH212" s="61"/>
      <c r="AI212" s="61"/>
      <c r="AJ212" s="61"/>
      <c r="AK212" s="61"/>
      <c r="AL212" s="291">
        <v>19</v>
      </c>
      <c r="AM212" s="201">
        <v>17</v>
      </c>
      <c r="AN212" s="201">
        <v>14</v>
      </c>
      <c r="AO212" s="61"/>
      <c r="AP212" s="61"/>
      <c r="AQ212" s="61"/>
      <c r="AR212" s="61"/>
      <c r="AS212" s="101" t="s">
        <v>173</v>
      </c>
      <c r="AT212" s="206" t="str">
        <f t="shared" si="3"/>
        <v>44466-211</v>
      </c>
    </row>
    <row r="213" spans="1:46" x14ac:dyDescent="0.35">
      <c r="A213" s="204">
        <v>212</v>
      </c>
      <c r="B213" s="14" t="s">
        <v>83</v>
      </c>
      <c r="C213" s="1" t="s">
        <v>152</v>
      </c>
      <c r="D213" s="1" t="s">
        <v>161</v>
      </c>
      <c r="E213" s="12">
        <v>44466</v>
      </c>
      <c r="F213" s="201">
        <v>1.8</v>
      </c>
      <c r="G213" s="201">
        <v>1</v>
      </c>
      <c r="H213" s="201">
        <v>0</v>
      </c>
      <c r="I213" s="201">
        <v>0</v>
      </c>
      <c r="J213" s="201">
        <v>0</v>
      </c>
      <c r="K213" s="201">
        <v>0</v>
      </c>
      <c r="L213" s="201"/>
      <c r="M213" s="201">
        <v>3.3</v>
      </c>
      <c r="N213" s="201">
        <v>2.5</v>
      </c>
      <c r="O213" s="201">
        <v>0.4</v>
      </c>
      <c r="P213" s="201">
        <v>1192.7</v>
      </c>
      <c r="Q213" s="201">
        <v>1239.7</v>
      </c>
      <c r="R213" s="201"/>
      <c r="S213" s="201"/>
      <c r="T213" s="201">
        <v>3118</v>
      </c>
      <c r="U213" s="201">
        <v>12.2</v>
      </c>
      <c r="V213" s="201"/>
      <c r="W213" s="201"/>
      <c r="X213" s="201"/>
      <c r="Y213" s="201"/>
      <c r="Z213" s="201"/>
      <c r="AA213" s="61"/>
      <c r="AB213" s="201"/>
      <c r="AC213" s="61"/>
      <c r="AD213" s="201">
        <v>6.1</v>
      </c>
      <c r="AE213" s="61"/>
      <c r="AF213" s="61">
        <v>0</v>
      </c>
      <c r="AG213" s="61"/>
      <c r="AH213" s="61"/>
      <c r="AI213" s="61"/>
      <c r="AJ213" s="61"/>
      <c r="AK213" s="61"/>
      <c r="AL213" s="291">
        <v>20</v>
      </c>
      <c r="AM213" s="201">
        <v>18</v>
      </c>
      <c r="AN213" s="201">
        <v>13</v>
      </c>
      <c r="AO213" s="61"/>
      <c r="AP213" s="61"/>
      <c r="AQ213" s="61"/>
      <c r="AR213" s="61"/>
      <c r="AS213" s="101" t="s">
        <v>174</v>
      </c>
      <c r="AT213" s="206" t="str">
        <f t="shared" si="3"/>
        <v>44466-212</v>
      </c>
    </row>
    <row r="214" spans="1:46" x14ac:dyDescent="0.35">
      <c r="A214" s="204">
        <v>213</v>
      </c>
      <c r="B214" s="14" t="s">
        <v>83</v>
      </c>
      <c r="C214" s="1" t="s">
        <v>160</v>
      </c>
      <c r="D214" s="1" t="s">
        <v>161</v>
      </c>
      <c r="E214" s="12">
        <v>44466</v>
      </c>
      <c r="F214" s="201">
        <v>1.5</v>
      </c>
      <c r="G214" s="201">
        <v>1.2</v>
      </c>
      <c r="H214" s="201">
        <v>0</v>
      </c>
      <c r="I214" s="201">
        <v>0</v>
      </c>
      <c r="J214" s="201">
        <v>0</v>
      </c>
      <c r="K214" s="201">
        <v>0</v>
      </c>
      <c r="L214" s="201"/>
      <c r="M214" s="201">
        <v>6.9</v>
      </c>
      <c r="N214" s="201">
        <v>0.9</v>
      </c>
      <c r="O214" s="201">
        <v>2.1</v>
      </c>
      <c r="P214" s="201">
        <v>1211.7</v>
      </c>
      <c r="Q214" s="201">
        <v>1359.9</v>
      </c>
      <c r="R214" s="201"/>
      <c r="S214" s="201"/>
      <c r="T214" s="201">
        <v>2347.6999999999998</v>
      </c>
      <c r="U214" s="201">
        <v>489.4</v>
      </c>
      <c r="V214" s="201"/>
      <c r="W214" s="201"/>
      <c r="X214" s="201"/>
      <c r="Y214" s="201"/>
      <c r="Z214" s="201"/>
      <c r="AA214" s="61"/>
      <c r="AB214" s="201"/>
      <c r="AC214" s="61"/>
      <c r="AD214" s="201">
        <v>14.8</v>
      </c>
      <c r="AE214" s="61"/>
      <c r="AF214" s="61">
        <v>0</v>
      </c>
      <c r="AG214" s="61"/>
      <c r="AH214" s="61"/>
      <c r="AI214" s="61"/>
      <c r="AJ214" s="61"/>
      <c r="AK214" s="61"/>
      <c r="AL214" s="291">
        <v>24</v>
      </c>
      <c r="AM214" s="201">
        <v>22</v>
      </c>
      <c r="AN214" s="201">
        <v>15</v>
      </c>
      <c r="AO214" s="61"/>
      <c r="AP214" s="61"/>
      <c r="AQ214" s="61"/>
      <c r="AR214" s="61"/>
      <c r="AS214" s="101" t="s">
        <v>175</v>
      </c>
      <c r="AT214" s="206" t="str">
        <f t="shared" si="3"/>
        <v>44466-213</v>
      </c>
    </row>
    <row r="215" spans="1:46" x14ac:dyDescent="0.35">
      <c r="A215" s="204">
        <v>214</v>
      </c>
      <c r="B215" s="14" t="s">
        <v>83</v>
      </c>
      <c r="C215" s="1" t="s">
        <v>198</v>
      </c>
      <c r="D215" s="1" t="s">
        <v>161</v>
      </c>
      <c r="E215" s="12">
        <v>44467</v>
      </c>
      <c r="F215" s="201">
        <v>1.8</v>
      </c>
      <c r="G215" s="201">
        <v>0.9</v>
      </c>
      <c r="H215" s="201">
        <v>0</v>
      </c>
      <c r="I215" s="201">
        <v>0</v>
      </c>
      <c r="J215" s="201">
        <v>0</v>
      </c>
      <c r="K215" s="201">
        <v>0</v>
      </c>
      <c r="L215" s="201"/>
      <c r="M215" s="201">
        <v>2.9</v>
      </c>
      <c r="N215" s="201">
        <v>1.9</v>
      </c>
      <c r="O215" s="201">
        <v>0.5</v>
      </c>
      <c r="P215" s="201">
        <v>1193.2</v>
      </c>
      <c r="Q215" s="201">
        <v>1263.8</v>
      </c>
      <c r="R215" s="201"/>
      <c r="S215" s="201"/>
      <c r="T215" s="201">
        <v>3093.7</v>
      </c>
      <c r="U215" s="201">
        <v>11.9</v>
      </c>
      <c r="V215" s="201"/>
      <c r="W215" s="201"/>
      <c r="X215" s="201"/>
      <c r="Y215" s="201"/>
      <c r="Z215" s="201"/>
      <c r="AA215" s="61"/>
      <c r="AB215" s="201"/>
      <c r="AC215" s="61"/>
      <c r="AD215" s="201">
        <v>11</v>
      </c>
      <c r="AE215" s="61"/>
      <c r="AF215" s="61">
        <v>0</v>
      </c>
      <c r="AG215" s="61"/>
      <c r="AH215" s="61"/>
      <c r="AI215" s="61"/>
      <c r="AJ215" s="61"/>
      <c r="AK215" s="61"/>
      <c r="AL215" s="291">
        <v>19</v>
      </c>
      <c r="AM215" s="201">
        <v>17</v>
      </c>
      <c r="AN215" s="201">
        <v>8</v>
      </c>
      <c r="AO215" s="61"/>
      <c r="AP215" s="61"/>
      <c r="AQ215" s="61"/>
      <c r="AR215" s="61"/>
      <c r="AS215" s="101" t="s">
        <v>216</v>
      </c>
      <c r="AT215" s="206" t="str">
        <f t="shared" si="3"/>
        <v>44467-214</v>
      </c>
    </row>
    <row r="216" spans="1:46" x14ac:dyDescent="0.35">
      <c r="A216" s="204">
        <v>215</v>
      </c>
      <c r="B216" s="14" t="s">
        <v>83</v>
      </c>
      <c r="C216" s="1" t="s">
        <v>152</v>
      </c>
      <c r="D216" s="1" t="s">
        <v>161</v>
      </c>
      <c r="E216" s="12">
        <v>44467</v>
      </c>
      <c r="F216" s="201">
        <v>1.7</v>
      </c>
      <c r="G216" s="201">
        <v>1</v>
      </c>
      <c r="H216" s="201">
        <v>0</v>
      </c>
      <c r="I216" s="201">
        <v>0</v>
      </c>
      <c r="J216" s="201">
        <v>0</v>
      </c>
      <c r="K216" s="201">
        <v>0</v>
      </c>
      <c r="L216" s="201"/>
      <c r="M216" s="201">
        <v>3.1</v>
      </c>
      <c r="N216" s="201">
        <v>2.2000000000000002</v>
      </c>
      <c r="O216" s="201">
        <v>0.4</v>
      </c>
      <c r="P216" s="201">
        <v>1176.0999999999999</v>
      </c>
      <c r="Q216" s="201">
        <v>1254</v>
      </c>
      <c r="R216" s="201"/>
      <c r="S216" s="201"/>
      <c r="T216" s="201">
        <v>3019.8</v>
      </c>
      <c r="U216" s="201">
        <v>12.3</v>
      </c>
      <c r="V216" s="201"/>
      <c r="W216" s="201"/>
      <c r="X216" s="201"/>
      <c r="Y216" s="201"/>
      <c r="Z216" s="201"/>
      <c r="AA216" s="61"/>
      <c r="AB216" s="201"/>
      <c r="AC216" s="61"/>
      <c r="AD216" s="201">
        <v>6.1</v>
      </c>
      <c r="AE216" s="61"/>
      <c r="AF216" s="61">
        <v>0</v>
      </c>
      <c r="AG216" s="61"/>
      <c r="AH216" s="61"/>
      <c r="AI216" s="61"/>
      <c r="AJ216" s="61"/>
      <c r="AK216" s="61"/>
      <c r="AL216" s="291">
        <v>18</v>
      </c>
      <c r="AM216" s="201">
        <v>17</v>
      </c>
      <c r="AN216" s="201">
        <v>11</v>
      </c>
      <c r="AO216" s="61"/>
      <c r="AP216" s="61"/>
      <c r="AQ216" s="61"/>
      <c r="AR216" s="61"/>
      <c r="AS216" s="101" t="s">
        <v>184</v>
      </c>
      <c r="AT216" s="206" t="str">
        <f t="shared" si="3"/>
        <v>44467-215</v>
      </c>
    </row>
    <row r="217" spans="1:46" x14ac:dyDescent="0.35">
      <c r="A217" s="204">
        <v>216</v>
      </c>
      <c r="B217" s="14" t="s">
        <v>83</v>
      </c>
      <c r="C217" s="1" t="s">
        <v>160</v>
      </c>
      <c r="D217" s="1" t="s">
        <v>161</v>
      </c>
      <c r="E217" s="12">
        <v>44467</v>
      </c>
      <c r="F217" s="201">
        <v>1.4</v>
      </c>
      <c r="G217" s="201">
        <v>1.1000000000000001</v>
      </c>
      <c r="H217" s="201">
        <v>0</v>
      </c>
      <c r="I217" s="201">
        <v>0</v>
      </c>
      <c r="J217" s="201">
        <v>0</v>
      </c>
      <c r="K217" s="201">
        <v>0</v>
      </c>
      <c r="L217" s="201"/>
      <c r="M217" s="201">
        <v>7.1</v>
      </c>
      <c r="N217" s="201">
        <v>1</v>
      </c>
      <c r="O217" s="201">
        <v>1.9</v>
      </c>
      <c r="P217" s="201">
        <v>1198.3</v>
      </c>
      <c r="Q217" s="201">
        <v>1361.3</v>
      </c>
      <c r="R217" s="201"/>
      <c r="S217" s="201"/>
      <c r="T217" s="201">
        <v>2327.4</v>
      </c>
      <c r="U217" s="201">
        <v>486</v>
      </c>
      <c r="V217" s="201"/>
      <c r="W217" s="201"/>
      <c r="X217" s="201"/>
      <c r="Y217" s="201"/>
      <c r="Z217" s="201"/>
      <c r="AA217" s="61"/>
      <c r="AB217" s="201"/>
      <c r="AC217" s="61"/>
      <c r="AD217" s="201">
        <v>14.9</v>
      </c>
      <c r="AE217" s="61"/>
      <c r="AF217" s="61">
        <v>0</v>
      </c>
      <c r="AG217" s="61"/>
      <c r="AH217" s="61"/>
      <c r="AI217" s="61"/>
      <c r="AJ217" s="61"/>
      <c r="AK217" s="61"/>
      <c r="AL217" s="291">
        <v>24</v>
      </c>
      <c r="AM217" s="201">
        <v>22</v>
      </c>
      <c r="AN217" s="201">
        <v>15</v>
      </c>
      <c r="AO217" s="61"/>
      <c r="AP217" s="61"/>
      <c r="AQ217" s="61"/>
      <c r="AR217" s="61"/>
      <c r="AS217" s="101" t="s">
        <v>185</v>
      </c>
      <c r="AT217" s="206" t="str">
        <f t="shared" si="3"/>
        <v>44467-216</v>
      </c>
    </row>
    <row r="218" spans="1:46" x14ac:dyDescent="0.35">
      <c r="A218" s="204">
        <v>217</v>
      </c>
      <c r="B218" s="14" t="s">
        <v>83</v>
      </c>
      <c r="C218" s="1" t="s">
        <v>198</v>
      </c>
      <c r="D218" s="1" t="s">
        <v>161</v>
      </c>
      <c r="E218" s="12">
        <v>44474</v>
      </c>
      <c r="F218" s="201">
        <v>1.9</v>
      </c>
      <c r="G218" s="201">
        <v>1.1000000000000001</v>
      </c>
      <c r="H218" s="201">
        <v>0</v>
      </c>
      <c r="I218" s="201">
        <v>0</v>
      </c>
      <c r="J218" s="201">
        <v>0</v>
      </c>
      <c r="K218" s="201">
        <v>0</v>
      </c>
      <c r="L218" s="201"/>
      <c r="M218" s="201">
        <v>4.0999999999999996</v>
      </c>
      <c r="N218" s="201">
        <v>2.6</v>
      </c>
      <c r="O218" s="201">
        <v>0</v>
      </c>
      <c r="P218" s="201">
        <v>1176</v>
      </c>
      <c r="Q218" s="201">
        <v>1295</v>
      </c>
      <c r="R218" s="201"/>
      <c r="S218" s="201"/>
      <c r="T218" s="201">
        <v>2987</v>
      </c>
      <c r="U218" s="201">
        <v>10.3</v>
      </c>
      <c r="V218" s="201"/>
      <c r="W218" s="201"/>
      <c r="X218" s="201"/>
      <c r="Y218" s="201"/>
      <c r="Z218" s="201"/>
      <c r="AA218" s="61"/>
      <c r="AB218" s="201"/>
      <c r="AC218" s="61"/>
      <c r="AD218" s="201">
        <v>11.1</v>
      </c>
      <c r="AE218" s="61"/>
      <c r="AF218" s="61">
        <v>0</v>
      </c>
      <c r="AG218" s="61"/>
      <c r="AH218" s="61"/>
      <c r="AI218" s="61"/>
      <c r="AJ218" s="61"/>
      <c r="AK218" s="61"/>
      <c r="AL218" s="291">
        <v>19</v>
      </c>
      <c r="AM218" s="201">
        <v>16</v>
      </c>
      <c r="AN218" s="201">
        <v>9</v>
      </c>
      <c r="AO218" s="61"/>
      <c r="AP218" s="61"/>
      <c r="AQ218" s="61"/>
      <c r="AR218" s="61"/>
      <c r="AS218" s="101" t="s">
        <v>222</v>
      </c>
      <c r="AT218" s="206" t="str">
        <f t="shared" si="3"/>
        <v>44474-217</v>
      </c>
    </row>
    <row r="219" spans="1:46" x14ac:dyDescent="0.35">
      <c r="A219" s="204">
        <v>218</v>
      </c>
      <c r="B219" s="14" t="s">
        <v>83</v>
      </c>
      <c r="C219" s="1" t="s">
        <v>160</v>
      </c>
      <c r="D219" s="1" t="s">
        <v>161</v>
      </c>
      <c r="E219" s="12">
        <v>44474</v>
      </c>
      <c r="F219" s="201">
        <v>1.5</v>
      </c>
      <c r="G219" s="201">
        <v>1.5</v>
      </c>
      <c r="H219" s="201">
        <v>0.1</v>
      </c>
      <c r="I219" s="201">
        <v>0</v>
      </c>
      <c r="J219" s="201">
        <v>0</v>
      </c>
      <c r="K219" s="201">
        <v>0</v>
      </c>
      <c r="L219" s="201"/>
      <c r="M219" s="201">
        <v>9.6</v>
      </c>
      <c r="N219" s="201">
        <v>0.1</v>
      </c>
      <c r="O219" s="201">
        <v>0.8</v>
      </c>
      <c r="P219" s="201">
        <v>1218</v>
      </c>
      <c r="Q219" s="201">
        <v>1423</v>
      </c>
      <c r="R219" s="201"/>
      <c r="S219" s="201"/>
      <c r="T219" s="201">
        <v>2281</v>
      </c>
      <c r="U219" s="201">
        <v>469.5</v>
      </c>
      <c r="V219" s="201"/>
      <c r="W219" s="201"/>
      <c r="X219" s="201"/>
      <c r="Y219" s="201"/>
      <c r="Z219" s="201"/>
      <c r="AA219" s="61"/>
      <c r="AB219" s="201"/>
      <c r="AC219" s="61"/>
      <c r="AD219" s="201">
        <v>15.6</v>
      </c>
      <c r="AE219" s="61"/>
      <c r="AF219" s="61">
        <v>0</v>
      </c>
      <c r="AG219" s="61"/>
      <c r="AH219" s="61"/>
      <c r="AI219" s="61"/>
      <c r="AJ219" s="61"/>
      <c r="AK219" s="61"/>
      <c r="AL219" s="291">
        <v>24</v>
      </c>
      <c r="AM219" s="201">
        <v>22</v>
      </c>
      <c r="AN219" s="201">
        <v>14</v>
      </c>
      <c r="AO219" s="61"/>
      <c r="AP219" s="61"/>
      <c r="AQ219" s="61"/>
      <c r="AR219" s="61"/>
      <c r="AS219" s="101" t="s">
        <v>223</v>
      </c>
      <c r="AT219" s="206" t="str">
        <f t="shared" si="3"/>
        <v>44474-218</v>
      </c>
    </row>
    <row r="220" spans="1:46" x14ac:dyDescent="0.35">
      <c r="A220" s="204">
        <v>219</v>
      </c>
      <c r="B220" s="14" t="s">
        <v>83</v>
      </c>
      <c r="C220" s="1" t="s">
        <v>152</v>
      </c>
      <c r="D220" s="1" t="s">
        <v>161</v>
      </c>
      <c r="E220" s="12">
        <v>44474</v>
      </c>
      <c r="F220" s="201">
        <v>2</v>
      </c>
      <c r="G220" s="201">
        <v>1</v>
      </c>
      <c r="H220" s="201">
        <v>0</v>
      </c>
      <c r="I220" s="201">
        <v>0.1</v>
      </c>
      <c r="J220" s="201">
        <v>0</v>
      </c>
      <c r="K220" s="201">
        <v>0</v>
      </c>
      <c r="L220" s="201"/>
      <c r="M220" s="201">
        <v>4.3</v>
      </c>
      <c r="N220" s="201">
        <v>2.1</v>
      </c>
      <c r="O220" s="201">
        <v>0</v>
      </c>
      <c r="P220" s="201">
        <v>1167</v>
      </c>
      <c r="Q220" s="201">
        <v>1291</v>
      </c>
      <c r="R220" s="201"/>
      <c r="S220" s="201"/>
      <c r="T220" s="201">
        <v>2939</v>
      </c>
      <c r="U220" s="201">
        <v>11.7</v>
      </c>
      <c r="V220" s="201"/>
      <c r="W220" s="201"/>
      <c r="X220" s="201"/>
      <c r="Y220" s="201"/>
      <c r="Z220" s="201"/>
      <c r="AA220" s="61"/>
      <c r="AB220" s="201"/>
      <c r="AC220" s="61"/>
      <c r="AD220" s="201">
        <v>6.1</v>
      </c>
      <c r="AE220" s="61"/>
      <c r="AF220" s="61">
        <v>0</v>
      </c>
      <c r="AG220" s="61"/>
      <c r="AH220" s="61"/>
      <c r="AI220" s="61"/>
      <c r="AJ220" s="61"/>
      <c r="AK220" s="61"/>
      <c r="AL220" s="291">
        <v>20</v>
      </c>
      <c r="AM220" s="201">
        <v>19</v>
      </c>
      <c r="AN220" s="201">
        <v>12</v>
      </c>
      <c r="AO220" s="61"/>
      <c r="AP220" s="61"/>
      <c r="AQ220" s="61"/>
      <c r="AR220" s="61"/>
      <c r="AS220" s="101" t="s">
        <v>224</v>
      </c>
      <c r="AT220" s="206" t="str">
        <f t="shared" si="3"/>
        <v>44474-219</v>
      </c>
    </row>
    <row r="221" spans="1:46" x14ac:dyDescent="0.35">
      <c r="A221" s="204">
        <v>220</v>
      </c>
      <c r="B221" s="14" t="s">
        <v>83</v>
      </c>
      <c r="C221" s="1" t="s">
        <v>152</v>
      </c>
      <c r="D221" s="1" t="s">
        <v>161</v>
      </c>
      <c r="E221" s="12">
        <v>44476</v>
      </c>
      <c r="F221" s="201">
        <v>1.9</v>
      </c>
      <c r="G221" s="201">
        <v>1</v>
      </c>
      <c r="H221" s="201">
        <v>0</v>
      </c>
      <c r="I221" s="201">
        <v>0</v>
      </c>
      <c r="J221" s="201">
        <v>0</v>
      </c>
      <c r="K221" s="201">
        <v>0</v>
      </c>
      <c r="L221" s="201"/>
      <c r="M221" s="201">
        <v>4.3</v>
      </c>
      <c r="N221" s="201">
        <v>1.9</v>
      </c>
      <c r="O221" s="201">
        <v>1.1000000000000001</v>
      </c>
      <c r="P221" s="201">
        <v>1201.7</v>
      </c>
      <c r="Q221" s="201">
        <v>1294.8</v>
      </c>
      <c r="R221" s="201"/>
      <c r="S221" s="201"/>
      <c r="T221" s="201">
        <v>3092.3</v>
      </c>
      <c r="U221" s="201">
        <v>12.4</v>
      </c>
      <c r="V221" s="201"/>
      <c r="W221" s="201"/>
      <c r="X221" s="201"/>
      <c r="Y221" s="201"/>
      <c r="Z221" s="201"/>
      <c r="AA221" s="61"/>
      <c r="AB221" s="201"/>
      <c r="AC221" s="61"/>
      <c r="AD221" s="201">
        <v>5.9</v>
      </c>
      <c r="AE221" s="61"/>
      <c r="AF221" s="61">
        <v>0</v>
      </c>
      <c r="AG221" s="61"/>
      <c r="AH221" s="61"/>
      <c r="AI221" s="61"/>
      <c r="AJ221" s="61"/>
      <c r="AK221" s="61"/>
      <c r="AL221" s="291">
        <v>19</v>
      </c>
      <c r="AM221" s="201">
        <v>17</v>
      </c>
      <c r="AN221" s="201">
        <v>11</v>
      </c>
      <c r="AO221" s="61"/>
      <c r="AP221" s="61"/>
      <c r="AQ221" s="61"/>
      <c r="AR221" s="61"/>
      <c r="AS221" s="101" t="s">
        <v>172</v>
      </c>
      <c r="AT221" s="206" t="str">
        <f t="shared" si="3"/>
        <v>44476-220</v>
      </c>
    </row>
    <row r="222" spans="1:46" x14ac:dyDescent="0.35">
      <c r="A222" s="204">
        <v>221</v>
      </c>
      <c r="B222" s="14" t="s">
        <v>83</v>
      </c>
      <c r="C222" s="1" t="s">
        <v>160</v>
      </c>
      <c r="D222" s="1" t="s">
        <v>161</v>
      </c>
      <c r="E222" s="12">
        <v>44476</v>
      </c>
      <c r="F222" s="201">
        <v>1.5</v>
      </c>
      <c r="G222" s="201">
        <v>1.4</v>
      </c>
      <c r="H222" s="201">
        <v>0</v>
      </c>
      <c r="I222" s="201">
        <v>0</v>
      </c>
      <c r="J222" s="201">
        <v>0</v>
      </c>
      <c r="K222" s="201">
        <v>0</v>
      </c>
      <c r="L222" s="201"/>
      <c r="M222" s="201">
        <v>9.8000000000000007</v>
      </c>
      <c r="N222" s="201">
        <v>0.5</v>
      </c>
      <c r="O222" s="201">
        <v>3.1</v>
      </c>
      <c r="P222" s="201">
        <v>1236.8</v>
      </c>
      <c r="Q222" s="201">
        <v>1408.6</v>
      </c>
      <c r="R222" s="201"/>
      <c r="S222" s="201"/>
      <c r="T222" s="201">
        <v>2379</v>
      </c>
      <c r="U222" s="201">
        <v>491.8</v>
      </c>
      <c r="V222" s="201"/>
      <c r="W222" s="201"/>
      <c r="X222" s="201"/>
      <c r="Y222" s="201"/>
      <c r="Z222" s="201"/>
      <c r="AA222" s="61"/>
      <c r="AB222" s="201"/>
      <c r="AC222" s="61"/>
      <c r="AD222" s="201">
        <v>15.2</v>
      </c>
      <c r="AE222" s="61"/>
      <c r="AF222" s="61">
        <v>0</v>
      </c>
      <c r="AG222" s="61"/>
      <c r="AH222" s="61"/>
      <c r="AI222" s="61"/>
      <c r="AJ222" s="61"/>
      <c r="AK222" s="61"/>
      <c r="AL222" s="291">
        <v>24</v>
      </c>
      <c r="AM222" s="201">
        <v>22</v>
      </c>
      <c r="AN222" s="201">
        <v>15</v>
      </c>
      <c r="AO222" s="61"/>
      <c r="AP222" s="61"/>
      <c r="AQ222" s="61"/>
      <c r="AR222" s="61"/>
      <c r="AS222" s="101" t="s">
        <v>191</v>
      </c>
      <c r="AT222" s="206" t="str">
        <f t="shared" si="3"/>
        <v>44476-221</v>
      </c>
    </row>
    <row r="223" spans="1:46" x14ac:dyDescent="0.35">
      <c r="A223" s="204">
        <v>222</v>
      </c>
      <c r="B223" s="14" t="s">
        <v>83</v>
      </c>
      <c r="C223" s="1" t="s">
        <v>160</v>
      </c>
      <c r="D223" s="1" t="s">
        <v>161</v>
      </c>
      <c r="E223" s="12">
        <v>44476</v>
      </c>
      <c r="F223" s="201">
        <v>1.5</v>
      </c>
      <c r="G223" s="201">
        <v>1.3</v>
      </c>
      <c r="H223" s="201">
        <v>0</v>
      </c>
      <c r="I223" s="201">
        <v>0</v>
      </c>
      <c r="J223" s="201">
        <v>0</v>
      </c>
      <c r="K223" s="201">
        <v>0</v>
      </c>
      <c r="L223" s="201"/>
      <c r="M223" s="201">
        <v>9.4</v>
      </c>
      <c r="N223" s="201">
        <v>0.6</v>
      </c>
      <c r="O223" s="201">
        <v>2.8</v>
      </c>
      <c r="P223" s="201">
        <v>1225.3</v>
      </c>
      <c r="Q223" s="201">
        <v>1412.6</v>
      </c>
      <c r="R223" s="201"/>
      <c r="S223" s="201"/>
      <c r="T223" s="201">
        <v>2361</v>
      </c>
      <c r="U223" s="201">
        <v>489.5</v>
      </c>
      <c r="V223" s="201"/>
      <c r="W223" s="201"/>
      <c r="X223" s="201"/>
      <c r="Y223" s="201"/>
      <c r="Z223" s="201"/>
      <c r="AA223" s="61"/>
      <c r="AB223" s="201"/>
      <c r="AC223" s="61"/>
      <c r="AD223" s="201">
        <v>15.1</v>
      </c>
      <c r="AE223" s="61"/>
      <c r="AF223" s="61">
        <v>0</v>
      </c>
      <c r="AG223" s="61"/>
      <c r="AH223" s="61"/>
      <c r="AI223" s="61"/>
      <c r="AJ223" s="61"/>
      <c r="AK223" s="61"/>
      <c r="AL223" s="291">
        <v>24</v>
      </c>
      <c r="AM223" s="201">
        <v>22</v>
      </c>
      <c r="AN223" s="201">
        <v>14</v>
      </c>
      <c r="AO223" s="61"/>
      <c r="AP223" s="61"/>
      <c r="AQ223" s="61"/>
      <c r="AR223" s="61"/>
      <c r="AS223" s="101" t="s">
        <v>171</v>
      </c>
      <c r="AT223" s="206" t="str">
        <f t="shared" si="3"/>
        <v>44476-222</v>
      </c>
    </row>
    <row r="224" spans="1:46" x14ac:dyDescent="0.35">
      <c r="A224" s="204">
        <v>223</v>
      </c>
      <c r="B224" s="14" t="s">
        <v>83</v>
      </c>
      <c r="C224" s="1" t="s">
        <v>160</v>
      </c>
      <c r="D224" s="1" t="s">
        <v>161</v>
      </c>
      <c r="E224" s="12">
        <v>44479</v>
      </c>
      <c r="F224" s="201">
        <v>1.3</v>
      </c>
      <c r="G224" s="201">
        <v>1.3</v>
      </c>
      <c r="H224" s="201">
        <v>0</v>
      </c>
      <c r="I224" s="201">
        <v>0</v>
      </c>
      <c r="J224" s="201">
        <v>0</v>
      </c>
      <c r="K224" s="201">
        <v>0</v>
      </c>
      <c r="L224" s="201"/>
      <c r="M224" s="201">
        <v>8.1999999999999993</v>
      </c>
      <c r="N224" s="201">
        <v>0.7</v>
      </c>
      <c r="O224" s="201">
        <v>2</v>
      </c>
      <c r="P224" s="201">
        <v>1201.5999999999999</v>
      </c>
      <c r="Q224" s="201">
        <v>1390.6</v>
      </c>
      <c r="R224" s="201"/>
      <c r="S224" s="201"/>
      <c r="T224" s="201">
        <v>2322.6999999999998</v>
      </c>
      <c r="U224" s="201">
        <v>485</v>
      </c>
      <c r="V224" s="201"/>
      <c r="W224" s="201"/>
      <c r="X224" s="201"/>
      <c r="Y224" s="201"/>
      <c r="Z224" s="201"/>
      <c r="AA224" s="61"/>
      <c r="AB224" s="201"/>
      <c r="AC224" s="61"/>
      <c r="AD224" s="201">
        <v>14.9</v>
      </c>
      <c r="AE224" s="61"/>
      <c r="AF224" s="61">
        <v>0</v>
      </c>
      <c r="AG224" s="61"/>
      <c r="AH224" s="61"/>
      <c r="AI224" s="61"/>
      <c r="AJ224" s="61"/>
      <c r="AK224" s="61"/>
      <c r="AL224" s="291">
        <v>24</v>
      </c>
      <c r="AM224" s="201">
        <v>22</v>
      </c>
      <c r="AN224" s="201">
        <v>15</v>
      </c>
      <c r="AO224" s="61"/>
      <c r="AP224" s="61"/>
      <c r="AQ224" s="61"/>
      <c r="AR224" s="61"/>
      <c r="AS224" s="101" t="s">
        <v>185</v>
      </c>
      <c r="AT224" s="206" t="str">
        <f t="shared" si="3"/>
        <v>44479-223</v>
      </c>
    </row>
    <row r="225" spans="1:46" x14ac:dyDescent="0.35">
      <c r="A225" s="204">
        <v>224</v>
      </c>
      <c r="B225" s="14" t="s">
        <v>83</v>
      </c>
      <c r="C225" s="1" t="s">
        <v>152</v>
      </c>
      <c r="D225" s="1" t="s">
        <v>161</v>
      </c>
      <c r="E225" s="12">
        <v>44479</v>
      </c>
      <c r="F225" s="201">
        <v>1.6</v>
      </c>
      <c r="G225" s="201">
        <v>0.9</v>
      </c>
      <c r="H225" s="201">
        <v>0</v>
      </c>
      <c r="I225" s="201">
        <v>0</v>
      </c>
      <c r="J225" s="201">
        <v>0</v>
      </c>
      <c r="K225" s="201">
        <v>0</v>
      </c>
      <c r="L225" s="201"/>
      <c r="M225" s="201">
        <v>4.0999999999999996</v>
      </c>
      <c r="N225" s="201">
        <v>2</v>
      </c>
      <c r="O225" s="201">
        <v>0.3</v>
      </c>
      <c r="P225" s="201">
        <v>1195.4000000000001</v>
      </c>
      <c r="Q225" s="201">
        <v>1295.3</v>
      </c>
      <c r="R225" s="201"/>
      <c r="S225" s="201"/>
      <c r="T225" s="201">
        <v>3072.3</v>
      </c>
      <c r="U225" s="201">
        <v>13.8</v>
      </c>
      <c r="V225" s="201"/>
      <c r="W225" s="201"/>
      <c r="X225" s="201"/>
      <c r="Y225" s="201"/>
      <c r="Z225" s="201"/>
      <c r="AA225" s="61"/>
      <c r="AB225" s="201"/>
      <c r="AC225" s="61"/>
      <c r="AD225" s="201">
        <v>5.9</v>
      </c>
      <c r="AE225" s="61"/>
      <c r="AF225" s="61">
        <v>0</v>
      </c>
      <c r="AG225" s="61"/>
      <c r="AH225" s="61"/>
      <c r="AI225" s="61"/>
      <c r="AJ225" s="61"/>
      <c r="AK225" s="61"/>
      <c r="AL225" s="291">
        <v>19</v>
      </c>
      <c r="AM225" s="201">
        <v>17</v>
      </c>
      <c r="AN225" s="201">
        <v>11</v>
      </c>
      <c r="AO225" s="61"/>
      <c r="AP225" s="61"/>
      <c r="AQ225" s="61"/>
      <c r="AR225" s="61"/>
      <c r="AS225" s="101" t="s">
        <v>184</v>
      </c>
      <c r="AT225" s="206" t="str">
        <f t="shared" si="3"/>
        <v>44479-224</v>
      </c>
    </row>
    <row r="226" spans="1:46" x14ac:dyDescent="0.35">
      <c r="A226" s="204">
        <v>225</v>
      </c>
      <c r="B226" s="14" t="s">
        <v>83</v>
      </c>
      <c r="C226" s="1" t="s">
        <v>160</v>
      </c>
      <c r="D226" s="1" t="s">
        <v>161</v>
      </c>
      <c r="E226" s="12">
        <v>44479</v>
      </c>
      <c r="F226" s="201">
        <v>1.3</v>
      </c>
      <c r="G226" s="201">
        <v>1.3</v>
      </c>
      <c r="H226" s="201">
        <v>0</v>
      </c>
      <c r="I226" s="201">
        <v>0</v>
      </c>
      <c r="J226" s="201">
        <v>0</v>
      </c>
      <c r="K226" s="201">
        <v>0</v>
      </c>
      <c r="L226" s="201"/>
      <c r="M226" s="201">
        <v>8</v>
      </c>
      <c r="N226" s="201">
        <v>0.7</v>
      </c>
      <c r="O226" s="201">
        <v>1.8</v>
      </c>
      <c r="P226" s="201">
        <v>1205.5</v>
      </c>
      <c r="Q226" s="201">
        <v>1405.3</v>
      </c>
      <c r="R226" s="201"/>
      <c r="S226" s="201"/>
      <c r="T226" s="201">
        <v>2326.5</v>
      </c>
      <c r="U226" s="201">
        <v>490.4</v>
      </c>
      <c r="V226" s="201"/>
      <c r="W226" s="201"/>
      <c r="X226" s="201"/>
      <c r="Y226" s="201"/>
      <c r="Z226" s="201"/>
      <c r="AA226" s="61"/>
      <c r="AB226" s="201"/>
      <c r="AC226" s="61"/>
      <c r="AD226" s="201">
        <v>14.9</v>
      </c>
      <c r="AE226" s="61"/>
      <c r="AF226" s="61">
        <v>0</v>
      </c>
      <c r="AG226" s="61"/>
      <c r="AH226" s="61"/>
      <c r="AI226" s="61"/>
      <c r="AJ226" s="61"/>
      <c r="AK226" s="61"/>
      <c r="AL226" s="291">
        <v>24</v>
      </c>
      <c r="AM226" s="201">
        <v>23</v>
      </c>
      <c r="AN226" s="201">
        <v>17</v>
      </c>
      <c r="AO226" s="61"/>
      <c r="AP226" s="61"/>
      <c r="AQ226" s="61"/>
      <c r="AR226" s="61"/>
      <c r="AS226" s="101" t="s">
        <v>176</v>
      </c>
      <c r="AT226" s="206" t="str">
        <f t="shared" si="3"/>
        <v>44479-225</v>
      </c>
    </row>
    <row r="227" spans="1:46" x14ac:dyDescent="0.35">
      <c r="A227" s="204">
        <v>226</v>
      </c>
      <c r="B227" s="14" t="s">
        <v>83</v>
      </c>
      <c r="C227" s="1" t="s">
        <v>152</v>
      </c>
      <c r="D227" s="1" t="s">
        <v>161</v>
      </c>
      <c r="E227" s="12">
        <v>44479</v>
      </c>
      <c r="F227" s="201">
        <v>1.6</v>
      </c>
      <c r="G227" s="201">
        <v>0.9</v>
      </c>
      <c r="H227" s="201">
        <v>0</v>
      </c>
      <c r="I227" s="201">
        <v>0</v>
      </c>
      <c r="J227" s="201">
        <v>0</v>
      </c>
      <c r="K227" s="201">
        <v>0</v>
      </c>
      <c r="L227" s="201"/>
      <c r="M227" s="201">
        <v>4</v>
      </c>
      <c r="N227" s="201">
        <v>2</v>
      </c>
      <c r="O227" s="201">
        <v>0.1</v>
      </c>
      <c r="P227" s="201">
        <v>1170</v>
      </c>
      <c r="Q227" s="201">
        <v>1281.3</v>
      </c>
      <c r="R227" s="201"/>
      <c r="S227" s="201"/>
      <c r="T227" s="201">
        <v>3016.2</v>
      </c>
      <c r="U227" s="201">
        <v>12.4</v>
      </c>
      <c r="V227" s="201"/>
      <c r="W227" s="201"/>
      <c r="X227" s="201"/>
      <c r="Y227" s="201"/>
      <c r="Z227" s="201"/>
      <c r="AA227" s="61"/>
      <c r="AB227" s="201"/>
      <c r="AC227" s="61"/>
      <c r="AD227" s="201">
        <v>5.9</v>
      </c>
      <c r="AE227" s="61"/>
      <c r="AF227" s="61">
        <v>0</v>
      </c>
      <c r="AG227" s="61"/>
      <c r="AH227" s="61"/>
      <c r="AI227" s="61"/>
      <c r="AJ227" s="61"/>
      <c r="AK227" s="61"/>
      <c r="AL227" s="291">
        <v>19</v>
      </c>
      <c r="AM227" s="201">
        <v>17</v>
      </c>
      <c r="AN227" s="201">
        <v>11</v>
      </c>
      <c r="AO227" s="61"/>
      <c r="AP227" s="61"/>
      <c r="AQ227" s="61"/>
      <c r="AR227" s="61"/>
      <c r="AS227" s="101" t="s">
        <v>177</v>
      </c>
      <c r="AT227" s="206" t="str">
        <f t="shared" si="3"/>
        <v>44479-226</v>
      </c>
    </row>
    <row r="228" spans="1:46" x14ac:dyDescent="0.35">
      <c r="A228" s="204">
        <v>227</v>
      </c>
      <c r="B228" s="14" t="s">
        <v>83</v>
      </c>
      <c r="C228" s="1" t="s">
        <v>160</v>
      </c>
      <c r="D228" s="1" t="s">
        <v>161</v>
      </c>
      <c r="E228" s="12">
        <v>44481</v>
      </c>
      <c r="F228" s="201">
        <v>1.5</v>
      </c>
      <c r="G228" s="201">
        <v>1.4</v>
      </c>
      <c r="H228" s="201">
        <v>0</v>
      </c>
      <c r="I228" s="201">
        <v>0</v>
      </c>
      <c r="J228" s="201">
        <v>0</v>
      </c>
      <c r="K228" s="201">
        <v>0</v>
      </c>
      <c r="L228" s="201"/>
      <c r="M228" s="201">
        <v>9.3000000000000007</v>
      </c>
      <c r="N228" s="201">
        <v>1.3</v>
      </c>
      <c r="O228" s="201">
        <v>1.6</v>
      </c>
      <c r="P228" s="201">
        <v>1230.4000000000001</v>
      </c>
      <c r="Q228" s="201">
        <v>1331.5</v>
      </c>
      <c r="R228" s="201"/>
      <c r="S228" s="201"/>
      <c r="T228" s="201">
        <v>2336.4</v>
      </c>
      <c r="U228" s="201">
        <v>473.7</v>
      </c>
      <c r="V228" s="201"/>
      <c r="W228" s="201"/>
      <c r="X228" s="201"/>
      <c r="Y228" s="201"/>
      <c r="Z228" s="201"/>
      <c r="AA228" s="61"/>
      <c r="AB228" s="201"/>
      <c r="AC228" s="61"/>
      <c r="AD228" s="201">
        <v>15.1</v>
      </c>
      <c r="AE228" s="61"/>
      <c r="AF228" s="61">
        <v>0</v>
      </c>
      <c r="AG228" s="61"/>
      <c r="AH228" s="61"/>
      <c r="AI228" s="61"/>
      <c r="AJ228" s="61"/>
      <c r="AK228" s="61"/>
      <c r="AL228" s="291">
        <v>24</v>
      </c>
      <c r="AM228" s="201">
        <v>23</v>
      </c>
      <c r="AN228" s="201">
        <v>15</v>
      </c>
      <c r="AO228" s="61"/>
      <c r="AP228" s="61"/>
      <c r="AQ228" s="61"/>
      <c r="AR228" s="61"/>
      <c r="AS228" s="101" t="s">
        <v>162</v>
      </c>
      <c r="AT228" s="206" t="str">
        <f t="shared" si="3"/>
        <v>44481-227</v>
      </c>
    </row>
    <row r="229" spans="1:46" x14ac:dyDescent="0.35">
      <c r="A229" s="204">
        <v>228</v>
      </c>
      <c r="B229" s="14" t="s">
        <v>83</v>
      </c>
      <c r="C229" s="1" t="s">
        <v>160</v>
      </c>
      <c r="D229" s="1" t="s">
        <v>161</v>
      </c>
      <c r="E229" s="12">
        <v>44481</v>
      </c>
      <c r="F229" s="201">
        <v>1.5</v>
      </c>
      <c r="G229" s="201">
        <v>1.5</v>
      </c>
      <c r="H229" s="201">
        <v>0</v>
      </c>
      <c r="I229" s="201">
        <v>0</v>
      </c>
      <c r="J229" s="201">
        <v>0</v>
      </c>
      <c r="K229" s="201">
        <v>0</v>
      </c>
      <c r="L229" s="201"/>
      <c r="M229" s="201">
        <v>9.3000000000000007</v>
      </c>
      <c r="N229" s="201">
        <v>1.2</v>
      </c>
      <c r="O229" s="201">
        <v>2.1</v>
      </c>
      <c r="P229" s="201">
        <v>1218.8</v>
      </c>
      <c r="Q229" s="201">
        <v>1351.4</v>
      </c>
      <c r="R229" s="201"/>
      <c r="S229" s="201"/>
      <c r="T229" s="201">
        <v>2315.3000000000002</v>
      </c>
      <c r="U229" s="201">
        <v>479.1</v>
      </c>
      <c r="V229" s="201"/>
      <c r="W229" s="201"/>
      <c r="X229" s="201"/>
      <c r="Y229" s="201"/>
      <c r="Z229" s="201"/>
      <c r="AA229" s="61"/>
      <c r="AB229" s="201"/>
      <c r="AC229" s="61"/>
      <c r="AD229" s="201">
        <v>15.1</v>
      </c>
      <c r="AE229" s="61"/>
      <c r="AF229" s="61">
        <v>0</v>
      </c>
      <c r="AG229" s="61"/>
      <c r="AH229" s="61"/>
      <c r="AI229" s="61"/>
      <c r="AJ229" s="61"/>
      <c r="AK229" s="61"/>
      <c r="AL229" s="291">
        <v>24</v>
      </c>
      <c r="AM229" s="201">
        <v>23</v>
      </c>
      <c r="AN229" s="201">
        <v>15</v>
      </c>
      <c r="AO229" s="61"/>
      <c r="AP229" s="61"/>
      <c r="AQ229" s="61"/>
      <c r="AR229" s="61"/>
      <c r="AS229" s="101" t="s">
        <v>163</v>
      </c>
      <c r="AT229" s="206" t="str">
        <f t="shared" si="3"/>
        <v>44481-228</v>
      </c>
    </row>
    <row r="230" spans="1:46" x14ac:dyDescent="0.35">
      <c r="A230" s="204">
        <v>229</v>
      </c>
      <c r="B230" s="14" t="s">
        <v>83</v>
      </c>
      <c r="C230" s="1" t="s">
        <v>160</v>
      </c>
      <c r="D230" s="1" t="s">
        <v>161</v>
      </c>
      <c r="E230" s="12">
        <v>44481</v>
      </c>
      <c r="F230" s="201">
        <v>1.6</v>
      </c>
      <c r="G230" s="201">
        <v>1.5</v>
      </c>
      <c r="H230" s="201">
        <v>0</v>
      </c>
      <c r="I230" s="201">
        <v>0</v>
      </c>
      <c r="J230" s="201">
        <v>0</v>
      </c>
      <c r="K230" s="201">
        <v>0</v>
      </c>
      <c r="L230" s="201"/>
      <c r="M230" s="201">
        <v>9.6</v>
      </c>
      <c r="N230" s="201">
        <v>1.3</v>
      </c>
      <c r="O230" s="201">
        <v>1.3</v>
      </c>
      <c r="P230" s="201">
        <v>1225.0999999999999</v>
      </c>
      <c r="Q230" s="201">
        <v>1373.4</v>
      </c>
      <c r="R230" s="201"/>
      <c r="S230" s="201"/>
      <c r="T230" s="201">
        <v>2327.8000000000002</v>
      </c>
      <c r="U230" s="201">
        <v>471</v>
      </c>
      <c r="V230" s="201"/>
      <c r="W230" s="201"/>
      <c r="X230" s="201"/>
      <c r="Y230" s="201"/>
      <c r="Z230" s="201"/>
      <c r="AA230" s="61"/>
      <c r="AB230" s="201"/>
      <c r="AC230" s="61"/>
      <c r="AD230" s="201">
        <v>15.1</v>
      </c>
      <c r="AE230" s="61"/>
      <c r="AF230" s="61">
        <v>0</v>
      </c>
      <c r="AG230" s="61"/>
      <c r="AH230" s="61"/>
      <c r="AI230" s="61"/>
      <c r="AJ230" s="61"/>
      <c r="AK230" s="61"/>
      <c r="AL230" s="291">
        <v>24</v>
      </c>
      <c r="AM230" s="201">
        <v>23</v>
      </c>
      <c r="AN230" s="201">
        <v>15</v>
      </c>
      <c r="AO230" s="61"/>
      <c r="AP230" s="61"/>
      <c r="AQ230" s="61"/>
      <c r="AR230" s="61"/>
      <c r="AS230" s="101" t="s">
        <v>164</v>
      </c>
      <c r="AT230" s="206" t="str">
        <f t="shared" si="3"/>
        <v>44481-229</v>
      </c>
    </row>
    <row r="231" spans="1:46" x14ac:dyDescent="0.35">
      <c r="A231" s="204">
        <v>230</v>
      </c>
      <c r="B231" s="14" t="s">
        <v>83</v>
      </c>
      <c r="C231" s="1" t="s">
        <v>198</v>
      </c>
      <c r="D231" s="1" t="s">
        <v>161</v>
      </c>
      <c r="E231" s="12">
        <v>44485</v>
      </c>
      <c r="F231" s="201">
        <v>1.8</v>
      </c>
      <c r="G231" s="201">
        <v>1</v>
      </c>
      <c r="H231" s="201">
        <v>0</v>
      </c>
      <c r="I231" s="201">
        <v>0.1</v>
      </c>
      <c r="J231" s="201">
        <v>0</v>
      </c>
      <c r="K231" s="201">
        <v>0</v>
      </c>
      <c r="L231" s="201"/>
      <c r="M231" s="201">
        <v>4.4000000000000004</v>
      </c>
      <c r="N231" s="201">
        <v>2.2000000000000002</v>
      </c>
      <c r="O231" s="201">
        <v>0</v>
      </c>
      <c r="P231" s="201">
        <v>1240.5999999999999</v>
      </c>
      <c r="Q231" s="201">
        <v>1722.8</v>
      </c>
      <c r="R231" s="201"/>
      <c r="S231" s="201"/>
      <c r="T231" s="201">
        <v>3229.3</v>
      </c>
      <c r="U231" s="201">
        <v>11.3</v>
      </c>
      <c r="V231" s="201"/>
      <c r="W231" s="201"/>
      <c r="X231" s="201"/>
      <c r="Y231" s="201"/>
      <c r="Z231" s="201"/>
      <c r="AA231" s="61"/>
      <c r="AB231" s="201"/>
      <c r="AC231" s="61"/>
      <c r="AD231" s="201">
        <v>11</v>
      </c>
      <c r="AE231" s="61"/>
      <c r="AF231" s="61">
        <v>0</v>
      </c>
      <c r="AG231" s="61"/>
      <c r="AH231" s="61"/>
      <c r="AI231" s="61"/>
      <c r="AJ231" s="61"/>
      <c r="AK231" s="61"/>
      <c r="AL231" s="291">
        <v>18</v>
      </c>
      <c r="AM231" s="201">
        <v>15</v>
      </c>
      <c r="AN231" s="201">
        <v>13</v>
      </c>
      <c r="AO231" s="61"/>
      <c r="AP231" s="61"/>
      <c r="AQ231" s="61"/>
      <c r="AR231" s="61"/>
      <c r="AS231" s="101" t="s">
        <v>178</v>
      </c>
      <c r="AT231" s="206" t="str">
        <f t="shared" si="3"/>
        <v>44485-230</v>
      </c>
    </row>
    <row r="232" spans="1:46" x14ac:dyDescent="0.35">
      <c r="A232" s="204">
        <v>231</v>
      </c>
      <c r="B232" s="14" t="s">
        <v>83</v>
      </c>
      <c r="C232" s="1" t="s">
        <v>152</v>
      </c>
      <c r="D232" s="1" t="s">
        <v>161</v>
      </c>
      <c r="E232" s="12">
        <v>44485</v>
      </c>
      <c r="F232" s="201">
        <v>1.7</v>
      </c>
      <c r="G232" s="201">
        <v>1</v>
      </c>
      <c r="H232" s="201">
        <v>0</v>
      </c>
      <c r="I232" s="201">
        <v>0.1</v>
      </c>
      <c r="J232" s="201">
        <v>0.1</v>
      </c>
      <c r="K232" s="201">
        <v>0</v>
      </c>
      <c r="L232" s="201"/>
      <c r="M232" s="201">
        <v>4.5999999999999996</v>
      </c>
      <c r="N232" s="201">
        <v>2.1</v>
      </c>
      <c r="O232" s="201">
        <v>0</v>
      </c>
      <c r="P232" s="201">
        <v>1208.5</v>
      </c>
      <c r="Q232" s="201">
        <v>1642.4</v>
      </c>
      <c r="R232" s="201"/>
      <c r="S232" s="201"/>
      <c r="T232" s="201">
        <v>3113.5</v>
      </c>
      <c r="U232" s="201">
        <v>11.2</v>
      </c>
      <c r="V232" s="201"/>
      <c r="W232" s="201"/>
      <c r="X232" s="201"/>
      <c r="Y232" s="201"/>
      <c r="Z232" s="201"/>
      <c r="AA232" s="61"/>
      <c r="AB232" s="201"/>
      <c r="AC232" s="61"/>
      <c r="AD232" s="201">
        <v>6</v>
      </c>
      <c r="AE232" s="61"/>
      <c r="AF232" s="61">
        <v>0</v>
      </c>
      <c r="AG232" s="61"/>
      <c r="AH232" s="61"/>
      <c r="AI232" s="61"/>
      <c r="AJ232" s="61"/>
      <c r="AK232" s="61"/>
      <c r="AL232" s="291">
        <v>20</v>
      </c>
      <c r="AM232" s="201">
        <v>18</v>
      </c>
      <c r="AN232" s="201">
        <v>13</v>
      </c>
      <c r="AO232" s="61"/>
      <c r="AP232" s="61"/>
      <c r="AQ232" s="61"/>
      <c r="AR232" s="61"/>
      <c r="AS232" s="101" t="s">
        <v>179</v>
      </c>
      <c r="AT232" s="206" t="str">
        <f t="shared" si="3"/>
        <v>44485-231</v>
      </c>
    </row>
    <row r="233" spans="1:46" x14ac:dyDescent="0.35">
      <c r="A233" s="204">
        <v>232</v>
      </c>
      <c r="B233" s="14" t="s">
        <v>83</v>
      </c>
      <c r="C233" s="1" t="s">
        <v>160</v>
      </c>
      <c r="D233" s="1" t="s">
        <v>161</v>
      </c>
      <c r="E233" s="12">
        <v>44485</v>
      </c>
      <c r="F233" s="201">
        <v>1.4</v>
      </c>
      <c r="G233" s="201">
        <v>1.5</v>
      </c>
      <c r="H233" s="201">
        <v>0</v>
      </c>
      <c r="I233" s="201">
        <v>0</v>
      </c>
      <c r="J233" s="201">
        <v>0</v>
      </c>
      <c r="K233" s="201">
        <v>0.1</v>
      </c>
      <c r="L233" s="201"/>
      <c r="M233" s="201">
        <v>9.1</v>
      </c>
      <c r="N233" s="201">
        <v>1.3</v>
      </c>
      <c r="O233" s="201">
        <v>1.4</v>
      </c>
      <c r="P233" s="201">
        <v>1257.5999999999999</v>
      </c>
      <c r="Q233" s="201">
        <v>1816.9</v>
      </c>
      <c r="R233" s="201"/>
      <c r="S233" s="201"/>
      <c r="T233" s="201">
        <v>2403.6999999999998</v>
      </c>
      <c r="U233" s="201">
        <v>475.8</v>
      </c>
      <c r="V233" s="201"/>
      <c r="W233" s="201"/>
      <c r="X233" s="201"/>
      <c r="Y233" s="201"/>
      <c r="Z233" s="201"/>
      <c r="AA233" s="61"/>
      <c r="AB233" s="201"/>
      <c r="AC233" s="61"/>
      <c r="AD233" s="201">
        <v>14.9</v>
      </c>
      <c r="AE233" s="61"/>
      <c r="AF233" s="61">
        <v>0</v>
      </c>
      <c r="AG233" s="61"/>
      <c r="AH233" s="61"/>
      <c r="AI233" s="61"/>
      <c r="AJ233" s="61"/>
      <c r="AK233" s="61"/>
      <c r="AL233" s="291">
        <v>24</v>
      </c>
      <c r="AM233" s="201">
        <v>22</v>
      </c>
      <c r="AN233" s="201">
        <v>14</v>
      </c>
      <c r="AO233" s="61"/>
      <c r="AP233" s="61"/>
      <c r="AQ233" s="61"/>
      <c r="AR233" s="61"/>
      <c r="AS233" s="101" t="s">
        <v>180</v>
      </c>
      <c r="AT233" s="206" t="str">
        <f t="shared" si="3"/>
        <v>44485-232</v>
      </c>
    </row>
    <row r="234" spans="1:46" x14ac:dyDescent="0.35">
      <c r="A234" s="204">
        <v>233</v>
      </c>
      <c r="B234" s="14" t="s">
        <v>83</v>
      </c>
      <c r="C234" s="1" t="s">
        <v>198</v>
      </c>
      <c r="D234" s="1" t="s">
        <v>161</v>
      </c>
      <c r="E234" s="12">
        <v>44486</v>
      </c>
      <c r="F234" s="201">
        <v>1.8</v>
      </c>
      <c r="G234" s="201">
        <v>1.1000000000000001</v>
      </c>
      <c r="H234" s="201">
        <v>0</v>
      </c>
      <c r="I234" s="201">
        <v>0.2</v>
      </c>
      <c r="J234" s="201">
        <v>0.1</v>
      </c>
      <c r="K234" s="201">
        <v>0</v>
      </c>
      <c r="L234" s="201"/>
      <c r="M234" s="201">
        <v>4</v>
      </c>
      <c r="N234" s="201">
        <v>2.2999999999999998</v>
      </c>
      <c r="O234" s="201">
        <v>0</v>
      </c>
      <c r="P234" s="201">
        <v>1213.5</v>
      </c>
      <c r="Q234" s="201">
        <v>1663.9</v>
      </c>
      <c r="R234" s="201"/>
      <c r="S234" s="201"/>
      <c r="T234" s="201">
        <v>3134.2</v>
      </c>
      <c r="U234" s="201">
        <v>12</v>
      </c>
      <c r="V234" s="201"/>
      <c r="W234" s="201"/>
      <c r="X234" s="201"/>
      <c r="Y234" s="201"/>
      <c r="Z234" s="201"/>
      <c r="AA234" s="61"/>
      <c r="AB234" s="201"/>
      <c r="AC234" s="61"/>
      <c r="AD234" s="201">
        <v>11</v>
      </c>
      <c r="AE234" s="61"/>
      <c r="AF234" s="61">
        <v>0</v>
      </c>
      <c r="AG234" s="61"/>
      <c r="AH234" s="61"/>
      <c r="AI234" s="61"/>
      <c r="AJ234" s="61"/>
      <c r="AK234" s="61"/>
      <c r="AL234" s="291">
        <v>19</v>
      </c>
      <c r="AM234" s="201">
        <v>17</v>
      </c>
      <c r="AN234" s="201">
        <v>13</v>
      </c>
      <c r="AO234" s="61"/>
      <c r="AP234" s="61"/>
      <c r="AQ234" s="61"/>
      <c r="AR234" s="61"/>
      <c r="AS234" s="101" t="s">
        <v>216</v>
      </c>
      <c r="AT234" s="206" t="str">
        <f t="shared" si="3"/>
        <v>44486-233</v>
      </c>
    </row>
    <row r="235" spans="1:46" x14ac:dyDescent="0.35">
      <c r="A235" s="204">
        <v>234</v>
      </c>
      <c r="B235" s="14" t="s">
        <v>83</v>
      </c>
      <c r="C235" s="1" t="s">
        <v>160</v>
      </c>
      <c r="D235" s="1" t="s">
        <v>161</v>
      </c>
      <c r="E235" s="12">
        <v>44486</v>
      </c>
      <c r="F235" s="201">
        <v>1.5</v>
      </c>
      <c r="G235" s="201">
        <v>1.3</v>
      </c>
      <c r="H235" s="201">
        <v>0</v>
      </c>
      <c r="I235" s="201">
        <v>0</v>
      </c>
      <c r="J235" s="201">
        <v>0</v>
      </c>
      <c r="K235" s="201">
        <v>0</v>
      </c>
      <c r="L235" s="201"/>
      <c r="M235" s="201">
        <v>9.1</v>
      </c>
      <c r="N235" s="201">
        <v>1.1000000000000001</v>
      </c>
      <c r="O235" s="201">
        <v>1.3</v>
      </c>
      <c r="P235" s="201">
        <v>1272.0999999999999</v>
      </c>
      <c r="Q235" s="201">
        <v>1814.9</v>
      </c>
      <c r="R235" s="201"/>
      <c r="S235" s="201"/>
      <c r="T235" s="201">
        <v>2413.9</v>
      </c>
      <c r="U235" s="201">
        <v>479.4</v>
      </c>
      <c r="V235" s="201"/>
      <c r="W235" s="201"/>
      <c r="X235" s="201"/>
      <c r="Y235" s="201"/>
      <c r="Z235" s="201"/>
      <c r="AA235" s="61"/>
      <c r="AB235" s="201"/>
      <c r="AC235" s="61"/>
      <c r="AD235" s="201">
        <v>15</v>
      </c>
      <c r="AE235" s="61"/>
      <c r="AF235" s="61">
        <v>0</v>
      </c>
      <c r="AG235" s="61"/>
      <c r="AH235" s="61"/>
      <c r="AI235" s="61"/>
      <c r="AJ235" s="61"/>
      <c r="AK235" s="61"/>
      <c r="AL235" s="291">
        <v>24</v>
      </c>
      <c r="AM235" s="201">
        <v>22</v>
      </c>
      <c r="AN235" s="201">
        <v>15</v>
      </c>
      <c r="AO235" s="61"/>
      <c r="AP235" s="61"/>
      <c r="AQ235" s="61"/>
      <c r="AR235" s="61"/>
      <c r="AS235" s="101" t="s">
        <v>185</v>
      </c>
      <c r="AT235" s="206" t="str">
        <f t="shared" si="3"/>
        <v>44486-234</v>
      </c>
    </row>
    <row r="236" spans="1:46" x14ac:dyDescent="0.35">
      <c r="A236" s="204">
        <v>235</v>
      </c>
      <c r="B236" s="14" t="s">
        <v>83</v>
      </c>
      <c r="C236" s="1" t="s">
        <v>152</v>
      </c>
      <c r="D236" s="1" t="s">
        <v>161</v>
      </c>
      <c r="E236" s="12">
        <v>44486</v>
      </c>
      <c r="F236" s="201">
        <v>1.7</v>
      </c>
      <c r="G236" s="201">
        <v>1</v>
      </c>
      <c r="H236" s="201">
        <v>0</v>
      </c>
      <c r="I236" s="201">
        <v>0</v>
      </c>
      <c r="J236" s="201">
        <v>0.2</v>
      </c>
      <c r="K236" s="201">
        <v>0</v>
      </c>
      <c r="L236" s="201"/>
      <c r="M236" s="201">
        <v>4.3</v>
      </c>
      <c r="N236" s="201">
        <v>2.2000000000000002</v>
      </c>
      <c r="O236" s="201">
        <v>0</v>
      </c>
      <c r="P236" s="201">
        <v>1224.5999999999999</v>
      </c>
      <c r="Q236" s="201">
        <v>1650</v>
      </c>
      <c r="R236" s="201"/>
      <c r="S236" s="201"/>
      <c r="T236" s="201">
        <v>3110.8</v>
      </c>
      <c r="U236" s="201">
        <v>13</v>
      </c>
      <c r="V236" s="201"/>
      <c r="W236" s="201"/>
      <c r="X236" s="201"/>
      <c r="Y236" s="201"/>
      <c r="Z236" s="201"/>
      <c r="AA236" s="61"/>
      <c r="AB236" s="201"/>
      <c r="AC236" s="61"/>
      <c r="AD236" s="201">
        <v>6</v>
      </c>
      <c r="AE236" s="61"/>
      <c r="AF236" s="61">
        <v>0</v>
      </c>
      <c r="AG236" s="61"/>
      <c r="AH236" s="61"/>
      <c r="AI236" s="61"/>
      <c r="AJ236" s="61"/>
      <c r="AK236" s="61"/>
      <c r="AL236" s="291">
        <v>19</v>
      </c>
      <c r="AM236" s="201">
        <v>17</v>
      </c>
      <c r="AN236" s="201">
        <v>12</v>
      </c>
      <c r="AO236" s="61"/>
      <c r="AP236" s="61"/>
      <c r="AQ236" s="61"/>
      <c r="AR236" s="61"/>
      <c r="AS236" s="101" t="s">
        <v>184</v>
      </c>
      <c r="AT236" s="206" t="str">
        <f t="shared" si="3"/>
        <v>44486-235</v>
      </c>
    </row>
    <row r="237" spans="1:46" x14ac:dyDescent="0.35">
      <c r="A237" s="204">
        <v>236</v>
      </c>
      <c r="B237" s="14" t="s">
        <v>83</v>
      </c>
      <c r="C237" s="1" t="s">
        <v>152</v>
      </c>
      <c r="D237" s="1" t="s">
        <v>161</v>
      </c>
      <c r="E237" s="12">
        <v>44490</v>
      </c>
      <c r="F237" s="201">
        <v>1.6</v>
      </c>
      <c r="G237" s="201">
        <v>1</v>
      </c>
      <c r="H237" s="201">
        <v>0</v>
      </c>
      <c r="I237" s="201">
        <v>0</v>
      </c>
      <c r="J237" s="201">
        <v>0.3</v>
      </c>
      <c r="K237" s="201">
        <v>0</v>
      </c>
      <c r="L237" s="201"/>
      <c r="M237" s="201">
        <v>4.5</v>
      </c>
      <c r="N237" s="201">
        <v>2.4</v>
      </c>
      <c r="O237" s="201">
        <v>0.4</v>
      </c>
      <c r="P237" s="201">
        <v>1131.4000000000001</v>
      </c>
      <c r="Q237" s="201">
        <v>1606.6</v>
      </c>
      <c r="R237" s="201"/>
      <c r="S237" s="201"/>
      <c r="T237" s="201">
        <v>2861.1</v>
      </c>
      <c r="U237" s="201">
        <v>12.1</v>
      </c>
      <c r="V237" s="201"/>
      <c r="W237" s="201"/>
      <c r="X237" s="201"/>
      <c r="Y237" s="201"/>
      <c r="Z237" s="201"/>
      <c r="AA237" s="61"/>
      <c r="AB237" s="201"/>
      <c r="AC237" s="61"/>
      <c r="AD237" s="201">
        <v>6</v>
      </c>
      <c r="AE237" s="61"/>
      <c r="AF237" s="61">
        <v>0</v>
      </c>
      <c r="AG237" s="61"/>
      <c r="AH237" s="61"/>
      <c r="AI237" s="61"/>
      <c r="AJ237" s="61"/>
      <c r="AK237" s="61"/>
      <c r="AL237" s="291">
        <v>20</v>
      </c>
      <c r="AM237" s="201">
        <v>18</v>
      </c>
      <c r="AN237" s="201">
        <v>10</v>
      </c>
      <c r="AO237" s="61"/>
      <c r="AP237" s="61"/>
      <c r="AQ237" s="61"/>
      <c r="AR237" s="61"/>
      <c r="AS237" s="101" t="s">
        <v>184</v>
      </c>
      <c r="AT237" s="206" t="str">
        <f t="shared" si="3"/>
        <v>44490-236</v>
      </c>
    </row>
    <row r="238" spans="1:46" x14ac:dyDescent="0.35">
      <c r="A238" s="204">
        <v>237</v>
      </c>
      <c r="B238" s="14" t="s">
        <v>83</v>
      </c>
      <c r="C238" s="1" t="s">
        <v>152</v>
      </c>
      <c r="D238" s="1" t="s">
        <v>161</v>
      </c>
      <c r="E238" s="12">
        <v>44492</v>
      </c>
      <c r="F238" s="201">
        <v>1.7</v>
      </c>
      <c r="G238" s="201">
        <v>0.9</v>
      </c>
      <c r="H238" s="201">
        <v>0</v>
      </c>
      <c r="I238" s="201">
        <v>0</v>
      </c>
      <c r="J238" s="201">
        <v>0</v>
      </c>
      <c r="K238" s="201">
        <v>0</v>
      </c>
      <c r="L238" s="201"/>
      <c r="M238" s="201">
        <v>4.0999999999999996</v>
      </c>
      <c r="N238" s="201">
        <v>2.2999999999999998</v>
      </c>
      <c r="O238" s="201">
        <v>0</v>
      </c>
      <c r="P238" s="201">
        <v>1145.3</v>
      </c>
      <c r="Q238" s="201">
        <v>1636.3</v>
      </c>
      <c r="R238" s="201"/>
      <c r="S238" s="201"/>
      <c r="T238" s="201">
        <v>2890.1</v>
      </c>
      <c r="U238" s="201">
        <v>13.2</v>
      </c>
      <c r="V238" s="201"/>
      <c r="W238" s="201"/>
      <c r="X238" s="201"/>
      <c r="Y238" s="201"/>
      <c r="Z238" s="201"/>
      <c r="AA238" s="61"/>
      <c r="AB238" s="201"/>
      <c r="AC238" s="61"/>
      <c r="AD238" s="201">
        <v>6</v>
      </c>
      <c r="AE238" s="61"/>
      <c r="AF238" s="61">
        <v>0</v>
      </c>
      <c r="AG238" s="61"/>
      <c r="AH238" s="61"/>
      <c r="AI238" s="61"/>
      <c r="AJ238" s="61"/>
      <c r="AK238" s="61"/>
      <c r="AL238" s="291">
        <v>20</v>
      </c>
      <c r="AM238" s="201">
        <v>18</v>
      </c>
      <c r="AN238" s="201">
        <v>14</v>
      </c>
      <c r="AO238" s="61"/>
      <c r="AP238" s="61"/>
      <c r="AQ238" s="61"/>
      <c r="AR238" s="61"/>
      <c r="AS238" s="101" t="s">
        <v>178</v>
      </c>
      <c r="AT238" s="206" t="str">
        <f t="shared" si="3"/>
        <v>44492-237</v>
      </c>
    </row>
    <row r="239" spans="1:46" x14ac:dyDescent="0.35">
      <c r="A239" s="204">
        <v>238</v>
      </c>
      <c r="B239" s="14" t="s">
        <v>83</v>
      </c>
      <c r="C239" s="1" t="s">
        <v>160</v>
      </c>
      <c r="D239" s="1" t="s">
        <v>161</v>
      </c>
      <c r="E239" s="12">
        <v>44492</v>
      </c>
      <c r="F239" s="201">
        <v>1.4</v>
      </c>
      <c r="G239" s="201">
        <v>1.3</v>
      </c>
      <c r="H239" s="201">
        <v>0</v>
      </c>
      <c r="I239" s="201">
        <v>0</v>
      </c>
      <c r="J239" s="201">
        <v>0</v>
      </c>
      <c r="K239" s="201">
        <v>0</v>
      </c>
      <c r="L239" s="201"/>
      <c r="M239" s="201">
        <v>8.1</v>
      </c>
      <c r="N239" s="201">
        <v>1.1000000000000001</v>
      </c>
      <c r="O239" s="201">
        <v>1.9</v>
      </c>
      <c r="P239" s="201">
        <v>1168.0999999999999</v>
      </c>
      <c r="Q239" s="201">
        <v>1777.7</v>
      </c>
      <c r="R239" s="201"/>
      <c r="S239" s="201"/>
      <c r="T239" s="201">
        <v>2203.5</v>
      </c>
      <c r="U239" s="201">
        <v>443.6</v>
      </c>
      <c r="V239" s="201"/>
      <c r="W239" s="201"/>
      <c r="X239" s="201"/>
      <c r="Y239" s="201"/>
      <c r="Z239" s="201"/>
      <c r="AA239" s="61"/>
      <c r="AB239" s="201"/>
      <c r="AC239" s="61"/>
      <c r="AD239" s="201">
        <v>14.9</v>
      </c>
      <c r="AE239" s="61"/>
      <c r="AF239" s="61">
        <v>0</v>
      </c>
      <c r="AG239" s="61"/>
      <c r="AH239" s="61"/>
      <c r="AI239" s="61"/>
      <c r="AJ239" s="61"/>
      <c r="AK239" s="61"/>
      <c r="AL239" s="291">
        <v>24</v>
      </c>
      <c r="AM239" s="201">
        <v>22</v>
      </c>
      <c r="AN239" s="201">
        <v>15</v>
      </c>
      <c r="AO239" s="61"/>
      <c r="AP239" s="61"/>
      <c r="AQ239" s="61"/>
      <c r="AR239" s="61"/>
      <c r="AS239" s="101" t="s">
        <v>179</v>
      </c>
      <c r="AT239" s="206" t="str">
        <f t="shared" si="3"/>
        <v>44492-238</v>
      </c>
    </row>
    <row r="240" spans="1:46" x14ac:dyDescent="0.35">
      <c r="A240" s="204">
        <v>239</v>
      </c>
      <c r="B240" s="14" t="s">
        <v>83</v>
      </c>
      <c r="C240" s="1" t="s">
        <v>160</v>
      </c>
      <c r="D240" s="1" t="s">
        <v>161</v>
      </c>
      <c r="E240" s="12">
        <v>44492</v>
      </c>
      <c r="F240" s="201">
        <v>1.3</v>
      </c>
      <c r="G240" s="201">
        <v>1.4</v>
      </c>
      <c r="H240" s="201">
        <v>0</v>
      </c>
      <c r="I240" s="201">
        <v>0</v>
      </c>
      <c r="J240" s="201">
        <v>0</v>
      </c>
      <c r="K240" s="201">
        <v>0</v>
      </c>
      <c r="L240" s="201"/>
      <c r="M240" s="201">
        <v>8.1999999999999993</v>
      </c>
      <c r="N240" s="201">
        <v>1.3</v>
      </c>
      <c r="O240" s="201">
        <v>1.6</v>
      </c>
      <c r="P240" s="201">
        <v>1169.3</v>
      </c>
      <c r="Q240" s="201">
        <v>1760.9</v>
      </c>
      <c r="R240" s="201"/>
      <c r="S240" s="201"/>
      <c r="T240" s="201">
        <v>2205.1</v>
      </c>
      <c r="U240" s="201">
        <v>445.7</v>
      </c>
      <c r="V240" s="201"/>
      <c r="W240" s="201"/>
      <c r="X240" s="201"/>
      <c r="Y240" s="201"/>
      <c r="Z240" s="201"/>
      <c r="AA240" s="61"/>
      <c r="AB240" s="201"/>
      <c r="AC240" s="61"/>
      <c r="AD240" s="201">
        <v>15</v>
      </c>
      <c r="AE240" s="61"/>
      <c r="AF240" s="61">
        <v>0</v>
      </c>
      <c r="AG240" s="61"/>
      <c r="AH240" s="61"/>
      <c r="AI240" s="61"/>
      <c r="AJ240" s="61"/>
      <c r="AK240" s="61"/>
      <c r="AL240" s="291">
        <v>24</v>
      </c>
      <c r="AM240" s="201">
        <v>22</v>
      </c>
      <c r="AN240" s="201">
        <v>15</v>
      </c>
      <c r="AO240" s="61"/>
      <c r="AP240" s="61"/>
      <c r="AQ240" s="61"/>
      <c r="AR240" s="61"/>
      <c r="AS240" s="101" t="s">
        <v>180</v>
      </c>
      <c r="AT240" s="206" t="str">
        <f t="shared" si="3"/>
        <v>44492-239</v>
      </c>
    </row>
    <row r="241" spans="1:46" x14ac:dyDescent="0.35">
      <c r="A241" s="204">
        <v>240</v>
      </c>
      <c r="B241" s="14" t="s">
        <v>73</v>
      </c>
      <c r="C241" s="1" t="s">
        <v>157</v>
      </c>
      <c r="D241" s="1" t="s">
        <v>150</v>
      </c>
      <c r="E241" s="12">
        <v>44493</v>
      </c>
      <c r="F241" s="201">
        <v>0</v>
      </c>
      <c r="G241" s="201">
        <v>0</v>
      </c>
      <c r="H241" s="201">
        <v>0</v>
      </c>
      <c r="I241" s="201">
        <v>0</v>
      </c>
      <c r="J241" s="201">
        <v>0</v>
      </c>
      <c r="K241" s="201">
        <v>0</v>
      </c>
      <c r="L241" s="201">
        <v>0</v>
      </c>
      <c r="M241" s="201">
        <v>20</v>
      </c>
      <c r="N241" s="201">
        <v>0</v>
      </c>
      <c r="O241" s="201">
        <v>0</v>
      </c>
      <c r="P241" s="201">
        <v>0</v>
      </c>
      <c r="Q241" s="201">
        <v>278</v>
      </c>
      <c r="R241" s="201">
        <v>32</v>
      </c>
      <c r="S241" s="201">
        <v>0</v>
      </c>
      <c r="T241" s="201">
        <v>0</v>
      </c>
      <c r="U241" s="201">
        <v>0</v>
      </c>
      <c r="V241" s="201">
        <v>0</v>
      </c>
      <c r="W241" s="201">
        <v>0</v>
      </c>
      <c r="X241" s="201">
        <v>0</v>
      </c>
      <c r="Y241" s="201">
        <v>0</v>
      </c>
      <c r="Z241" s="201">
        <v>0</v>
      </c>
      <c r="AA241" s="61"/>
      <c r="AB241" s="201">
        <v>0</v>
      </c>
      <c r="AC241" s="61"/>
      <c r="AD241" s="201">
        <v>77.900000000000006</v>
      </c>
      <c r="AE241" s="61"/>
      <c r="AF241" s="61"/>
      <c r="AG241" s="61"/>
      <c r="AH241" s="61"/>
      <c r="AI241" s="61"/>
      <c r="AJ241" s="61"/>
      <c r="AK241" s="61"/>
      <c r="AL241" s="291"/>
      <c r="AM241" s="201"/>
      <c r="AN241" s="201"/>
      <c r="AO241" s="61"/>
      <c r="AP241" s="61"/>
      <c r="AQ241" s="61"/>
      <c r="AR241" s="61"/>
      <c r="AS241" s="101" t="s">
        <v>158</v>
      </c>
      <c r="AT241" s="206" t="str">
        <f t="shared" si="3"/>
        <v>44493-240</v>
      </c>
    </row>
    <row r="242" spans="1:46" x14ac:dyDescent="0.35">
      <c r="A242" s="204">
        <v>241</v>
      </c>
      <c r="B242" s="14" t="s">
        <v>73</v>
      </c>
      <c r="C242" s="1" t="s">
        <v>152</v>
      </c>
      <c r="D242" s="1" t="s">
        <v>150</v>
      </c>
      <c r="E242" s="12">
        <v>44493</v>
      </c>
      <c r="F242" s="201">
        <v>2</v>
      </c>
      <c r="G242" s="201">
        <v>1</v>
      </c>
      <c r="H242" s="201">
        <v>0</v>
      </c>
      <c r="I242" s="201">
        <v>0</v>
      </c>
      <c r="J242" s="201">
        <v>0</v>
      </c>
      <c r="K242" s="201">
        <v>0</v>
      </c>
      <c r="L242" s="201">
        <v>0</v>
      </c>
      <c r="M242" s="201">
        <v>8</v>
      </c>
      <c r="N242" s="201">
        <v>3</v>
      </c>
      <c r="O242" s="201">
        <v>0</v>
      </c>
      <c r="P242" s="201">
        <v>1871</v>
      </c>
      <c r="Q242" s="201">
        <v>933</v>
      </c>
      <c r="R242" s="201">
        <v>0</v>
      </c>
      <c r="S242" s="201">
        <v>0</v>
      </c>
      <c r="T242" s="201">
        <v>4315</v>
      </c>
      <c r="U242" s="201">
        <v>16</v>
      </c>
      <c r="V242" s="201">
        <v>0</v>
      </c>
      <c r="W242" s="201">
        <v>0</v>
      </c>
      <c r="X242" s="201">
        <v>0</v>
      </c>
      <c r="Y242" s="201">
        <v>0</v>
      </c>
      <c r="Z242" s="201">
        <v>0</v>
      </c>
      <c r="AA242" s="61"/>
      <c r="AB242" s="201">
        <v>0</v>
      </c>
      <c r="AC242" s="61"/>
      <c r="AD242" s="201">
        <v>6.0289999999999999</v>
      </c>
      <c r="AE242" s="61"/>
      <c r="AF242" s="61"/>
      <c r="AG242" s="61"/>
      <c r="AH242" s="61"/>
      <c r="AI242" s="61"/>
      <c r="AJ242" s="61"/>
      <c r="AK242" s="61"/>
      <c r="AL242" s="291">
        <v>21</v>
      </c>
      <c r="AM242" s="201">
        <v>18</v>
      </c>
      <c r="AN242" s="201">
        <v>9</v>
      </c>
      <c r="AO242" s="61"/>
      <c r="AP242" s="61"/>
      <c r="AQ242" s="61"/>
      <c r="AR242" s="61"/>
      <c r="AS242" s="101" t="s">
        <v>225</v>
      </c>
      <c r="AT242" s="206" t="str">
        <f t="shared" si="3"/>
        <v>44493-241</v>
      </c>
    </row>
    <row r="243" spans="1:46" x14ac:dyDescent="0.35">
      <c r="A243" s="204">
        <v>242</v>
      </c>
      <c r="B243" s="14" t="s">
        <v>83</v>
      </c>
      <c r="C243" s="1" t="s">
        <v>160</v>
      </c>
      <c r="D243" s="1" t="s">
        <v>161</v>
      </c>
      <c r="E243" s="12">
        <v>44493</v>
      </c>
      <c r="F243" s="201">
        <v>1.4</v>
      </c>
      <c r="G243" s="201">
        <v>1.3</v>
      </c>
      <c r="H243" s="201">
        <v>0.1</v>
      </c>
      <c r="I243" s="201">
        <v>0</v>
      </c>
      <c r="J243" s="201">
        <v>0</v>
      </c>
      <c r="K243" s="201">
        <v>0</v>
      </c>
      <c r="L243" s="201"/>
      <c r="M243" s="201">
        <v>7.8</v>
      </c>
      <c r="N243" s="201">
        <v>1.4</v>
      </c>
      <c r="O243" s="201">
        <v>2</v>
      </c>
      <c r="P243" s="201">
        <v>1160.5</v>
      </c>
      <c r="Q243" s="201">
        <v>1756.4</v>
      </c>
      <c r="R243" s="201"/>
      <c r="S243" s="201"/>
      <c r="T243" s="201">
        <v>2182.4</v>
      </c>
      <c r="U243" s="201">
        <v>442.7</v>
      </c>
      <c r="V243" s="201"/>
      <c r="W243" s="201"/>
      <c r="X243" s="201"/>
      <c r="Y243" s="201"/>
      <c r="Z243" s="201"/>
      <c r="AA243" s="61"/>
      <c r="AB243" s="201"/>
      <c r="AC243" s="61"/>
      <c r="AD243" s="201">
        <v>15</v>
      </c>
      <c r="AE243" s="61"/>
      <c r="AF243" s="61">
        <v>0</v>
      </c>
      <c r="AG243" s="61"/>
      <c r="AH243" s="61"/>
      <c r="AI243" s="61"/>
      <c r="AJ243" s="61"/>
      <c r="AK243" s="61"/>
      <c r="AL243" s="291">
        <v>24</v>
      </c>
      <c r="AM243" s="201">
        <v>22</v>
      </c>
      <c r="AN243" s="201">
        <v>15</v>
      </c>
      <c r="AO243" s="61"/>
      <c r="AP243" s="61"/>
      <c r="AQ243" s="61"/>
      <c r="AR243" s="61"/>
      <c r="AS243" s="101" t="s">
        <v>185</v>
      </c>
      <c r="AT243" s="206" t="str">
        <f t="shared" si="3"/>
        <v>44493-242</v>
      </c>
    </row>
    <row r="244" spans="1:46" x14ac:dyDescent="0.35">
      <c r="A244" s="204">
        <v>243</v>
      </c>
      <c r="B244" s="14" t="s">
        <v>83</v>
      </c>
      <c r="C244" s="1" t="s">
        <v>160</v>
      </c>
      <c r="D244" s="1" t="s">
        <v>161</v>
      </c>
      <c r="E244" s="12">
        <v>44493</v>
      </c>
      <c r="F244" s="201">
        <v>1.3</v>
      </c>
      <c r="G244" s="201">
        <v>1.1000000000000001</v>
      </c>
      <c r="H244" s="201">
        <v>0</v>
      </c>
      <c r="I244" s="201">
        <v>0</v>
      </c>
      <c r="J244" s="201">
        <v>0</v>
      </c>
      <c r="K244" s="201">
        <v>0</v>
      </c>
      <c r="L244" s="201"/>
      <c r="M244" s="201">
        <v>8.1</v>
      </c>
      <c r="N244" s="201">
        <v>1.3</v>
      </c>
      <c r="O244" s="201">
        <v>1.9</v>
      </c>
      <c r="P244" s="201">
        <v>1145.5</v>
      </c>
      <c r="Q244" s="201">
        <v>1746.1</v>
      </c>
      <c r="R244" s="201"/>
      <c r="S244" s="201"/>
      <c r="T244" s="201">
        <v>2167.9</v>
      </c>
      <c r="U244" s="201">
        <v>442.7</v>
      </c>
      <c r="V244" s="201"/>
      <c r="W244" s="201"/>
      <c r="X244" s="201"/>
      <c r="Y244" s="201"/>
      <c r="Z244" s="201"/>
      <c r="AA244" s="61"/>
      <c r="AB244" s="201"/>
      <c r="AC244" s="61"/>
      <c r="AD244" s="201">
        <v>14.9</v>
      </c>
      <c r="AE244" s="61"/>
      <c r="AF244" s="61">
        <v>0</v>
      </c>
      <c r="AG244" s="61"/>
      <c r="AH244" s="61"/>
      <c r="AI244" s="61"/>
      <c r="AJ244" s="61"/>
      <c r="AK244" s="61"/>
      <c r="AL244" s="291">
        <v>24</v>
      </c>
      <c r="AM244" s="201">
        <v>22</v>
      </c>
      <c r="AN244" s="201">
        <v>16</v>
      </c>
      <c r="AO244" s="61"/>
      <c r="AP244" s="61"/>
      <c r="AQ244" s="61"/>
      <c r="AR244" s="61"/>
      <c r="AS244" s="101" t="s">
        <v>176</v>
      </c>
      <c r="AT244" s="206" t="str">
        <f t="shared" si="3"/>
        <v>44493-243</v>
      </c>
    </row>
    <row r="245" spans="1:46" x14ac:dyDescent="0.35">
      <c r="A245" s="204">
        <v>244</v>
      </c>
      <c r="B245" s="14" t="s">
        <v>73</v>
      </c>
      <c r="C245" s="1" t="s">
        <v>152</v>
      </c>
      <c r="D245" s="1" t="s">
        <v>150</v>
      </c>
      <c r="E245" s="12">
        <v>44504</v>
      </c>
      <c r="F245" s="201">
        <v>2</v>
      </c>
      <c r="G245" s="201">
        <v>1</v>
      </c>
      <c r="H245" s="201">
        <v>0</v>
      </c>
      <c r="I245" s="201">
        <v>0</v>
      </c>
      <c r="J245" s="201">
        <v>0</v>
      </c>
      <c r="K245" s="201">
        <v>0</v>
      </c>
      <c r="L245" s="201">
        <v>0</v>
      </c>
      <c r="M245" s="201">
        <v>7</v>
      </c>
      <c r="N245" s="201">
        <v>3</v>
      </c>
      <c r="O245" s="201">
        <v>0</v>
      </c>
      <c r="P245" s="201">
        <v>1827</v>
      </c>
      <c r="Q245" s="201">
        <v>1029</v>
      </c>
      <c r="R245" s="201">
        <v>0</v>
      </c>
      <c r="S245" s="201">
        <v>0</v>
      </c>
      <c r="T245" s="201">
        <v>3953</v>
      </c>
      <c r="U245" s="201">
        <v>14</v>
      </c>
      <c r="V245" s="201">
        <v>0</v>
      </c>
      <c r="W245" s="201">
        <v>0</v>
      </c>
      <c r="X245" s="201">
        <v>1</v>
      </c>
      <c r="Y245" s="201">
        <v>1</v>
      </c>
      <c r="Z245" s="201">
        <v>0</v>
      </c>
      <c r="AA245" s="61"/>
      <c r="AB245" s="201">
        <v>0</v>
      </c>
      <c r="AC245" s="61"/>
      <c r="AD245" s="201">
        <v>6.2640000000000002</v>
      </c>
      <c r="AE245" s="61"/>
      <c r="AF245" s="61"/>
      <c r="AG245" s="61"/>
      <c r="AH245" s="61"/>
      <c r="AI245" s="61"/>
      <c r="AJ245" s="61"/>
      <c r="AK245" s="61"/>
      <c r="AL245" s="291">
        <v>18</v>
      </c>
      <c r="AM245" s="201">
        <v>16</v>
      </c>
      <c r="AN245" s="201">
        <v>11</v>
      </c>
      <c r="AO245" s="61"/>
      <c r="AP245" s="61"/>
      <c r="AQ245" s="61"/>
      <c r="AR245" s="61"/>
      <c r="AS245" s="101" t="s">
        <v>226</v>
      </c>
      <c r="AT245" s="206" t="str">
        <f t="shared" si="3"/>
        <v>44504-244</v>
      </c>
    </row>
    <row r="246" spans="1:46" x14ac:dyDescent="0.35">
      <c r="A246" s="204">
        <v>245</v>
      </c>
      <c r="B246" s="14" t="s">
        <v>73</v>
      </c>
      <c r="C246" s="1" t="s">
        <v>154</v>
      </c>
      <c r="D246" s="1" t="s">
        <v>150</v>
      </c>
      <c r="E246" s="12">
        <v>44504</v>
      </c>
      <c r="F246" s="201">
        <v>1</v>
      </c>
      <c r="G246" s="201">
        <v>0</v>
      </c>
      <c r="H246" s="201">
        <v>0</v>
      </c>
      <c r="I246" s="201">
        <v>0</v>
      </c>
      <c r="J246" s="201">
        <v>0</v>
      </c>
      <c r="K246" s="201">
        <v>0</v>
      </c>
      <c r="L246" s="201">
        <v>0</v>
      </c>
      <c r="M246" s="201">
        <v>8</v>
      </c>
      <c r="N246" s="201">
        <v>1</v>
      </c>
      <c r="O246" s="201">
        <v>0</v>
      </c>
      <c r="P246" s="201">
        <v>1939</v>
      </c>
      <c r="Q246" s="201">
        <v>1143</v>
      </c>
      <c r="R246" s="201">
        <v>0</v>
      </c>
      <c r="S246" s="201">
        <v>0</v>
      </c>
      <c r="T246" s="201">
        <v>1556</v>
      </c>
      <c r="U246" s="201">
        <v>1905</v>
      </c>
      <c r="V246" s="201">
        <v>0</v>
      </c>
      <c r="W246" s="201">
        <v>0</v>
      </c>
      <c r="X246" s="201">
        <v>1</v>
      </c>
      <c r="Y246" s="201">
        <v>42</v>
      </c>
      <c r="Z246" s="201">
        <v>0</v>
      </c>
      <c r="AA246" s="61"/>
      <c r="AB246" s="201">
        <v>0</v>
      </c>
      <c r="AC246" s="61"/>
      <c r="AD246" s="201">
        <v>14.33</v>
      </c>
      <c r="AE246" s="61"/>
      <c r="AF246" s="61"/>
      <c r="AG246" s="61"/>
      <c r="AH246" s="61"/>
      <c r="AI246" s="61"/>
      <c r="AJ246" s="61"/>
      <c r="AK246" s="61"/>
      <c r="AL246" s="291">
        <v>22</v>
      </c>
      <c r="AM246" s="201">
        <v>20</v>
      </c>
      <c r="AN246" s="201">
        <v>11</v>
      </c>
      <c r="AO246" s="61"/>
      <c r="AP246" s="61"/>
      <c r="AQ246" s="61"/>
      <c r="AR246" s="61"/>
      <c r="AS246" s="101" t="s">
        <v>226</v>
      </c>
      <c r="AT246" s="206" t="str">
        <f t="shared" si="3"/>
        <v>44504-245</v>
      </c>
    </row>
    <row r="247" spans="1:46" x14ac:dyDescent="0.35">
      <c r="A247" s="204">
        <v>246</v>
      </c>
      <c r="B247" s="14" t="s">
        <v>73</v>
      </c>
      <c r="C247" s="1" t="s">
        <v>155</v>
      </c>
      <c r="D247" s="1" t="s">
        <v>150</v>
      </c>
      <c r="E247" s="12">
        <v>44504</v>
      </c>
      <c r="F247" s="201">
        <v>2</v>
      </c>
      <c r="G247" s="201">
        <v>1</v>
      </c>
      <c r="H247" s="201"/>
      <c r="I247" s="201">
        <v>0</v>
      </c>
      <c r="J247" s="201">
        <v>0</v>
      </c>
      <c r="K247" s="201"/>
      <c r="L247" s="201">
        <v>0</v>
      </c>
      <c r="M247" s="201">
        <v>9</v>
      </c>
      <c r="N247" s="201">
        <v>2</v>
      </c>
      <c r="O247" s="201">
        <v>0</v>
      </c>
      <c r="P247" s="201">
        <v>1229</v>
      </c>
      <c r="Q247" s="201">
        <v>907</v>
      </c>
      <c r="R247" s="201">
        <v>0</v>
      </c>
      <c r="S247" s="201"/>
      <c r="T247" s="201">
        <v>2987</v>
      </c>
      <c r="U247" s="201">
        <v>13</v>
      </c>
      <c r="V247" s="201">
        <v>0</v>
      </c>
      <c r="W247" s="201">
        <v>0</v>
      </c>
      <c r="X247" s="201">
        <v>0</v>
      </c>
      <c r="Y247" s="201">
        <v>1</v>
      </c>
      <c r="Z247" s="201"/>
      <c r="AA247" s="61"/>
      <c r="AB247" s="201"/>
      <c r="AC247" s="61"/>
      <c r="AD247" s="201">
        <v>25.42</v>
      </c>
      <c r="AE247" s="61">
        <v>0</v>
      </c>
      <c r="AF247" s="61"/>
      <c r="AG247" s="61"/>
      <c r="AH247" s="61"/>
      <c r="AI247" s="61"/>
      <c r="AJ247" s="61"/>
      <c r="AK247" s="61"/>
      <c r="AL247" s="291">
        <v>22</v>
      </c>
      <c r="AM247" s="201">
        <v>18</v>
      </c>
      <c r="AN247" s="201">
        <v>9</v>
      </c>
      <c r="AO247" s="61"/>
      <c r="AP247" s="61"/>
      <c r="AQ247" s="61"/>
      <c r="AR247" s="61"/>
      <c r="AS247" s="101" t="s">
        <v>226</v>
      </c>
      <c r="AT247" s="206" t="str">
        <f t="shared" si="3"/>
        <v>44504-246</v>
      </c>
    </row>
    <row r="248" spans="1:46" x14ac:dyDescent="0.35">
      <c r="A248" s="204">
        <v>247</v>
      </c>
      <c r="B248" s="14" t="s">
        <v>83</v>
      </c>
      <c r="C248" s="1" t="s">
        <v>160</v>
      </c>
      <c r="D248" s="1" t="s">
        <v>161</v>
      </c>
      <c r="E248" s="12">
        <v>44512</v>
      </c>
      <c r="F248" s="201">
        <v>1.6</v>
      </c>
      <c r="G248" s="201">
        <v>1.3</v>
      </c>
      <c r="H248" s="201">
        <v>0</v>
      </c>
      <c r="I248" s="201">
        <v>0</v>
      </c>
      <c r="J248" s="201">
        <v>0</v>
      </c>
      <c r="K248" s="201">
        <v>0</v>
      </c>
      <c r="L248" s="201"/>
      <c r="M248" s="201">
        <v>9.6</v>
      </c>
      <c r="N248" s="201">
        <v>1.2</v>
      </c>
      <c r="O248" s="201">
        <v>1.9</v>
      </c>
      <c r="P248" s="201">
        <v>1203.4000000000001</v>
      </c>
      <c r="Q248" s="201">
        <v>1328.9</v>
      </c>
      <c r="R248" s="201"/>
      <c r="S248" s="201"/>
      <c r="T248" s="201">
        <v>2306.3000000000002</v>
      </c>
      <c r="U248" s="201">
        <v>475.3</v>
      </c>
      <c r="V248" s="201"/>
      <c r="W248" s="201"/>
      <c r="X248" s="201"/>
      <c r="Y248" s="201"/>
      <c r="Z248" s="201"/>
      <c r="AA248" s="61"/>
      <c r="AB248" s="201"/>
      <c r="AC248" s="61"/>
      <c r="AD248" s="201">
        <v>15.1</v>
      </c>
      <c r="AE248" s="61"/>
      <c r="AF248" s="61">
        <v>0</v>
      </c>
      <c r="AG248" s="61"/>
      <c r="AH248" s="61"/>
      <c r="AI248" s="61"/>
      <c r="AJ248" s="61"/>
      <c r="AK248" s="61"/>
      <c r="AL248" s="291">
        <v>24</v>
      </c>
      <c r="AM248" s="201">
        <v>23</v>
      </c>
      <c r="AN248" s="201">
        <v>15</v>
      </c>
      <c r="AO248" s="61"/>
      <c r="AP248" s="61"/>
      <c r="AQ248" s="61"/>
      <c r="AR248" s="61"/>
      <c r="AS248" s="101" t="s">
        <v>227</v>
      </c>
      <c r="AT248" s="206" t="str">
        <f t="shared" si="3"/>
        <v>44512-247</v>
      </c>
    </row>
    <row r="249" spans="1:46" x14ac:dyDescent="0.35">
      <c r="A249" s="204">
        <v>248</v>
      </c>
      <c r="B249" s="14" t="s">
        <v>83</v>
      </c>
      <c r="C249" s="1" t="s">
        <v>160</v>
      </c>
      <c r="D249" s="1" t="s">
        <v>161</v>
      </c>
      <c r="E249" s="12">
        <v>44512</v>
      </c>
      <c r="F249" s="201">
        <v>1.5</v>
      </c>
      <c r="G249" s="201">
        <v>1.2</v>
      </c>
      <c r="H249" s="201">
        <v>0</v>
      </c>
      <c r="I249" s="201">
        <v>0</v>
      </c>
      <c r="J249" s="201">
        <v>0</v>
      </c>
      <c r="K249" s="201">
        <v>0</v>
      </c>
      <c r="L249" s="201"/>
      <c r="M249" s="201">
        <v>8.8000000000000007</v>
      </c>
      <c r="N249" s="201">
        <v>1.3</v>
      </c>
      <c r="O249" s="201">
        <v>1.4</v>
      </c>
      <c r="P249" s="201">
        <v>1197.2</v>
      </c>
      <c r="Q249" s="201">
        <v>1329.6</v>
      </c>
      <c r="R249" s="201"/>
      <c r="S249" s="201"/>
      <c r="T249" s="201">
        <v>2299.1999999999998</v>
      </c>
      <c r="U249" s="201">
        <v>472.2</v>
      </c>
      <c r="V249" s="201"/>
      <c r="W249" s="201"/>
      <c r="X249" s="201"/>
      <c r="Y249" s="201"/>
      <c r="Z249" s="201"/>
      <c r="AA249" s="61"/>
      <c r="AB249" s="201"/>
      <c r="AC249" s="61"/>
      <c r="AD249" s="201">
        <v>15</v>
      </c>
      <c r="AE249" s="61"/>
      <c r="AF249" s="61">
        <v>0</v>
      </c>
      <c r="AG249" s="61"/>
      <c r="AH249" s="61"/>
      <c r="AI249" s="61"/>
      <c r="AJ249" s="61"/>
      <c r="AK249" s="61"/>
      <c r="AL249" s="291">
        <v>24</v>
      </c>
      <c r="AM249" s="201">
        <v>22</v>
      </c>
      <c r="AN249" s="201">
        <v>15</v>
      </c>
      <c r="AO249" s="61"/>
      <c r="AP249" s="61"/>
      <c r="AQ249" s="61"/>
      <c r="AR249" s="61"/>
      <c r="AS249" s="101" t="s">
        <v>185</v>
      </c>
      <c r="AT249" s="206" t="str">
        <f t="shared" si="3"/>
        <v>44512-248</v>
      </c>
    </row>
    <row r="250" spans="1:46" x14ac:dyDescent="0.35">
      <c r="A250" s="204">
        <v>249</v>
      </c>
      <c r="B250" s="14" t="s">
        <v>83</v>
      </c>
      <c r="C250" s="1" t="s">
        <v>152</v>
      </c>
      <c r="D250" s="1" t="s">
        <v>161</v>
      </c>
      <c r="E250" s="12">
        <v>44513</v>
      </c>
      <c r="F250" s="201">
        <v>1.7</v>
      </c>
      <c r="G250" s="201">
        <v>1</v>
      </c>
      <c r="H250" s="201">
        <v>0</v>
      </c>
      <c r="I250" s="201">
        <v>0</v>
      </c>
      <c r="J250" s="201">
        <v>0</v>
      </c>
      <c r="K250" s="201">
        <v>0</v>
      </c>
      <c r="L250" s="201"/>
      <c r="M250" s="201">
        <v>3.5</v>
      </c>
      <c r="N250" s="201">
        <v>1.5</v>
      </c>
      <c r="O250" s="201">
        <v>0.1</v>
      </c>
      <c r="P250" s="201">
        <v>1244.8</v>
      </c>
      <c r="Q250" s="201">
        <v>1224.4000000000001</v>
      </c>
      <c r="R250" s="201"/>
      <c r="S250" s="201"/>
      <c r="T250" s="201">
        <v>3332.7</v>
      </c>
      <c r="U250" s="201">
        <v>11.5</v>
      </c>
      <c r="V250" s="201"/>
      <c r="W250" s="201"/>
      <c r="X250" s="201"/>
      <c r="Y250" s="201"/>
      <c r="Z250" s="201"/>
      <c r="AA250" s="61"/>
      <c r="AB250" s="201"/>
      <c r="AC250" s="61"/>
      <c r="AD250" s="201">
        <v>6</v>
      </c>
      <c r="AE250" s="61"/>
      <c r="AF250" s="61">
        <v>0</v>
      </c>
      <c r="AG250" s="61"/>
      <c r="AH250" s="61"/>
      <c r="AI250" s="61"/>
      <c r="AJ250" s="61"/>
      <c r="AK250" s="61"/>
      <c r="AL250" s="291">
        <v>20</v>
      </c>
      <c r="AM250" s="201">
        <v>18</v>
      </c>
      <c r="AN250" s="201">
        <v>13</v>
      </c>
      <c r="AO250" s="61"/>
      <c r="AP250" s="61"/>
      <c r="AQ250" s="61"/>
      <c r="AR250" s="61"/>
      <c r="AS250" s="101" t="s">
        <v>178</v>
      </c>
      <c r="AT250" s="206" t="str">
        <f t="shared" si="3"/>
        <v>44513-249</v>
      </c>
    </row>
    <row r="251" spans="1:46" x14ac:dyDescent="0.35">
      <c r="A251" s="204">
        <v>250</v>
      </c>
      <c r="B251" s="14" t="s">
        <v>83</v>
      </c>
      <c r="C251" s="1" t="s">
        <v>152</v>
      </c>
      <c r="D251" s="1" t="s">
        <v>161</v>
      </c>
      <c r="E251" s="12">
        <v>44513</v>
      </c>
      <c r="F251" s="201">
        <v>1.8</v>
      </c>
      <c r="G251" s="201">
        <v>1.2</v>
      </c>
      <c r="H251" s="201">
        <v>0</v>
      </c>
      <c r="I251" s="201">
        <v>0</v>
      </c>
      <c r="J251" s="201">
        <v>0</v>
      </c>
      <c r="K251" s="201">
        <v>0</v>
      </c>
      <c r="L251" s="201"/>
      <c r="M251" s="201">
        <v>4.2</v>
      </c>
      <c r="N251" s="201">
        <v>1.5</v>
      </c>
      <c r="O251" s="201">
        <v>0.4</v>
      </c>
      <c r="P251" s="201">
        <v>1204</v>
      </c>
      <c r="Q251" s="201">
        <v>1179</v>
      </c>
      <c r="R251" s="201"/>
      <c r="S251" s="201"/>
      <c r="T251" s="201">
        <v>3230.7</v>
      </c>
      <c r="U251" s="201">
        <v>11.7</v>
      </c>
      <c r="V251" s="201"/>
      <c r="W251" s="201"/>
      <c r="X251" s="201"/>
      <c r="Y251" s="201"/>
      <c r="Z251" s="201"/>
      <c r="AA251" s="61"/>
      <c r="AB251" s="201"/>
      <c r="AC251" s="61"/>
      <c r="AD251" s="201">
        <v>5.9</v>
      </c>
      <c r="AE251" s="61"/>
      <c r="AF251" s="61">
        <v>0</v>
      </c>
      <c r="AG251" s="61"/>
      <c r="AH251" s="61"/>
      <c r="AI251" s="61"/>
      <c r="AJ251" s="61"/>
      <c r="AK251" s="61"/>
      <c r="AL251" s="291">
        <v>20</v>
      </c>
      <c r="AM251" s="201">
        <v>18</v>
      </c>
      <c r="AN251" s="201">
        <v>14</v>
      </c>
      <c r="AO251" s="61"/>
      <c r="AP251" s="61"/>
      <c r="AQ251" s="61"/>
      <c r="AR251" s="61"/>
      <c r="AS251" s="101" t="s">
        <v>179</v>
      </c>
      <c r="AT251" s="206" t="str">
        <f t="shared" si="3"/>
        <v>44513-250</v>
      </c>
    </row>
    <row r="252" spans="1:46" x14ac:dyDescent="0.35">
      <c r="A252" s="204">
        <v>251</v>
      </c>
      <c r="B252" s="14" t="s">
        <v>83</v>
      </c>
      <c r="C252" s="1" t="s">
        <v>152</v>
      </c>
      <c r="D252" s="1" t="s">
        <v>161</v>
      </c>
      <c r="E252" s="12">
        <v>44513</v>
      </c>
      <c r="F252" s="201">
        <v>1.8</v>
      </c>
      <c r="G252" s="201">
        <v>1.3</v>
      </c>
      <c r="H252" s="201">
        <v>0</v>
      </c>
      <c r="I252" s="201">
        <v>0</v>
      </c>
      <c r="J252" s="201">
        <v>0</v>
      </c>
      <c r="K252" s="201">
        <v>0</v>
      </c>
      <c r="L252" s="201"/>
      <c r="M252" s="201">
        <v>4.7</v>
      </c>
      <c r="N252" s="201">
        <v>1.7</v>
      </c>
      <c r="O252" s="201">
        <v>0</v>
      </c>
      <c r="P252" s="201">
        <v>1221.3</v>
      </c>
      <c r="Q252" s="201">
        <v>1227.8</v>
      </c>
      <c r="R252" s="201"/>
      <c r="S252" s="201"/>
      <c r="T252" s="201">
        <v>3222.8</v>
      </c>
      <c r="U252" s="201">
        <v>11.6</v>
      </c>
      <c r="V252" s="201"/>
      <c r="W252" s="201"/>
      <c r="X252" s="201"/>
      <c r="Y252" s="201"/>
      <c r="Z252" s="201"/>
      <c r="AA252" s="61"/>
      <c r="AB252" s="201"/>
      <c r="AC252" s="61"/>
      <c r="AD252" s="201">
        <v>6</v>
      </c>
      <c r="AE252" s="61"/>
      <c r="AF252" s="61">
        <v>0</v>
      </c>
      <c r="AG252" s="61"/>
      <c r="AH252" s="61"/>
      <c r="AI252" s="61"/>
      <c r="AJ252" s="61"/>
      <c r="AK252" s="61"/>
      <c r="AL252" s="291">
        <v>20</v>
      </c>
      <c r="AM252" s="201">
        <v>18</v>
      </c>
      <c r="AN252" s="201">
        <v>14</v>
      </c>
      <c r="AO252" s="61"/>
      <c r="AP252" s="61"/>
      <c r="AQ252" s="61"/>
      <c r="AR252" s="61"/>
      <c r="AS252" s="101" t="s">
        <v>180</v>
      </c>
      <c r="AT252" s="206" t="str">
        <f t="shared" si="3"/>
        <v>44513-251</v>
      </c>
    </row>
    <row r="253" spans="1:46" x14ac:dyDescent="0.35">
      <c r="A253" s="204">
        <v>252</v>
      </c>
      <c r="B253" s="14" t="s">
        <v>83</v>
      </c>
      <c r="C253" s="1" t="s">
        <v>152</v>
      </c>
      <c r="D253" s="1" t="s">
        <v>161</v>
      </c>
      <c r="E253" s="12">
        <v>44514</v>
      </c>
      <c r="F253" s="201">
        <v>1.8</v>
      </c>
      <c r="G253" s="201">
        <v>1.1000000000000001</v>
      </c>
      <c r="H253" s="201">
        <v>0</v>
      </c>
      <c r="I253" s="201">
        <v>0</v>
      </c>
      <c r="J253" s="201">
        <v>0</v>
      </c>
      <c r="K253" s="201">
        <v>0</v>
      </c>
      <c r="L253" s="201"/>
      <c r="M253" s="201">
        <v>4</v>
      </c>
      <c r="N253" s="201">
        <v>1.9</v>
      </c>
      <c r="O253" s="201">
        <v>0.2</v>
      </c>
      <c r="P253" s="201">
        <v>1230.5999999999999</v>
      </c>
      <c r="Q253" s="201">
        <v>1216.0999999999999</v>
      </c>
      <c r="R253" s="201"/>
      <c r="S253" s="201"/>
      <c r="T253" s="201">
        <v>3156.7</v>
      </c>
      <c r="U253" s="201">
        <v>13.2</v>
      </c>
      <c r="V253" s="201"/>
      <c r="W253" s="201"/>
      <c r="X253" s="201"/>
      <c r="Y253" s="201"/>
      <c r="Z253" s="201"/>
      <c r="AA253" s="61"/>
      <c r="AB253" s="201"/>
      <c r="AC253" s="61"/>
      <c r="AD253" s="201">
        <v>5.9</v>
      </c>
      <c r="AE253" s="61"/>
      <c r="AF253" s="61">
        <v>0</v>
      </c>
      <c r="AG253" s="61"/>
      <c r="AH253" s="61"/>
      <c r="AI253" s="61"/>
      <c r="AJ253" s="61"/>
      <c r="AK253" s="61"/>
      <c r="AL253" s="291">
        <v>19</v>
      </c>
      <c r="AM253" s="201">
        <v>17</v>
      </c>
      <c r="AN253" s="201">
        <v>11</v>
      </c>
      <c r="AO253" s="61"/>
      <c r="AP253" s="61"/>
      <c r="AQ253" s="61"/>
      <c r="AR253" s="61"/>
      <c r="AS253" s="101" t="s">
        <v>184</v>
      </c>
      <c r="AT253" s="206" t="str">
        <f t="shared" si="3"/>
        <v>44514-252</v>
      </c>
    </row>
    <row r="254" spans="1:46" x14ac:dyDescent="0.35">
      <c r="A254" s="204">
        <v>253</v>
      </c>
      <c r="B254" s="14" t="s">
        <v>83</v>
      </c>
      <c r="C254" s="1" t="s">
        <v>152</v>
      </c>
      <c r="D254" s="1" t="s">
        <v>161</v>
      </c>
      <c r="E254" s="12">
        <v>44514</v>
      </c>
      <c r="F254" s="201">
        <v>1.7</v>
      </c>
      <c r="G254" s="201">
        <v>1.1000000000000001</v>
      </c>
      <c r="H254" s="201">
        <v>0</v>
      </c>
      <c r="I254" s="201">
        <v>0</v>
      </c>
      <c r="J254" s="201">
        <v>0</v>
      </c>
      <c r="K254" s="201">
        <v>0</v>
      </c>
      <c r="L254" s="201"/>
      <c r="M254" s="201">
        <v>3.9</v>
      </c>
      <c r="N254" s="201">
        <v>1.4</v>
      </c>
      <c r="O254" s="201">
        <v>0.1</v>
      </c>
      <c r="P254" s="201">
        <v>1201.0999999999999</v>
      </c>
      <c r="Q254" s="201">
        <v>1185.5999999999999</v>
      </c>
      <c r="R254" s="201"/>
      <c r="S254" s="201"/>
      <c r="T254" s="201">
        <v>3067.2</v>
      </c>
      <c r="U254" s="201">
        <v>12.3</v>
      </c>
      <c r="V254" s="201"/>
      <c r="W254" s="201"/>
      <c r="X254" s="201"/>
      <c r="Y254" s="201"/>
      <c r="Z254" s="201"/>
      <c r="AA254" s="61"/>
      <c r="AB254" s="201"/>
      <c r="AC254" s="61"/>
      <c r="AD254" s="201">
        <v>6</v>
      </c>
      <c r="AE254" s="61"/>
      <c r="AF254" s="61">
        <v>0</v>
      </c>
      <c r="AG254" s="61"/>
      <c r="AH254" s="61"/>
      <c r="AI254" s="61"/>
      <c r="AJ254" s="61"/>
      <c r="AK254" s="61"/>
      <c r="AL254" s="291">
        <v>19</v>
      </c>
      <c r="AM254" s="201">
        <v>17</v>
      </c>
      <c r="AN254" s="201">
        <v>10</v>
      </c>
      <c r="AO254" s="61"/>
      <c r="AP254" s="61"/>
      <c r="AQ254" s="61"/>
      <c r="AR254" s="61"/>
      <c r="AS254" s="101" t="s">
        <v>228</v>
      </c>
      <c r="AT254" s="206" t="str">
        <f t="shared" si="3"/>
        <v>44514-253</v>
      </c>
    </row>
    <row r="255" spans="1:46" x14ac:dyDescent="0.35">
      <c r="A255" s="204">
        <v>254</v>
      </c>
      <c r="B255" s="14" t="s">
        <v>73</v>
      </c>
      <c r="C255" s="1" t="s">
        <v>154</v>
      </c>
      <c r="D255" s="1" t="s">
        <v>150</v>
      </c>
      <c r="E255" s="12">
        <v>44520</v>
      </c>
      <c r="F255" s="201">
        <v>1</v>
      </c>
      <c r="G255" s="201">
        <v>1</v>
      </c>
      <c r="H255" s="201">
        <v>0</v>
      </c>
      <c r="I255" s="201">
        <v>0</v>
      </c>
      <c r="J255" s="201">
        <v>1</v>
      </c>
      <c r="K255" s="201">
        <v>0</v>
      </c>
      <c r="L255" s="201">
        <v>0</v>
      </c>
      <c r="M255" s="201">
        <v>8</v>
      </c>
      <c r="N255" s="201">
        <v>1</v>
      </c>
      <c r="O255" s="201">
        <v>0</v>
      </c>
      <c r="P255" s="201">
        <v>2081</v>
      </c>
      <c r="Q255" s="201">
        <v>1073</v>
      </c>
      <c r="R255" s="201">
        <v>0</v>
      </c>
      <c r="S255" s="201">
        <v>0</v>
      </c>
      <c r="T255" s="201">
        <v>1535</v>
      </c>
      <c r="U255" s="201">
        <v>1727</v>
      </c>
      <c r="V255" s="201">
        <v>0</v>
      </c>
      <c r="W255" s="201">
        <v>1</v>
      </c>
      <c r="X255" s="201">
        <v>1</v>
      </c>
      <c r="Y255" s="201">
        <v>44</v>
      </c>
      <c r="Z255" s="201">
        <v>0</v>
      </c>
      <c r="AA255" s="61"/>
      <c r="AB255" s="201">
        <v>0</v>
      </c>
      <c r="AC255" s="61"/>
      <c r="AD255" s="201">
        <v>14.42</v>
      </c>
      <c r="AE255" s="61"/>
      <c r="AF255" s="61"/>
      <c r="AG255" s="61"/>
      <c r="AH255" s="61"/>
      <c r="AI255" s="61"/>
      <c r="AJ255" s="61"/>
      <c r="AK255" s="61"/>
      <c r="AL255" s="291">
        <v>22</v>
      </c>
      <c r="AM255" s="201">
        <v>20</v>
      </c>
      <c r="AN255" s="201">
        <v>1</v>
      </c>
      <c r="AO255" s="61"/>
      <c r="AP255" s="61"/>
      <c r="AQ255" s="61"/>
      <c r="AR255" s="61"/>
      <c r="AS255" s="101" t="s">
        <v>226</v>
      </c>
      <c r="AT255" s="206" t="str">
        <f t="shared" si="3"/>
        <v>44520-254</v>
      </c>
    </row>
    <row r="256" spans="1:46" x14ac:dyDescent="0.35">
      <c r="A256" s="204">
        <v>255</v>
      </c>
      <c r="B256" s="14" t="s">
        <v>83</v>
      </c>
      <c r="C256" s="1" t="s">
        <v>160</v>
      </c>
      <c r="D256" s="1" t="s">
        <v>161</v>
      </c>
      <c r="E256" s="12">
        <v>44522</v>
      </c>
      <c r="F256" s="201">
        <v>1.4</v>
      </c>
      <c r="G256" s="201">
        <v>1.3</v>
      </c>
      <c r="H256" s="201">
        <v>0</v>
      </c>
      <c r="I256" s="201">
        <v>0</v>
      </c>
      <c r="J256" s="201">
        <v>0</v>
      </c>
      <c r="K256" s="201">
        <v>0</v>
      </c>
      <c r="L256" s="201"/>
      <c r="M256" s="201">
        <v>8.9</v>
      </c>
      <c r="N256" s="201">
        <v>0</v>
      </c>
      <c r="O256" s="201">
        <v>1.5</v>
      </c>
      <c r="P256" s="201">
        <v>1156.7</v>
      </c>
      <c r="Q256" s="201">
        <v>1294.5999999999999</v>
      </c>
      <c r="R256" s="201"/>
      <c r="S256" s="201"/>
      <c r="T256" s="201">
        <v>2171.4</v>
      </c>
      <c r="U256" s="201">
        <v>439.9</v>
      </c>
      <c r="V256" s="201"/>
      <c r="W256" s="201"/>
      <c r="X256" s="201"/>
      <c r="Y256" s="201"/>
      <c r="Z256" s="201"/>
      <c r="AA256" s="61"/>
      <c r="AB256" s="201"/>
      <c r="AC256" s="61"/>
      <c r="AD256" s="201">
        <v>15</v>
      </c>
      <c r="AE256" s="61"/>
      <c r="AF256" s="61">
        <v>0</v>
      </c>
      <c r="AG256" s="61"/>
      <c r="AH256" s="61"/>
      <c r="AI256" s="61"/>
      <c r="AJ256" s="61"/>
      <c r="AK256" s="61"/>
      <c r="AL256" s="291">
        <v>24</v>
      </c>
      <c r="AM256" s="201">
        <v>22</v>
      </c>
      <c r="AN256" s="201">
        <v>15</v>
      </c>
      <c r="AO256" s="61"/>
      <c r="AP256" s="61"/>
      <c r="AQ256" s="61"/>
      <c r="AR256" s="61"/>
      <c r="AS256" s="101" t="s">
        <v>173</v>
      </c>
      <c r="AT256" s="206" t="str">
        <f t="shared" si="3"/>
        <v>44522-255</v>
      </c>
    </row>
    <row r="257" spans="1:46" x14ac:dyDescent="0.35">
      <c r="A257" s="204">
        <v>256</v>
      </c>
      <c r="B257" s="14" t="s">
        <v>83</v>
      </c>
      <c r="C257" s="1" t="s">
        <v>198</v>
      </c>
      <c r="D257" s="1" t="s">
        <v>161</v>
      </c>
      <c r="E257" s="12">
        <v>44522</v>
      </c>
      <c r="F257" s="201">
        <v>1.6</v>
      </c>
      <c r="G257" s="201">
        <v>0.8</v>
      </c>
      <c r="H257" s="201">
        <v>0</v>
      </c>
      <c r="I257" s="201">
        <v>0</v>
      </c>
      <c r="J257" s="201">
        <v>0</v>
      </c>
      <c r="K257" s="201">
        <v>0</v>
      </c>
      <c r="L257" s="201"/>
      <c r="M257" s="201">
        <v>4.3</v>
      </c>
      <c r="N257" s="201">
        <v>1.6</v>
      </c>
      <c r="O257" s="201">
        <v>0.4</v>
      </c>
      <c r="P257" s="201">
        <v>1148.0999999999999</v>
      </c>
      <c r="Q257" s="201">
        <v>1199.5</v>
      </c>
      <c r="R257" s="201"/>
      <c r="S257" s="201"/>
      <c r="T257" s="201">
        <v>2897.2</v>
      </c>
      <c r="U257" s="201">
        <v>11.2</v>
      </c>
      <c r="V257" s="201"/>
      <c r="W257" s="201"/>
      <c r="X257" s="201"/>
      <c r="Y257" s="201"/>
      <c r="Z257" s="201"/>
      <c r="AA257" s="61"/>
      <c r="AB257" s="201"/>
      <c r="AC257" s="61"/>
      <c r="AD257" s="201">
        <v>11</v>
      </c>
      <c r="AE257" s="61"/>
      <c r="AF257" s="61">
        <v>0</v>
      </c>
      <c r="AG257" s="61"/>
      <c r="AH257" s="61"/>
      <c r="AI257" s="61"/>
      <c r="AJ257" s="61"/>
      <c r="AK257" s="61"/>
      <c r="AL257" s="291">
        <v>20</v>
      </c>
      <c r="AM257" s="201">
        <v>19</v>
      </c>
      <c r="AN257" s="201">
        <v>14</v>
      </c>
      <c r="AO257" s="61"/>
      <c r="AP257" s="61"/>
      <c r="AQ257" s="61"/>
      <c r="AR257" s="61"/>
      <c r="AS257" s="101" t="s">
        <v>174</v>
      </c>
      <c r="AT257" s="206" t="str">
        <f t="shared" si="3"/>
        <v>44522-256</v>
      </c>
    </row>
    <row r="258" spans="1:46" x14ac:dyDescent="0.35">
      <c r="A258" s="204">
        <v>257</v>
      </c>
      <c r="B258" s="14" t="s">
        <v>83</v>
      </c>
      <c r="C258" s="1" t="s">
        <v>160</v>
      </c>
      <c r="D258" s="1" t="s">
        <v>161</v>
      </c>
      <c r="E258" s="12">
        <v>44522</v>
      </c>
      <c r="F258" s="201">
        <v>1.4</v>
      </c>
      <c r="G258" s="201">
        <v>1.3</v>
      </c>
      <c r="H258" s="201">
        <v>0</v>
      </c>
      <c r="I258" s="201">
        <v>0.1</v>
      </c>
      <c r="J258" s="201">
        <v>0</v>
      </c>
      <c r="K258" s="201">
        <v>0</v>
      </c>
      <c r="L258" s="201"/>
      <c r="M258" s="201">
        <v>8.9</v>
      </c>
      <c r="N258" s="201">
        <v>0.3</v>
      </c>
      <c r="O258" s="201">
        <v>1.6</v>
      </c>
      <c r="P258" s="201">
        <v>1171.3</v>
      </c>
      <c r="Q258" s="201">
        <v>1311.4</v>
      </c>
      <c r="R258" s="201"/>
      <c r="S258" s="201"/>
      <c r="T258" s="201">
        <v>2197.3000000000002</v>
      </c>
      <c r="U258" s="201">
        <v>446.1</v>
      </c>
      <c r="V258" s="201"/>
      <c r="W258" s="201"/>
      <c r="X258" s="201"/>
      <c r="Y258" s="201"/>
      <c r="Z258" s="201"/>
      <c r="AA258" s="61"/>
      <c r="AB258" s="201"/>
      <c r="AC258" s="61"/>
      <c r="AD258" s="201">
        <v>15.1</v>
      </c>
      <c r="AE258" s="61"/>
      <c r="AF258" s="61">
        <v>0</v>
      </c>
      <c r="AG258" s="61"/>
      <c r="AH258" s="61"/>
      <c r="AI258" s="61"/>
      <c r="AJ258" s="61"/>
      <c r="AK258" s="61"/>
      <c r="AL258" s="291">
        <v>23</v>
      </c>
      <c r="AM258" s="201">
        <v>21</v>
      </c>
      <c r="AN258" s="201">
        <v>15</v>
      </c>
      <c r="AO258" s="61"/>
      <c r="AP258" s="61"/>
      <c r="AQ258" s="61"/>
      <c r="AR258" s="61"/>
      <c r="AS258" s="101" t="s">
        <v>175</v>
      </c>
      <c r="AT258" s="206" t="str">
        <f t="shared" ref="AT258:AT321" si="4">CONCATENATE(E258,"-",A258)</f>
        <v>44522-257</v>
      </c>
    </row>
    <row r="259" spans="1:46" x14ac:dyDescent="0.35">
      <c r="A259" s="204">
        <v>258</v>
      </c>
      <c r="B259" s="14" t="s">
        <v>83</v>
      </c>
      <c r="C259" s="1" t="s">
        <v>198</v>
      </c>
      <c r="D259" s="1" t="s">
        <v>161</v>
      </c>
      <c r="E259" s="12">
        <v>44523</v>
      </c>
      <c r="F259" s="201">
        <v>1.6</v>
      </c>
      <c r="G259" s="201">
        <v>0.9</v>
      </c>
      <c r="H259" s="201">
        <v>0</v>
      </c>
      <c r="I259" s="201">
        <v>0</v>
      </c>
      <c r="J259" s="201">
        <v>0</v>
      </c>
      <c r="K259" s="201">
        <v>0</v>
      </c>
      <c r="L259" s="201"/>
      <c r="M259" s="201">
        <v>4.2</v>
      </c>
      <c r="N259" s="201">
        <v>1.9</v>
      </c>
      <c r="O259" s="201">
        <v>0</v>
      </c>
      <c r="P259" s="201">
        <v>1151.7</v>
      </c>
      <c r="Q259" s="201">
        <v>1194</v>
      </c>
      <c r="R259" s="201"/>
      <c r="S259" s="201"/>
      <c r="T259" s="201">
        <v>2911.8</v>
      </c>
      <c r="U259" s="201">
        <v>10.9</v>
      </c>
      <c r="V259" s="201"/>
      <c r="W259" s="201"/>
      <c r="X259" s="201"/>
      <c r="Y259" s="201"/>
      <c r="Z259" s="201"/>
      <c r="AA259" s="61"/>
      <c r="AB259" s="201"/>
      <c r="AC259" s="61"/>
      <c r="AD259" s="201">
        <v>11</v>
      </c>
      <c r="AE259" s="61"/>
      <c r="AF259" s="61">
        <v>0</v>
      </c>
      <c r="AG259" s="61"/>
      <c r="AH259" s="61"/>
      <c r="AI259" s="61"/>
      <c r="AJ259" s="61"/>
      <c r="AK259" s="61"/>
      <c r="AL259" s="291">
        <v>18</v>
      </c>
      <c r="AM259" s="201">
        <v>17</v>
      </c>
      <c r="AN259" s="201">
        <v>12</v>
      </c>
      <c r="AO259" s="61"/>
      <c r="AP259" s="61"/>
      <c r="AQ259" s="61"/>
      <c r="AR259" s="61"/>
      <c r="AS259" s="101" t="s">
        <v>216</v>
      </c>
      <c r="AT259" s="206" t="str">
        <f t="shared" si="4"/>
        <v>44523-258</v>
      </c>
    </row>
    <row r="260" spans="1:46" x14ac:dyDescent="0.35">
      <c r="A260" s="204">
        <v>259</v>
      </c>
      <c r="B260" s="14" t="s">
        <v>83</v>
      </c>
      <c r="C260" s="1" t="s">
        <v>160</v>
      </c>
      <c r="D260" s="1" t="s">
        <v>161</v>
      </c>
      <c r="E260" s="12">
        <v>44523</v>
      </c>
      <c r="F260" s="201">
        <v>1.3</v>
      </c>
      <c r="G260" s="201">
        <v>1.1000000000000001</v>
      </c>
      <c r="H260" s="201">
        <v>0</v>
      </c>
      <c r="I260" s="201">
        <v>0.2</v>
      </c>
      <c r="J260" s="201">
        <v>0</v>
      </c>
      <c r="K260" s="201">
        <v>0</v>
      </c>
      <c r="L260" s="201"/>
      <c r="M260" s="201">
        <v>8.6999999999999993</v>
      </c>
      <c r="N260" s="201">
        <v>0.1</v>
      </c>
      <c r="O260" s="201">
        <v>1.4</v>
      </c>
      <c r="P260" s="201">
        <v>1180</v>
      </c>
      <c r="Q260" s="201">
        <v>1315.7</v>
      </c>
      <c r="R260" s="201"/>
      <c r="S260" s="201"/>
      <c r="T260" s="201">
        <v>2222.1</v>
      </c>
      <c r="U260" s="201">
        <v>451.2</v>
      </c>
      <c r="V260" s="201"/>
      <c r="W260" s="201"/>
      <c r="X260" s="201"/>
      <c r="Y260" s="201"/>
      <c r="Z260" s="201"/>
      <c r="AA260" s="61"/>
      <c r="AB260" s="201"/>
      <c r="AC260" s="61"/>
      <c r="AD260" s="201">
        <v>15</v>
      </c>
      <c r="AE260" s="61"/>
      <c r="AF260" s="61">
        <v>0</v>
      </c>
      <c r="AG260" s="61"/>
      <c r="AH260" s="61"/>
      <c r="AI260" s="61"/>
      <c r="AJ260" s="61"/>
      <c r="AK260" s="61"/>
      <c r="AL260" s="291">
        <v>24</v>
      </c>
      <c r="AM260" s="201">
        <v>22</v>
      </c>
      <c r="AN260" s="201">
        <v>15</v>
      </c>
      <c r="AO260" s="61"/>
      <c r="AP260" s="61"/>
      <c r="AQ260" s="61"/>
      <c r="AR260" s="61"/>
      <c r="AS260" s="101" t="s">
        <v>185</v>
      </c>
      <c r="AT260" s="206" t="str">
        <f t="shared" si="4"/>
        <v>44523-259</v>
      </c>
    </row>
    <row r="261" spans="1:46" x14ac:dyDescent="0.35">
      <c r="A261" s="204">
        <v>260</v>
      </c>
      <c r="B261" s="14" t="s">
        <v>73</v>
      </c>
      <c r="C261" s="1" t="s">
        <v>152</v>
      </c>
      <c r="D261" s="1" t="s">
        <v>150</v>
      </c>
      <c r="E261" s="12">
        <v>44527</v>
      </c>
      <c r="F261" s="201">
        <v>1</v>
      </c>
      <c r="G261" s="201">
        <v>1</v>
      </c>
      <c r="H261" s="201">
        <v>0</v>
      </c>
      <c r="I261" s="201">
        <v>0</v>
      </c>
      <c r="J261" s="201">
        <v>0</v>
      </c>
      <c r="K261" s="201">
        <v>0</v>
      </c>
      <c r="L261" s="201">
        <v>0</v>
      </c>
      <c r="M261" s="201">
        <v>6</v>
      </c>
      <c r="N261" s="201">
        <v>2</v>
      </c>
      <c r="O261" s="201">
        <v>0</v>
      </c>
      <c r="P261" s="201">
        <v>1480</v>
      </c>
      <c r="Q261" s="201">
        <v>911</v>
      </c>
      <c r="R261" s="201">
        <v>0</v>
      </c>
      <c r="S261" s="201">
        <v>0</v>
      </c>
      <c r="T261" s="201">
        <v>3405</v>
      </c>
      <c r="U261" s="201">
        <v>13</v>
      </c>
      <c r="V261" s="201">
        <v>0</v>
      </c>
      <c r="W261" s="201">
        <v>0</v>
      </c>
      <c r="X261" s="201">
        <v>1</v>
      </c>
      <c r="Y261" s="201">
        <v>1</v>
      </c>
      <c r="Z261" s="201">
        <v>0</v>
      </c>
      <c r="AA261" s="61"/>
      <c r="AB261" s="201">
        <v>0</v>
      </c>
      <c r="AC261" s="61"/>
      <c r="AD261" s="201">
        <v>6.54</v>
      </c>
      <c r="AE261" s="61"/>
      <c r="AF261" s="61"/>
      <c r="AG261" s="61"/>
      <c r="AH261" s="61"/>
      <c r="AI261" s="61"/>
      <c r="AJ261" s="61"/>
      <c r="AK261" s="61"/>
      <c r="AL261" s="291">
        <v>20</v>
      </c>
      <c r="AM261" s="201">
        <v>18</v>
      </c>
      <c r="AN261" s="201">
        <v>12</v>
      </c>
      <c r="AO261" s="61"/>
      <c r="AP261" s="61"/>
      <c r="AQ261" s="61"/>
      <c r="AR261" s="61"/>
      <c r="AS261" s="101" t="s">
        <v>229</v>
      </c>
      <c r="AT261" s="206" t="str">
        <f t="shared" si="4"/>
        <v>44527-260</v>
      </c>
    </row>
    <row r="262" spans="1:46" x14ac:dyDescent="0.35">
      <c r="A262" s="204">
        <v>261</v>
      </c>
      <c r="B262" s="14" t="s">
        <v>83</v>
      </c>
      <c r="C262" s="1" t="s">
        <v>152</v>
      </c>
      <c r="D262" s="1" t="s">
        <v>161</v>
      </c>
      <c r="E262" s="12">
        <v>44529</v>
      </c>
      <c r="F262" s="201">
        <v>1.9</v>
      </c>
      <c r="G262" s="201">
        <v>0.9</v>
      </c>
      <c r="H262" s="201">
        <v>0</v>
      </c>
      <c r="I262" s="201">
        <v>0.1</v>
      </c>
      <c r="J262" s="201">
        <v>0</v>
      </c>
      <c r="K262" s="201">
        <v>0</v>
      </c>
      <c r="L262" s="201"/>
      <c r="M262" s="201">
        <v>4.0999999999999996</v>
      </c>
      <c r="N262" s="201">
        <v>2.1</v>
      </c>
      <c r="O262" s="201">
        <v>0.6</v>
      </c>
      <c r="P262" s="201">
        <v>1080.8</v>
      </c>
      <c r="Q262" s="201">
        <v>1133.0999999999999</v>
      </c>
      <c r="R262" s="201"/>
      <c r="S262" s="201"/>
      <c r="T262" s="201">
        <v>2772.4</v>
      </c>
      <c r="U262" s="201">
        <v>17.399999999999999</v>
      </c>
      <c r="V262" s="201"/>
      <c r="W262" s="201"/>
      <c r="X262" s="201"/>
      <c r="Y262" s="201"/>
      <c r="Z262" s="201"/>
      <c r="AA262" s="61"/>
      <c r="AB262" s="201"/>
      <c r="AC262" s="61"/>
      <c r="AD262" s="201">
        <v>6</v>
      </c>
      <c r="AE262" s="61"/>
      <c r="AF262" s="61">
        <v>0</v>
      </c>
      <c r="AG262" s="61"/>
      <c r="AH262" s="61"/>
      <c r="AI262" s="61"/>
      <c r="AJ262" s="61"/>
      <c r="AK262" s="61"/>
      <c r="AL262" s="291">
        <v>21</v>
      </c>
      <c r="AM262" s="201">
        <v>19</v>
      </c>
      <c r="AN262" s="201">
        <v>14</v>
      </c>
      <c r="AO262" s="61"/>
      <c r="AP262" s="61"/>
      <c r="AQ262" s="61"/>
      <c r="AR262" s="61"/>
      <c r="AS262" s="101" t="s">
        <v>178</v>
      </c>
      <c r="AT262" s="206" t="str">
        <f t="shared" si="4"/>
        <v>44529-261</v>
      </c>
    </row>
    <row r="263" spans="1:46" x14ac:dyDescent="0.35">
      <c r="A263" s="204">
        <v>262</v>
      </c>
      <c r="B263" s="14" t="s">
        <v>83</v>
      </c>
      <c r="C263" s="1" t="s">
        <v>152</v>
      </c>
      <c r="D263" s="1" t="s">
        <v>161</v>
      </c>
      <c r="E263" s="12">
        <v>44529</v>
      </c>
      <c r="F263" s="201">
        <v>1.7</v>
      </c>
      <c r="G263" s="201">
        <v>0.9</v>
      </c>
      <c r="H263" s="201">
        <v>0</v>
      </c>
      <c r="I263" s="201">
        <v>0</v>
      </c>
      <c r="J263" s="201">
        <v>0.1</v>
      </c>
      <c r="K263" s="201">
        <v>0</v>
      </c>
      <c r="L263" s="201"/>
      <c r="M263" s="201">
        <v>3.8</v>
      </c>
      <c r="N263" s="201">
        <v>2.1</v>
      </c>
      <c r="O263" s="201">
        <v>0.6</v>
      </c>
      <c r="P263" s="201">
        <v>1074</v>
      </c>
      <c r="Q263" s="201">
        <v>1112.5</v>
      </c>
      <c r="R263" s="201"/>
      <c r="S263" s="201"/>
      <c r="T263" s="201">
        <v>2754.4</v>
      </c>
      <c r="U263" s="201">
        <v>17</v>
      </c>
      <c r="V263" s="201"/>
      <c r="W263" s="201"/>
      <c r="X263" s="201"/>
      <c r="Y263" s="201"/>
      <c r="Z263" s="201"/>
      <c r="AA263" s="61"/>
      <c r="AB263" s="201"/>
      <c r="AC263" s="61"/>
      <c r="AD263" s="201">
        <v>6</v>
      </c>
      <c r="AE263" s="61"/>
      <c r="AF263" s="61">
        <v>0</v>
      </c>
      <c r="AG263" s="61"/>
      <c r="AH263" s="61"/>
      <c r="AI263" s="61"/>
      <c r="AJ263" s="61"/>
      <c r="AK263" s="61"/>
      <c r="AL263" s="291">
        <v>21</v>
      </c>
      <c r="AM263" s="201">
        <v>20</v>
      </c>
      <c r="AN263" s="201">
        <v>14</v>
      </c>
      <c r="AO263" s="61"/>
      <c r="AP263" s="61"/>
      <c r="AQ263" s="61"/>
      <c r="AR263" s="61"/>
      <c r="AS263" s="101" t="s">
        <v>179</v>
      </c>
      <c r="AT263" s="206" t="str">
        <f t="shared" si="4"/>
        <v>44529-262</v>
      </c>
    </row>
    <row r="264" spans="1:46" x14ac:dyDescent="0.35">
      <c r="A264" s="204">
        <v>263</v>
      </c>
      <c r="B264" s="14" t="s">
        <v>83</v>
      </c>
      <c r="C264" s="1" t="s">
        <v>155</v>
      </c>
      <c r="D264" s="1" t="s">
        <v>161</v>
      </c>
      <c r="E264" s="12">
        <v>44529</v>
      </c>
      <c r="F264" s="201">
        <v>1.5</v>
      </c>
      <c r="G264" s="201">
        <v>0.8</v>
      </c>
      <c r="H264" s="201">
        <v>0</v>
      </c>
      <c r="I264" s="201">
        <v>0</v>
      </c>
      <c r="J264" s="201">
        <v>0.1</v>
      </c>
      <c r="K264" s="201">
        <v>0</v>
      </c>
      <c r="L264" s="201"/>
      <c r="M264" s="201">
        <v>7.4</v>
      </c>
      <c r="N264" s="201">
        <v>1.7</v>
      </c>
      <c r="O264" s="201">
        <v>0.1</v>
      </c>
      <c r="P264" s="201">
        <v>1076.5</v>
      </c>
      <c r="Q264" s="201">
        <v>1115.2</v>
      </c>
      <c r="R264" s="201"/>
      <c r="S264" s="201"/>
      <c r="T264" s="201">
        <v>2734.2</v>
      </c>
      <c r="U264" s="201">
        <v>18.100000000000001</v>
      </c>
      <c r="V264" s="201"/>
      <c r="W264" s="201"/>
      <c r="X264" s="201"/>
      <c r="Y264" s="201"/>
      <c r="Z264" s="201"/>
      <c r="AA264" s="61"/>
      <c r="AB264" s="201"/>
      <c r="AC264" s="61"/>
      <c r="AD264" s="201">
        <v>25.6</v>
      </c>
      <c r="AE264" s="61"/>
      <c r="AF264" s="61">
        <v>0</v>
      </c>
      <c r="AG264" s="61"/>
      <c r="AH264" s="61"/>
      <c r="AI264" s="61"/>
      <c r="AJ264" s="61"/>
      <c r="AK264" s="61"/>
      <c r="AL264" s="291">
        <v>21</v>
      </c>
      <c r="AM264" s="201">
        <v>19</v>
      </c>
      <c r="AN264" s="201">
        <v>14</v>
      </c>
      <c r="AO264" s="61"/>
      <c r="AP264" s="61"/>
      <c r="AQ264" s="61"/>
      <c r="AR264" s="61"/>
      <c r="AS264" s="101" t="s">
        <v>180</v>
      </c>
      <c r="AT264" s="206" t="str">
        <f t="shared" si="4"/>
        <v>44529-263</v>
      </c>
    </row>
    <row r="265" spans="1:46" x14ac:dyDescent="0.35">
      <c r="A265" s="204">
        <v>264</v>
      </c>
      <c r="B265" s="14" t="s">
        <v>83</v>
      </c>
      <c r="C265" s="1" t="s">
        <v>155</v>
      </c>
      <c r="D265" s="1" t="s">
        <v>161</v>
      </c>
      <c r="E265" s="12">
        <v>44530</v>
      </c>
      <c r="F265" s="201">
        <v>1.5</v>
      </c>
      <c r="G265" s="201">
        <v>0.8</v>
      </c>
      <c r="H265" s="201">
        <v>0</v>
      </c>
      <c r="I265" s="201">
        <v>0.1</v>
      </c>
      <c r="J265" s="201">
        <v>0</v>
      </c>
      <c r="K265" s="201">
        <v>0</v>
      </c>
      <c r="L265" s="201"/>
      <c r="M265" s="201">
        <v>7</v>
      </c>
      <c r="N265" s="201">
        <v>1.9</v>
      </c>
      <c r="O265" s="201">
        <v>0.1</v>
      </c>
      <c r="P265" s="201">
        <v>1102.2</v>
      </c>
      <c r="Q265" s="201">
        <v>1135.7</v>
      </c>
      <c r="R265" s="201"/>
      <c r="S265" s="201"/>
      <c r="T265" s="201">
        <v>2758.9</v>
      </c>
      <c r="U265" s="201">
        <v>10.7</v>
      </c>
      <c r="V265" s="201"/>
      <c r="W265" s="201"/>
      <c r="X265" s="201"/>
      <c r="Y265" s="201"/>
      <c r="Z265" s="201"/>
      <c r="AA265" s="61"/>
      <c r="AB265" s="201"/>
      <c r="AC265" s="61"/>
      <c r="AD265" s="201">
        <v>25.7</v>
      </c>
      <c r="AE265" s="61"/>
      <c r="AF265" s="61">
        <v>0</v>
      </c>
      <c r="AG265" s="61"/>
      <c r="AH265" s="61"/>
      <c r="AI265" s="61"/>
      <c r="AJ265" s="61"/>
      <c r="AK265" s="61"/>
      <c r="AL265" s="291">
        <v>23</v>
      </c>
      <c r="AM265" s="201">
        <v>23</v>
      </c>
      <c r="AN265" s="201">
        <v>22</v>
      </c>
      <c r="AO265" s="61"/>
      <c r="AP265" s="61"/>
      <c r="AQ265" s="61"/>
      <c r="AR265" s="61"/>
      <c r="AS265" s="101" t="s">
        <v>215</v>
      </c>
      <c r="AT265" s="206" t="str">
        <f t="shared" si="4"/>
        <v>44530-264</v>
      </c>
    </row>
    <row r="266" spans="1:46" x14ac:dyDescent="0.35">
      <c r="A266" s="204">
        <v>265</v>
      </c>
      <c r="B266" s="14" t="s">
        <v>83</v>
      </c>
      <c r="C266" s="1" t="s">
        <v>152</v>
      </c>
      <c r="D266" s="1" t="s">
        <v>161</v>
      </c>
      <c r="E266" s="12">
        <v>44530</v>
      </c>
      <c r="F266" s="201">
        <v>1.6</v>
      </c>
      <c r="G266" s="201">
        <v>1</v>
      </c>
      <c r="H266" s="201">
        <v>0.2</v>
      </c>
      <c r="I266" s="201">
        <v>0.3</v>
      </c>
      <c r="J266" s="201">
        <v>0</v>
      </c>
      <c r="K266" s="201">
        <v>0</v>
      </c>
      <c r="L266" s="201"/>
      <c r="M266" s="201">
        <v>4.3</v>
      </c>
      <c r="N266" s="201">
        <v>2</v>
      </c>
      <c r="O266" s="201">
        <v>0</v>
      </c>
      <c r="P266" s="201">
        <v>1139.7</v>
      </c>
      <c r="Q266" s="201">
        <v>1193.7</v>
      </c>
      <c r="R266" s="201"/>
      <c r="S266" s="201"/>
      <c r="T266" s="201">
        <v>2956.5</v>
      </c>
      <c r="U266" s="201">
        <v>11.5</v>
      </c>
      <c r="V266" s="201"/>
      <c r="W266" s="201"/>
      <c r="X266" s="201"/>
      <c r="Y266" s="201"/>
      <c r="Z266" s="201"/>
      <c r="AA266" s="61"/>
      <c r="AB266" s="201"/>
      <c r="AC266" s="61"/>
      <c r="AD266" s="201">
        <v>6</v>
      </c>
      <c r="AE266" s="61"/>
      <c r="AF266" s="61">
        <v>0</v>
      </c>
      <c r="AG266" s="61"/>
      <c r="AH266" s="61"/>
      <c r="AI266" s="61"/>
      <c r="AJ266" s="61"/>
      <c r="AK266" s="61"/>
      <c r="AL266" s="291">
        <v>24</v>
      </c>
      <c r="AM266" s="201">
        <v>22</v>
      </c>
      <c r="AN266" s="201">
        <v>15</v>
      </c>
      <c r="AO266" s="61"/>
      <c r="AP266" s="61"/>
      <c r="AQ266" s="61"/>
      <c r="AR266" s="61"/>
      <c r="AS266" s="101" t="s">
        <v>184</v>
      </c>
      <c r="AT266" s="206" t="str">
        <f t="shared" si="4"/>
        <v>44530-265</v>
      </c>
    </row>
    <row r="267" spans="1:46" x14ac:dyDescent="0.35">
      <c r="A267" s="204">
        <v>266</v>
      </c>
      <c r="B267" s="14" t="s">
        <v>230</v>
      </c>
      <c r="C267" s="1" t="s">
        <v>157</v>
      </c>
      <c r="D267" s="1" t="s">
        <v>231</v>
      </c>
      <c r="E267" s="12">
        <v>44531</v>
      </c>
      <c r="F267" s="201">
        <v>0</v>
      </c>
      <c r="G267" s="201">
        <v>0.3</v>
      </c>
      <c r="H267" s="201">
        <v>0</v>
      </c>
      <c r="I267" s="201">
        <v>0</v>
      </c>
      <c r="J267" s="201">
        <v>0</v>
      </c>
      <c r="K267" s="201">
        <v>0</v>
      </c>
      <c r="L267" s="201">
        <v>0</v>
      </c>
      <c r="M267" s="201">
        <v>15.8</v>
      </c>
      <c r="N267" s="201"/>
      <c r="O267" s="201">
        <v>0</v>
      </c>
      <c r="P267" s="201">
        <v>0</v>
      </c>
      <c r="Q267" s="201">
        <v>235</v>
      </c>
      <c r="R267" s="201">
        <v>20.9</v>
      </c>
      <c r="S267" s="201">
        <v>0</v>
      </c>
      <c r="T267" s="201">
        <v>0</v>
      </c>
      <c r="U267" s="201">
        <v>0</v>
      </c>
      <c r="V267" s="201">
        <v>0</v>
      </c>
      <c r="W267" s="201">
        <v>0</v>
      </c>
      <c r="X267" s="201">
        <v>0</v>
      </c>
      <c r="Y267" s="201">
        <v>0</v>
      </c>
      <c r="Z267" s="201">
        <v>0</v>
      </c>
      <c r="AA267" s="61">
        <v>0</v>
      </c>
      <c r="AB267" s="201">
        <v>0</v>
      </c>
      <c r="AC267" s="61">
        <v>2</v>
      </c>
      <c r="AD267" s="201"/>
      <c r="AE267" s="61">
        <v>699</v>
      </c>
      <c r="AF267" s="61"/>
      <c r="AG267" s="61"/>
      <c r="AH267" s="61"/>
      <c r="AI267" s="61"/>
      <c r="AJ267" s="61"/>
      <c r="AK267" s="61"/>
      <c r="AL267" s="291"/>
      <c r="AM267" s="201"/>
      <c r="AN267" s="201"/>
      <c r="AO267" s="61"/>
      <c r="AP267" s="61"/>
      <c r="AQ267" s="61"/>
      <c r="AR267" s="61"/>
      <c r="AS267" s="101" t="s">
        <v>148</v>
      </c>
      <c r="AT267" s="206" t="str">
        <f t="shared" si="4"/>
        <v>44531-266</v>
      </c>
    </row>
    <row r="268" spans="1:46" x14ac:dyDescent="0.35">
      <c r="A268" s="204">
        <v>267</v>
      </c>
      <c r="B268" s="14" t="s">
        <v>81</v>
      </c>
      <c r="C268" s="1" t="s">
        <v>152</v>
      </c>
      <c r="D268" s="1" t="s">
        <v>232</v>
      </c>
      <c r="E268" s="12">
        <v>44532</v>
      </c>
      <c r="F268" s="201">
        <v>0</v>
      </c>
      <c r="G268" s="201">
        <v>1</v>
      </c>
      <c r="H268" s="201">
        <v>0</v>
      </c>
      <c r="I268" s="201">
        <v>0</v>
      </c>
      <c r="J268" s="201">
        <v>0</v>
      </c>
      <c r="K268" s="201">
        <v>0</v>
      </c>
      <c r="L268" s="201">
        <v>0</v>
      </c>
      <c r="M268" s="201">
        <v>6</v>
      </c>
      <c r="N268" s="201">
        <v>2</v>
      </c>
      <c r="O268" s="201">
        <v>1</v>
      </c>
      <c r="P268" s="201">
        <v>1351</v>
      </c>
      <c r="Q268" s="201">
        <v>902</v>
      </c>
      <c r="R268" s="201">
        <v>0</v>
      </c>
      <c r="S268" s="201">
        <v>0</v>
      </c>
      <c r="T268" s="201">
        <v>2943</v>
      </c>
      <c r="U268" s="201">
        <v>12</v>
      </c>
      <c r="V268" s="201">
        <v>0</v>
      </c>
      <c r="W268" s="201">
        <v>0</v>
      </c>
      <c r="X268" s="201">
        <v>0</v>
      </c>
      <c r="Y268" s="201">
        <v>0</v>
      </c>
      <c r="Z268" s="201"/>
      <c r="AA268" s="61">
        <v>0</v>
      </c>
      <c r="AB268" s="201">
        <v>0</v>
      </c>
      <c r="AC268" s="61">
        <v>0</v>
      </c>
      <c r="AD268" s="201">
        <v>6</v>
      </c>
      <c r="AE268" s="61"/>
      <c r="AF268" s="61">
        <v>2.85</v>
      </c>
      <c r="AG268" s="61"/>
      <c r="AH268" s="61"/>
      <c r="AI268" s="61"/>
      <c r="AJ268" s="61"/>
      <c r="AK268" s="61"/>
      <c r="AL268" s="291">
        <v>18</v>
      </c>
      <c r="AM268" s="201">
        <v>16</v>
      </c>
      <c r="AN268" s="201">
        <v>11</v>
      </c>
      <c r="AO268" s="61"/>
      <c r="AP268" s="61"/>
      <c r="AQ268" s="61"/>
      <c r="AR268" s="61"/>
      <c r="AS268" s="101" t="s">
        <v>148</v>
      </c>
      <c r="AT268" s="206" t="str">
        <f t="shared" si="4"/>
        <v>44532-267</v>
      </c>
    </row>
    <row r="269" spans="1:46" x14ac:dyDescent="0.35">
      <c r="A269" s="204">
        <v>268</v>
      </c>
      <c r="B269" s="14" t="s">
        <v>81</v>
      </c>
      <c r="C269" s="1" t="s">
        <v>152</v>
      </c>
      <c r="D269" s="1" t="s">
        <v>232</v>
      </c>
      <c r="E269" s="12">
        <v>44532</v>
      </c>
      <c r="F269" s="201">
        <v>0</v>
      </c>
      <c r="G269" s="201">
        <v>1</v>
      </c>
      <c r="H269" s="201">
        <v>0</v>
      </c>
      <c r="I269" s="201">
        <v>0</v>
      </c>
      <c r="J269" s="201">
        <v>0</v>
      </c>
      <c r="K269" s="201">
        <v>0</v>
      </c>
      <c r="L269" s="201">
        <v>0</v>
      </c>
      <c r="M269" s="201">
        <v>6</v>
      </c>
      <c r="N269" s="201">
        <v>2</v>
      </c>
      <c r="O269" s="201">
        <v>0</v>
      </c>
      <c r="P269" s="201">
        <v>1415</v>
      </c>
      <c r="Q269" s="201">
        <v>854</v>
      </c>
      <c r="R269" s="201">
        <v>0</v>
      </c>
      <c r="S269" s="201">
        <v>0</v>
      </c>
      <c r="T269" s="201">
        <v>3030</v>
      </c>
      <c r="U269" s="201">
        <v>12</v>
      </c>
      <c r="V269" s="201">
        <v>0</v>
      </c>
      <c r="W269" s="201">
        <v>0</v>
      </c>
      <c r="X269" s="201">
        <v>0</v>
      </c>
      <c r="Y269" s="201">
        <v>0</v>
      </c>
      <c r="Z269" s="201"/>
      <c r="AA269" s="61">
        <v>0</v>
      </c>
      <c r="AB269" s="201">
        <v>0</v>
      </c>
      <c r="AC269" s="61">
        <v>0</v>
      </c>
      <c r="AD269" s="201">
        <v>5.93</v>
      </c>
      <c r="AE269" s="61"/>
      <c r="AF269" s="61">
        <v>2.85</v>
      </c>
      <c r="AG269" s="61"/>
      <c r="AH269" s="61"/>
      <c r="AI269" s="61"/>
      <c r="AJ269" s="61"/>
      <c r="AK269" s="61"/>
      <c r="AL269" s="291">
        <v>18</v>
      </c>
      <c r="AM269" s="201">
        <v>17</v>
      </c>
      <c r="AN269" s="201">
        <v>11</v>
      </c>
      <c r="AO269" s="61"/>
      <c r="AP269" s="61"/>
      <c r="AQ269" s="61"/>
      <c r="AR269" s="61"/>
      <c r="AS269" s="101" t="s">
        <v>148</v>
      </c>
      <c r="AT269" s="206" t="str">
        <f t="shared" si="4"/>
        <v>44532-268</v>
      </c>
    </row>
    <row r="270" spans="1:46" x14ac:dyDescent="0.35">
      <c r="A270" s="204">
        <v>269</v>
      </c>
      <c r="B270" s="14" t="s">
        <v>81</v>
      </c>
      <c r="C270" s="1" t="s">
        <v>149</v>
      </c>
      <c r="D270" s="1" t="s">
        <v>232</v>
      </c>
      <c r="E270" s="12">
        <v>44532</v>
      </c>
      <c r="F270" s="201">
        <v>0</v>
      </c>
      <c r="G270" s="201">
        <v>0</v>
      </c>
      <c r="H270" s="201">
        <v>0</v>
      </c>
      <c r="I270" s="201">
        <v>0</v>
      </c>
      <c r="J270" s="201">
        <v>0</v>
      </c>
      <c r="K270" s="201">
        <v>0</v>
      </c>
      <c r="L270" s="201">
        <v>0</v>
      </c>
      <c r="M270" s="201">
        <v>5</v>
      </c>
      <c r="N270" s="201">
        <v>2</v>
      </c>
      <c r="O270" s="201">
        <v>0</v>
      </c>
      <c r="P270" s="201">
        <v>1331</v>
      </c>
      <c r="Q270" s="201">
        <v>852</v>
      </c>
      <c r="R270" s="201">
        <v>0</v>
      </c>
      <c r="S270" s="201">
        <v>0</v>
      </c>
      <c r="T270" s="201">
        <v>3052</v>
      </c>
      <c r="U270" s="201">
        <v>11</v>
      </c>
      <c r="V270" s="201">
        <v>0</v>
      </c>
      <c r="W270" s="201">
        <v>0</v>
      </c>
      <c r="X270" s="201">
        <v>0</v>
      </c>
      <c r="Y270" s="201">
        <v>0</v>
      </c>
      <c r="Z270" s="201"/>
      <c r="AA270" s="61">
        <v>0</v>
      </c>
      <c r="AB270" s="201">
        <v>0</v>
      </c>
      <c r="AC270" s="61">
        <v>0</v>
      </c>
      <c r="AD270" s="201">
        <v>18.010000000000002</v>
      </c>
      <c r="AE270" s="61"/>
      <c r="AF270" s="61"/>
      <c r="AG270" s="61"/>
      <c r="AH270" s="61"/>
      <c r="AI270" s="61"/>
      <c r="AJ270" s="61"/>
      <c r="AK270" s="61"/>
      <c r="AL270" s="291"/>
      <c r="AM270" s="201"/>
      <c r="AN270" s="201"/>
      <c r="AO270" s="61"/>
      <c r="AP270" s="61"/>
      <c r="AQ270" s="61"/>
      <c r="AR270" s="61"/>
      <c r="AS270" s="101" t="s">
        <v>148</v>
      </c>
      <c r="AT270" s="206" t="str">
        <f t="shared" si="4"/>
        <v>44532-269</v>
      </c>
    </row>
    <row r="271" spans="1:46" x14ac:dyDescent="0.35">
      <c r="A271" s="204">
        <v>270</v>
      </c>
      <c r="B271" s="14" t="s">
        <v>81</v>
      </c>
      <c r="C271" s="1" t="s">
        <v>149</v>
      </c>
      <c r="D271" s="1" t="s">
        <v>232</v>
      </c>
      <c r="E271" s="12">
        <v>44532</v>
      </c>
      <c r="F271" s="201">
        <v>0</v>
      </c>
      <c r="G271" s="201">
        <v>0</v>
      </c>
      <c r="H271" s="201">
        <v>0</v>
      </c>
      <c r="I271" s="201">
        <v>0</v>
      </c>
      <c r="J271" s="201">
        <v>0</v>
      </c>
      <c r="K271" s="201">
        <v>0</v>
      </c>
      <c r="L271" s="201">
        <v>0</v>
      </c>
      <c r="M271" s="201">
        <v>5</v>
      </c>
      <c r="N271" s="201">
        <v>2</v>
      </c>
      <c r="O271" s="201">
        <v>0</v>
      </c>
      <c r="P271" s="201">
        <v>1193</v>
      </c>
      <c r="Q271" s="201">
        <v>860</v>
      </c>
      <c r="R271" s="201">
        <v>0</v>
      </c>
      <c r="S271" s="201">
        <v>0</v>
      </c>
      <c r="T271" s="201">
        <v>2684</v>
      </c>
      <c r="U271" s="201">
        <v>10</v>
      </c>
      <c r="V271" s="201">
        <v>0</v>
      </c>
      <c r="W271" s="201">
        <v>0</v>
      </c>
      <c r="X271" s="201">
        <v>0</v>
      </c>
      <c r="Y271" s="201">
        <v>0</v>
      </c>
      <c r="Z271" s="201"/>
      <c r="AA271" s="61">
        <v>0</v>
      </c>
      <c r="AB271" s="201">
        <v>0</v>
      </c>
      <c r="AC271" s="61">
        <v>0</v>
      </c>
      <c r="AD271" s="201">
        <v>18.059999999999999</v>
      </c>
      <c r="AE271" s="61"/>
      <c r="AF271" s="61"/>
      <c r="AG271" s="61"/>
      <c r="AH271" s="61"/>
      <c r="AI271" s="61"/>
      <c r="AJ271" s="61"/>
      <c r="AK271" s="61"/>
      <c r="AL271" s="291"/>
      <c r="AM271" s="201"/>
      <c r="AN271" s="201"/>
      <c r="AO271" s="61"/>
      <c r="AP271" s="61"/>
      <c r="AQ271" s="61"/>
      <c r="AR271" s="61"/>
      <c r="AS271" s="101" t="s">
        <v>148</v>
      </c>
      <c r="AT271" s="206" t="str">
        <f t="shared" si="4"/>
        <v>44532-270</v>
      </c>
    </row>
    <row r="272" spans="1:46" x14ac:dyDescent="0.35">
      <c r="A272" s="204">
        <v>271</v>
      </c>
      <c r="B272" s="14" t="s">
        <v>81</v>
      </c>
      <c r="C272" s="1" t="s">
        <v>157</v>
      </c>
      <c r="D272" s="1" t="s">
        <v>232</v>
      </c>
      <c r="E272" s="12">
        <v>44532</v>
      </c>
      <c r="F272" s="201">
        <v>0</v>
      </c>
      <c r="G272" s="201">
        <v>0</v>
      </c>
      <c r="H272" s="201">
        <v>0</v>
      </c>
      <c r="I272" s="201">
        <v>0</v>
      </c>
      <c r="J272" s="201">
        <v>0</v>
      </c>
      <c r="K272" s="201">
        <v>0</v>
      </c>
      <c r="L272" s="201">
        <v>0</v>
      </c>
      <c r="M272" s="201">
        <v>23</v>
      </c>
      <c r="N272" s="201">
        <v>0</v>
      </c>
      <c r="O272" s="201">
        <v>0</v>
      </c>
      <c r="P272" s="201">
        <v>0</v>
      </c>
      <c r="Q272" s="201">
        <v>363</v>
      </c>
      <c r="R272" s="201">
        <v>28</v>
      </c>
      <c r="S272" s="201">
        <v>0</v>
      </c>
      <c r="T272" s="201">
        <v>0</v>
      </c>
      <c r="U272" s="201">
        <v>0</v>
      </c>
      <c r="V272" s="201">
        <v>0</v>
      </c>
      <c r="W272" s="201">
        <v>0</v>
      </c>
      <c r="X272" s="201">
        <v>0</v>
      </c>
      <c r="Y272" s="201">
        <v>0</v>
      </c>
      <c r="Z272" s="201"/>
      <c r="AA272" s="61">
        <v>0</v>
      </c>
      <c r="AB272" s="201">
        <v>0</v>
      </c>
      <c r="AC272" s="61">
        <v>0</v>
      </c>
      <c r="AD272" s="201">
        <v>79.33</v>
      </c>
      <c r="AE272" s="61"/>
      <c r="AF272" s="61"/>
      <c r="AG272" s="61"/>
      <c r="AH272" s="61"/>
      <c r="AI272" s="61"/>
      <c r="AJ272" s="61"/>
      <c r="AK272" s="61"/>
      <c r="AL272" s="291"/>
      <c r="AM272" s="201"/>
      <c r="AN272" s="201"/>
      <c r="AO272" s="61"/>
      <c r="AP272" s="61"/>
      <c r="AQ272" s="61"/>
      <c r="AR272" s="61"/>
      <c r="AS272" s="101" t="s">
        <v>148</v>
      </c>
      <c r="AT272" s="206" t="str">
        <f t="shared" si="4"/>
        <v>44532-271</v>
      </c>
    </row>
    <row r="273" spans="1:46" x14ac:dyDescent="0.35">
      <c r="A273" s="204">
        <v>272</v>
      </c>
      <c r="B273" s="14" t="s">
        <v>81</v>
      </c>
      <c r="C273" s="1" t="s">
        <v>157</v>
      </c>
      <c r="D273" s="1" t="s">
        <v>232</v>
      </c>
      <c r="E273" s="12">
        <v>44532</v>
      </c>
      <c r="F273" s="201">
        <v>0</v>
      </c>
      <c r="G273" s="201">
        <v>0</v>
      </c>
      <c r="H273" s="201">
        <v>0</v>
      </c>
      <c r="I273" s="201">
        <v>0</v>
      </c>
      <c r="J273" s="201">
        <v>0</v>
      </c>
      <c r="K273" s="201">
        <v>0</v>
      </c>
      <c r="L273" s="201">
        <v>0</v>
      </c>
      <c r="M273" s="201">
        <v>22</v>
      </c>
      <c r="N273" s="201">
        <v>0</v>
      </c>
      <c r="O273" s="201">
        <v>0</v>
      </c>
      <c r="P273" s="201">
        <v>0</v>
      </c>
      <c r="Q273" s="201">
        <v>321</v>
      </c>
      <c r="R273" s="201">
        <v>27</v>
      </c>
      <c r="S273" s="201">
        <v>0</v>
      </c>
      <c r="T273" s="201">
        <v>0</v>
      </c>
      <c r="U273" s="201">
        <v>0</v>
      </c>
      <c r="V273" s="201">
        <v>0</v>
      </c>
      <c r="W273" s="201">
        <v>0</v>
      </c>
      <c r="X273" s="201">
        <v>0</v>
      </c>
      <c r="Y273" s="201">
        <v>0</v>
      </c>
      <c r="Z273" s="201"/>
      <c r="AA273" s="61">
        <v>0</v>
      </c>
      <c r="AB273" s="201">
        <v>0</v>
      </c>
      <c r="AC273" s="61">
        <v>0</v>
      </c>
      <c r="AD273" s="201">
        <v>79.3</v>
      </c>
      <c r="AE273" s="61"/>
      <c r="AF273" s="61"/>
      <c r="AG273" s="61"/>
      <c r="AH273" s="61"/>
      <c r="AI273" s="61"/>
      <c r="AJ273" s="61"/>
      <c r="AK273" s="61"/>
      <c r="AL273" s="291"/>
      <c r="AM273" s="201"/>
      <c r="AN273" s="201"/>
      <c r="AO273" s="61"/>
      <c r="AP273" s="61"/>
      <c r="AQ273" s="61"/>
      <c r="AR273" s="61"/>
      <c r="AS273" s="101" t="s">
        <v>148</v>
      </c>
      <c r="AT273" s="206" t="str">
        <f t="shared" si="4"/>
        <v>44532-272</v>
      </c>
    </row>
    <row r="274" spans="1:46" x14ac:dyDescent="0.35">
      <c r="A274" s="204">
        <v>273</v>
      </c>
      <c r="B274" s="14" t="s">
        <v>81</v>
      </c>
      <c r="C274" s="1" t="s">
        <v>160</v>
      </c>
      <c r="D274" s="1" t="s">
        <v>232</v>
      </c>
      <c r="E274" s="12">
        <v>44532</v>
      </c>
      <c r="F274" s="201">
        <v>1</v>
      </c>
      <c r="G274" s="201">
        <v>0</v>
      </c>
      <c r="H274" s="201">
        <v>0</v>
      </c>
      <c r="I274" s="201">
        <v>0</v>
      </c>
      <c r="J274" s="201">
        <v>0</v>
      </c>
      <c r="K274" s="201">
        <v>0</v>
      </c>
      <c r="L274" s="201">
        <v>0</v>
      </c>
      <c r="M274" s="201">
        <v>9</v>
      </c>
      <c r="N274" s="201">
        <v>2</v>
      </c>
      <c r="O274" s="201">
        <v>2</v>
      </c>
      <c r="P274" s="201">
        <v>1567</v>
      </c>
      <c r="Q274" s="201">
        <v>1074</v>
      </c>
      <c r="R274" s="201">
        <v>50</v>
      </c>
      <c r="S274" s="201">
        <v>0</v>
      </c>
      <c r="T274" s="201">
        <v>2033</v>
      </c>
      <c r="U274" s="201">
        <v>384</v>
      </c>
      <c r="V274" s="201">
        <v>0</v>
      </c>
      <c r="W274" s="201">
        <v>0</v>
      </c>
      <c r="X274" s="201">
        <v>1</v>
      </c>
      <c r="Y274" s="201">
        <v>0</v>
      </c>
      <c r="Z274" s="201"/>
      <c r="AA274" s="61">
        <v>0</v>
      </c>
      <c r="AB274" s="201">
        <v>0</v>
      </c>
      <c r="AC274" s="61">
        <v>0</v>
      </c>
      <c r="AD274" s="201">
        <v>15.32</v>
      </c>
      <c r="AE274" s="61"/>
      <c r="AF274" s="61">
        <v>13.69</v>
      </c>
      <c r="AG274" s="61">
        <v>19.32</v>
      </c>
      <c r="AH274" s="61">
        <v>6.52</v>
      </c>
      <c r="AI274" s="61">
        <v>9.42</v>
      </c>
      <c r="AJ274" s="61"/>
      <c r="AK274" s="61">
        <v>2.97</v>
      </c>
      <c r="AL274" s="291"/>
      <c r="AM274" s="201"/>
      <c r="AN274" s="201"/>
      <c r="AO274" s="61">
        <v>0</v>
      </c>
      <c r="AP274" s="61">
        <v>0</v>
      </c>
      <c r="AQ274" s="61"/>
      <c r="AR274" s="61"/>
      <c r="AS274" s="101" t="s">
        <v>148</v>
      </c>
      <c r="AT274" s="206" t="str">
        <f t="shared" si="4"/>
        <v>44532-273</v>
      </c>
    </row>
    <row r="275" spans="1:46" x14ac:dyDescent="0.35">
      <c r="A275" s="204">
        <v>274</v>
      </c>
      <c r="B275" s="14" t="s">
        <v>81</v>
      </c>
      <c r="C275" s="1" t="s">
        <v>160</v>
      </c>
      <c r="D275" s="1" t="s">
        <v>232</v>
      </c>
      <c r="E275" s="12">
        <v>44532</v>
      </c>
      <c r="F275" s="201">
        <v>1</v>
      </c>
      <c r="G275" s="201">
        <v>0</v>
      </c>
      <c r="H275" s="201">
        <v>0</v>
      </c>
      <c r="I275" s="201">
        <v>0</v>
      </c>
      <c r="J275" s="201">
        <v>0</v>
      </c>
      <c r="K275" s="201">
        <v>0</v>
      </c>
      <c r="L275" s="201">
        <v>0</v>
      </c>
      <c r="M275" s="201">
        <v>8</v>
      </c>
      <c r="N275" s="201">
        <v>2</v>
      </c>
      <c r="O275" s="201">
        <v>2</v>
      </c>
      <c r="P275" s="201">
        <v>1582</v>
      </c>
      <c r="Q275" s="201">
        <v>1064</v>
      </c>
      <c r="R275" s="201">
        <v>52</v>
      </c>
      <c r="S275" s="201">
        <v>0</v>
      </c>
      <c r="T275" s="201">
        <v>2125</v>
      </c>
      <c r="U275" s="201">
        <v>379</v>
      </c>
      <c r="V275" s="201">
        <v>0</v>
      </c>
      <c r="W275" s="201">
        <v>0</v>
      </c>
      <c r="X275" s="201">
        <v>0</v>
      </c>
      <c r="Y275" s="201">
        <v>0</v>
      </c>
      <c r="Z275" s="201"/>
      <c r="AA275" s="61">
        <v>0</v>
      </c>
      <c r="AB275" s="201">
        <v>0</v>
      </c>
      <c r="AC275" s="61">
        <v>0</v>
      </c>
      <c r="AD275" s="201">
        <v>15.35</v>
      </c>
      <c r="AE275" s="61"/>
      <c r="AF275" s="61">
        <v>13.66</v>
      </c>
      <c r="AG275" s="61">
        <v>19.309999999999999</v>
      </c>
      <c r="AH275" s="61">
        <v>6.51</v>
      </c>
      <c r="AI275" s="61">
        <v>9.39</v>
      </c>
      <c r="AJ275" s="61"/>
      <c r="AK275" s="61">
        <v>2.96</v>
      </c>
      <c r="AL275" s="291"/>
      <c r="AM275" s="201"/>
      <c r="AN275" s="201"/>
      <c r="AO275" s="61">
        <v>0</v>
      </c>
      <c r="AP275" s="61">
        <v>0</v>
      </c>
      <c r="AQ275" s="61"/>
      <c r="AR275" s="61"/>
      <c r="AS275" s="101" t="s">
        <v>148</v>
      </c>
      <c r="AT275" s="206" t="str">
        <f t="shared" si="4"/>
        <v>44532-274</v>
      </c>
    </row>
    <row r="276" spans="1:46" x14ac:dyDescent="0.35">
      <c r="A276" s="204">
        <v>275</v>
      </c>
      <c r="B276" s="14" t="s">
        <v>83</v>
      </c>
      <c r="C276" s="1" t="s">
        <v>152</v>
      </c>
      <c r="D276" s="1" t="s">
        <v>161</v>
      </c>
      <c r="E276" s="12">
        <v>44536</v>
      </c>
      <c r="F276" s="201">
        <v>1.7</v>
      </c>
      <c r="G276" s="201">
        <v>0.8</v>
      </c>
      <c r="H276" s="201">
        <v>0.1</v>
      </c>
      <c r="I276" s="201">
        <v>0.4</v>
      </c>
      <c r="J276" s="201">
        <v>0</v>
      </c>
      <c r="K276" s="201">
        <v>0</v>
      </c>
      <c r="L276" s="201"/>
      <c r="M276" s="201">
        <v>4.4000000000000004</v>
      </c>
      <c r="N276" s="201">
        <v>2.1</v>
      </c>
      <c r="O276" s="201">
        <v>0.1</v>
      </c>
      <c r="P276" s="201">
        <v>1188.7</v>
      </c>
      <c r="Q276" s="201">
        <v>1362.3</v>
      </c>
      <c r="R276" s="201"/>
      <c r="S276" s="201"/>
      <c r="T276" s="201">
        <v>3055.9</v>
      </c>
      <c r="U276" s="201">
        <v>11.1</v>
      </c>
      <c r="V276" s="201"/>
      <c r="W276" s="201"/>
      <c r="X276" s="201"/>
      <c r="Y276" s="201"/>
      <c r="Z276" s="201"/>
      <c r="AA276" s="61"/>
      <c r="AB276" s="201"/>
      <c r="AC276" s="61"/>
      <c r="AD276" s="201">
        <v>6.1</v>
      </c>
      <c r="AE276" s="61"/>
      <c r="AF276" s="61">
        <v>0</v>
      </c>
      <c r="AG276" s="61"/>
      <c r="AH276" s="61"/>
      <c r="AI276" s="61"/>
      <c r="AJ276" s="61"/>
      <c r="AK276" s="61"/>
      <c r="AL276" s="291">
        <v>18</v>
      </c>
      <c r="AM276" s="201">
        <v>17</v>
      </c>
      <c r="AN276" s="201">
        <v>11</v>
      </c>
      <c r="AO276" s="61"/>
      <c r="AP276" s="61"/>
      <c r="AQ276" s="61"/>
      <c r="AR276" s="61"/>
      <c r="AS276" s="101" t="s">
        <v>233</v>
      </c>
      <c r="AT276" s="206" t="str">
        <f t="shared" si="4"/>
        <v>44536-275</v>
      </c>
    </row>
    <row r="277" spans="1:46" x14ac:dyDescent="0.35">
      <c r="A277" s="204">
        <v>276</v>
      </c>
      <c r="B277" s="14" t="s">
        <v>83</v>
      </c>
      <c r="C277" s="1" t="s">
        <v>152</v>
      </c>
      <c r="D277" s="1" t="s">
        <v>161</v>
      </c>
      <c r="E277" s="12">
        <v>44536</v>
      </c>
      <c r="F277" s="201">
        <v>1.7</v>
      </c>
      <c r="G277" s="201">
        <v>0.8</v>
      </c>
      <c r="H277" s="201">
        <v>0.1</v>
      </c>
      <c r="I277" s="201">
        <v>0.4</v>
      </c>
      <c r="J277" s="201">
        <v>0</v>
      </c>
      <c r="K277" s="201">
        <v>0</v>
      </c>
      <c r="L277" s="201"/>
      <c r="M277" s="201">
        <v>4.4000000000000004</v>
      </c>
      <c r="N277" s="201">
        <v>2.1</v>
      </c>
      <c r="O277" s="201">
        <v>0.1</v>
      </c>
      <c r="P277" s="201">
        <v>1188.7</v>
      </c>
      <c r="Q277" s="201">
        <v>1362.3</v>
      </c>
      <c r="R277" s="201"/>
      <c r="S277" s="201"/>
      <c r="T277" s="201">
        <v>3055.9</v>
      </c>
      <c r="U277" s="201">
        <v>11.1</v>
      </c>
      <c r="V277" s="201"/>
      <c r="W277" s="201"/>
      <c r="X277" s="201"/>
      <c r="Y277" s="201"/>
      <c r="Z277" s="201"/>
      <c r="AA277" s="61"/>
      <c r="AB277" s="201"/>
      <c r="AC277" s="61"/>
      <c r="AD277" s="201">
        <v>6.1</v>
      </c>
      <c r="AE277" s="61"/>
      <c r="AF277" s="61">
        <v>0</v>
      </c>
      <c r="AG277" s="61"/>
      <c r="AH277" s="61"/>
      <c r="AI277" s="61"/>
      <c r="AJ277" s="61"/>
      <c r="AK277" s="61"/>
      <c r="AL277" s="291">
        <v>18</v>
      </c>
      <c r="AM277" s="201">
        <v>17</v>
      </c>
      <c r="AN277" s="201">
        <v>11</v>
      </c>
      <c r="AO277" s="61"/>
      <c r="AP277" s="61"/>
      <c r="AQ277" s="61"/>
      <c r="AR277" s="61"/>
      <c r="AS277" s="101" t="s">
        <v>233</v>
      </c>
      <c r="AT277" s="206" t="str">
        <f t="shared" si="4"/>
        <v>44536-276</v>
      </c>
    </row>
    <row r="278" spans="1:46" x14ac:dyDescent="0.35">
      <c r="A278" s="204">
        <v>277</v>
      </c>
      <c r="B278" s="14" t="s">
        <v>83</v>
      </c>
      <c r="C278" s="1" t="s">
        <v>160</v>
      </c>
      <c r="D278" s="1" t="s">
        <v>161</v>
      </c>
      <c r="E278" s="12">
        <v>44536</v>
      </c>
      <c r="F278" s="201">
        <v>1.3</v>
      </c>
      <c r="G278" s="201">
        <v>1.2</v>
      </c>
      <c r="H278" s="201">
        <v>0</v>
      </c>
      <c r="I278" s="201">
        <v>0</v>
      </c>
      <c r="J278" s="201">
        <v>0</v>
      </c>
      <c r="K278" s="201">
        <v>0</v>
      </c>
      <c r="L278" s="201"/>
      <c r="M278" s="201">
        <v>9.3000000000000007</v>
      </c>
      <c r="N278" s="201">
        <v>1.1000000000000001</v>
      </c>
      <c r="O278" s="201">
        <v>1.5</v>
      </c>
      <c r="P278" s="201">
        <v>1189.9000000000001</v>
      </c>
      <c r="Q278" s="201">
        <v>1436.4</v>
      </c>
      <c r="R278" s="201"/>
      <c r="S278" s="201"/>
      <c r="T278" s="201">
        <v>2286.6999999999998</v>
      </c>
      <c r="U278" s="201">
        <v>474.3</v>
      </c>
      <c r="V278" s="201"/>
      <c r="W278" s="201"/>
      <c r="X278" s="201"/>
      <c r="Y278" s="201"/>
      <c r="Z278" s="201"/>
      <c r="AA278" s="61"/>
      <c r="AB278" s="201"/>
      <c r="AC278" s="61"/>
      <c r="AD278" s="201">
        <v>15.3</v>
      </c>
      <c r="AE278" s="61"/>
      <c r="AF278" s="61">
        <v>0</v>
      </c>
      <c r="AG278" s="61"/>
      <c r="AH278" s="61"/>
      <c r="AI278" s="61"/>
      <c r="AJ278" s="61"/>
      <c r="AK278" s="61"/>
      <c r="AL278" s="291">
        <v>24</v>
      </c>
      <c r="AM278" s="201">
        <v>22</v>
      </c>
      <c r="AN278" s="201">
        <v>15</v>
      </c>
      <c r="AO278" s="61"/>
      <c r="AP278" s="61"/>
      <c r="AQ278" s="61"/>
      <c r="AR278" s="61"/>
      <c r="AS278" s="101" t="s">
        <v>234</v>
      </c>
      <c r="AT278" s="206" t="str">
        <f t="shared" si="4"/>
        <v>44536-277</v>
      </c>
    </row>
    <row r="279" spans="1:46" x14ac:dyDescent="0.35">
      <c r="A279" s="204">
        <v>278</v>
      </c>
      <c r="B279" s="14" t="s">
        <v>83</v>
      </c>
      <c r="C279" s="1" t="s">
        <v>160</v>
      </c>
      <c r="D279" s="1" t="s">
        <v>161</v>
      </c>
      <c r="E279" s="12">
        <v>44536</v>
      </c>
      <c r="F279" s="201">
        <v>1.3</v>
      </c>
      <c r="G279" s="201">
        <v>1.2</v>
      </c>
      <c r="H279" s="201">
        <v>0</v>
      </c>
      <c r="I279" s="201">
        <v>0</v>
      </c>
      <c r="J279" s="201">
        <v>0</v>
      </c>
      <c r="K279" s="201">
        <v>0</v>
      </c>
      <c r="L279" s="201"/>
      <c r="M279" s="201">
        <v>9.3000000000000007</v>
      </c>
      <c r="N279" s="201">
        <v>1.1000000000000001</v>
      </c>
      <c r="O279" s="201">
        <v>1.5</v>
      </c>
      <c r="P279" s="201">
        <v>1189.9000000000001</v>
      </c>
      <c r="Q279" s="201">
        <v>1436.4</v>
      </c>
      <c r="R279" s="201"/>
      <c r="S279" s="201"/>
      <c r="T279" s="201">
        <v>2286.6999999999998</v>
      </c>
      <c r="U279" s="201">
        <v>474.3</v>
      </c>
      <c r="V279" s="201"/>
      <c r="W279" s="201"/>
      <c r="X279" s="201"/>
      <c r="Y279" s="201"/>
      <c r="Z279" s="201"/>
      <c r="AA279" s="61"/>
      <c r="AB279" s="201"/>
      <c r="AC279" s="61"/>
      <c r="AD279" s="201">
        <v>15.3</v>
      </c>
      <c r="AE279" s="61"/>
      <c r="AF279" s="61">
        <v>0</v>
      </c>
      <c r="AG279" s="61"/>
      <c r="AH279" s="61"/>
      <c r="AI279" s="61"/>
      <c r="AJ279" s="61"/>
      <c r="AK279" s="61"/>
      <c r="AL279" s="291">
        <v>24</v>
      </c>
      <c r="AM279" s="201">
        <v>22</v>
      </c>
      <c r="AN279" s="201">
        <v>15</v>
      </c>
      <c r="AO279" s="61"/>
      <c r="AP279" s="61"/>
      <c r="AQ279" s="61"/>
      <c r="AR279" s="61"/>
      <c r="AS279" s="101" t="s">
        <v>234</v>
      </c>
      <c r="AT279" s="206" t="str">
        <f t="shared" si="4"/>
        <v>44536-278</v>
      </c>
    </row>
    <row r="280" spans="1:46" x14ac:dyDescent="0.35">
      <c r="A280" s="204">
        <v>279</v>
      </c>
      <c r="B280" s="14" t="s">
        <v>83</v>
      </c>
      <c r="C280" s="1" t="s">
        <v>152</v>
      </c>
      <c r="D280" s="1" t="s">
        <v>161</v>
      </c>
      <c r="E280" s="12">
        <v>44536</v>
      </c>
      <c r="F280" s="201">
        <v>1.7</v>
      </c>
      <c r="G280" s="201">
        <v>0.8</v>
      </c>
      <c r="H280" s="201">
        <v>0</v>
      </c>
      <c r="I280" s="201">
        <v>0</v>
      </c>
      <c r="J280" s="201">
        <v>0</v>
      </c>
      <c r="K280" s="201">
        <v>0</v>
      </c>
      <c r="L280" s="201"/>
      <c r="M280" s="201">
        <v>4.5</v>
      </c>
      <c r="N280" s="201">
        <v>2.4</v>
      </c>
      <c r="O280" s="201">
        <v>0.1</v>
      </c>
      <c r="P280" s="201">
        <v>1195.0999999999999</v>
      </c>
      <c r="Q280" s="201">
        <v>1339.3</v>
      </c>
      <c r="R280" s="201"/>
      <c r="S280" s="201"/>
      <c r="T280" s="201">
        <v>3084</v>
      </c>
      <c r="U280" s="201">
        <v>11.3</v>
      </c>
      <c r="V280" s="201"/>
      <c r="W280" s="201"/>
      <c r="X280" s="201"/>
      <c r="Y280" s="201"/>
      <c r="Z280" s="201"/>
      <c r="AA280" s="61"/>
      <c r="AB280" s="201"/>
      <c r="AC280" s="61"/>
      <c r="AD280" s="201">
        <v>6.1</v>
      </c>
      <c r="AE280" s="61"/>
      <c r="AF280" s="61">
        <v>0</v>
      </c>
      <c r="AG280" s="61"/>
      <c r="AH280" s="61"/>
      <c r="AI280" s="61"/>
      <c r="AJ280" s="61"/>
      <c r="AK280" s="61"/>
      <c r="AL280" s="291">
        <v>19</v>
      </c>
      <c r="AM280" s="201">
        <v>16</v>
      </c>
      <c r="AN280" s="201">
        <v>12</v>
      </c>
      <c r="AO280" s="61"/>
      <c r="AP280" s="61"/>
      <c r="AQ280" s="61"/>
      <c r="AR280" s="61"/>
      <c r="AS280" s="101" t="s">
        <v>235</v>
      </c>
      <c r="AT280" s="206" t="str">
        <f t="shared" si="4"/>
        <v>44536-279</v>
      </c>
    </row>
    <row r="281" spans="1:46" x14ac:dyDescent="0.35">
      <c r="A281" s="204">
        <v>280</v>
      </c>
      <c r="B281" s="14" t="s">
        <v>83</v>
      </c>
      <c r="C281" s="1" t="s">
        <v>152</v>
      </c>
      <c r="D281" s="1" t="s">
        <v>161</v>
      </c>
      <c r="E281" s="12">
        <v>44536</v>
      </c>
      <c r="F281" s="201">
        <v>1.7</v>
      </c>
      <c r="G281" s="201">
        <v>0.8</v>
      </c>
      <c r="H281" s="201">
        <v>0</v>
      </c>
      <c r="I281" s="201">
        <v>0</v>
      </c>
      <c r="J281" s="201">
        <v>0</v>
      </c>
      <c r="K281" s="201">
        <v>0</v>
      </c>
      <c r="L281" s="201"/>
      <c r="M281" s="201">
        <v>4.5</v>
      </c>
      <c r="N281" s="201">
        <v>2.4</v>
      </c>
      <c r="O281" s="201">
        <v>0.1</v>
      </c>
      <c r="P281" s="201">
        <v>1195.0999999999999</v>
      </c>
      <c r="Q281" s="201">
        <v>1339.3</v>
      </c>
      <c r="R281" s="201"/>
      <c r="S281" s="201"/>
      <c r="T281" s="201">
        <v>3084</v>
      </c>
      <c r="U281" s="201">
        <v>11.3</v>
      </c>
      <c r="V281" s="201"/>
      <c r="W281" s="201"/>
      <c r="X281" s="201"/>
      <c r="Y281" s="201"/>
      <c r="Z281" s="201"/>
      <c r="AA281" s="61"/>
      <c r="AB281" s="201"/>
      <c r="AC281" s="61"/>
      <c r="AD281" s="201">
        <v>6.1</v>
      </c>
      <c r="AE281" s="61"/>
      <c r="AF281" s="61">
        <v>0</v>
      </c>
      <c r="AG281" s="61"/>
      <c r="AH281" s="61"/>
      <c r="AI281" s="61"/>
      <c r="AJ281" s="61"/>
      <c r="AK281" s="61"/>
      <c r="AL281" s="291">
        <v>19</v>
      </c>
      <c r="AM281" s="201">
        <v>16</v>
      </c>
      <c r="AN281" s="201">
        <v>12</v>
      </c>
      <c r="AO281" s="61"/>
      <c r="AP281" s="61"/>
      <c r="AQ281" s="61"/>
      <c r="AR281" s="61"/>
      <c r="AS281" s="101" t="s">
        <v>235</v>
      </c>
      <c r="AT281" s="206" t="str">
        <f t="shared" si="4"/>
        <v>44536-280</v>
      </c>
    </row>
    <row r="282" spans="1:46" x14ac:dyDescent="0.35">
      <c r="A282" s="204">
        <v>281</v>
      </c>
      <c r="B282" s="14" t="s">
        <v>83</v>
      </c>
      <c r="C282" s="1" t="s">
        <v>152</v>
      </c>
      <c r="D282" s="1" t="s">
        <v>161</v>
      </c>
      <c r="E282" s="12">
        <v>44539</v>
      </c>
      <c r="F282" s="201">
        <v>1.6</v>
      </c>
      <c r="G282" s="201">
        <v>0.8</v>
      </c>
      <c r="H282" s="201">
        <v>0</v>
      </c>
      <c r="I282" s="201">
        <v>0</v>
      </c>
      <c r="J282" s="201">
        <v>0</v>
      </c>
      <c r="K282" s="201">
        <v>0</v>
      </c>
      <c r="L282" s="201"/>
      <c r="M282" s="201">
        <v>4.5</v>
      </c>
      <c r="N282" s="201">
        <v>1.7</v>
      </c>
      <c r="O282" s="201">
        <v>0</v>
      </c>
      <c r="P282" s="201">
        <v>1137.4000000000001</v>
      </c>
      <c r="Q282" s="201">
        <v>1128.5999999999999</v>
      </c>
      <c r="R282" s="201"/>
      <c r="S282" s="201"/>
      <c r="T282" s="201">
        <v>2876.4</v>
      </c>
      <c r="U282" s="201">
        <v>10.6</v>
      </c>
      <c r="V282" s="201"/>
      <c r="W282" s="201"/>
      <c r="X282" s="201"/>
      <c r="Y282" s="201"/>
      <c r="Z282" s="201"/>
      <c r="AA282" s="61"/>
      <c r="AB282" s="201"/>
      <c r="AC282" s="61"/>
      <c r="AD282" s="201">
        <v>6.1</v>
      </c>
      <c r="AE282" s="61"/>
      <c r="AF282" s="61">
        <v>0</v>
      </c>
      <c r="AG282" s="61"/>
      <c r="AH282" s="61"/>
      <c r="AI282" s="61"/>
      <c r="AJ282" s="61"/>
      <c r="AK282" s="61"/>
      <c r="AL282" s="291">
        <v>19</v>
      </c>
      <c r="AM282" s="201">
        <v>17</v>
      </c>
      <c r="AN282" s="201">
        <v>13</v>
      </c>
      <c r="AO282" s="61"/>
      <c r="AP282" s="61"/>
      <c r="AQ282" s="61"/>
      <c r="AR282" s="61"/>
      <c r="AS282" s="101" t="s">
        <v>178</v>
      </c>
      <c r="AT282" s="206" t="str">
        <f t="shared" si="4"/>
        <v>44539-281</v>
      </c>
    </row>
    <row r="283" spans="1:46" x14ac:dyDescent="0.35">
      <c r="A283" s="204">
        <v>282</v>
      </c>
      <c r="B283" s="14" t="s">
        <v>83</v>
      </c>
      <c r="C283" s="1" t="s">
        <v>160</v>
      </c>
      <c r="D283" s="1" t="s">
        <v>161</v>
      </c>
      <c r="E283" s="12">
        <v>44539</v>
      </c>
      <c r="F283" s="201">
        <v>1.3</v>
      </c>
      <c r="G283" s="201">
        <v>1</v>
      </c>
      <c r="H283" s="201">
        <v>0</v>
      </c>
      <c r="I283" s="201">
        <v>0</v>
      </c>
      <c r="J283" s="201">
        <v>0</v>
      </c>
      <c r="K283" s="201">
        <v>0</v>
      </c>
      <c r="L283" s="201"/>
      <c r="M283" s="201">
        <v>8.4</v>
      </c>
      <c r="N283" s="201">
        <v>0.8</v>
      </c>
      <c r="O283" s="201">
        <v>1.4</v>
      </c>
      <c r="P283" s="201">
        <v>1142.9000000000001</v>
      </c>
      <c r="Q283" s="201">
        <v>1207.0999999999999</v>
      </c>
      <c r="R283" s="201"/>
      <c r="S283" s="201"/>
      <c r="T283" s="201">
        <v>2155.9</v>
      </c>
      <c r="U283" s="201">
        <v>447.6</v>
      </c>
      <c r="V283" s="201"/>
      <c r="W283" s="201"/>
      <c r="X283" s="201"/>
      <c r="Y283" s="201"/>
      <c r="Z283" s="201"/>
      <c r="AA283" s="61"/>
      <c r="AB283" s="201"/>
      <c r="AC283" s="61"/>
      <c r="AD283" s="201">
        <v>15</v>
      </c>
      <c r="AE283" s="61"/>
      <c r="AF283" s="61">
        <v>0</v>
      </c>
      <c r="AG283" s="61"/>
      <c r="AH283" s="61"/>
      <c r="AI283" s="61"/>
      <c r="AJ283" s="61"/>
      <c r="AK283" s="61"/>
      <c r="AL283" s="291">
        <v>24</v>
      </c>
      <c r="AM283" s="201">
        <v>22</v>
      </c>
      <c r="AN283" s="201">
        <v>15</v>
      </c>
      <c r="AO283" s="61"/>
      <c r="AP283" s="61"/>
      <c r="AQ283" s="61"/>
      <c r="AR283" s="61"/>
      <c r="AS283" s="101" t="s">
        <v>179</v>
      </c>
      <c r="AT283" s="206" t="str">
        <f t="shared" si="4"/>
        <v>44539-282</v>
      </c>
    </row>
    <row r="284" spans="1:46" x14ac:dyDescent="0.35">
      <c r="A284" s="204">
        <v>283</v>
      </c>
      <c r="B284" s="14" t="s">
        <v>83</v>
      </c>
      <c r="C284" s="1" t="s">
        <v>160</v>
      </c>
      <c r="D284" s="1" t="s">
        <v>161</v>
      </c>
      <c r="E284" s="12">
        <v>44539</v>
      </c>
      <c r="F284" s="201">
        <v>1.3</v>
      </c>
      <c r="G284" s="201">
        <v>1</v>
      </c>
      <c r="H284" s="201">
        <v>0.3</v>
      </c>
      <c r="I284" s="201">
        <v>0.1</v>
      </c>
      <c r="J284" s="201">
        <v>0</v>
      </c>
      <c r="K284" s="201">
        <v>0</v>
      </c>
      <c r="L284" s="201"/>
      <c r="M284" s="201">
        <v>8.4</v>
      </c>
      <c r="N284" s="201">
        <v>1</v>
      </c>
      <c r="O284" s="201">
        <v>1.8</v>
      </c>
      <c r="P284" s="201">
        <v>1122.7</v>
      </c>
      <c r="Q284" s="201">
        <v>1189.8</v>
      </c>
      <c r="R284" s="201"/>
      <c r="S284" s="201"/>
      <c r="T284" s="201">
        <v>2076</v>
      </c>
      <c r="U284" s="201">
        <v>438.1</v>
      </c>
      <c r="V284" s="201"/>
      <c r="W284" s="201"/>
      <c r="X284" s="201"/>
      <c r="Y284" s="201"/>
      <c r="Z284" s="201"/>
      <c r="AA284" s="61"/>
      <c r="AB284" s="201"/>
      <c r="AC284" s="61"/>
      <c r="AD284" s="201">
        <v>15.1</v>
      </c>
      <c r="AE284" s="61"/>
      <c r="AF284" s="61">
        <v>0</v>
      </c>
      <c r="AG284" s="61"/>
      <c r="AH284" s="61"/>
      <c r="AI284" s="61"/>
      <c r="AJ284" s="61"/>
      <c r="AK284" s="61"/>
      <c r="AL284" s="291">
        <v>24</v>
      </c>
      <c r="AM284" s="201">
        <v>22</v>
      </c>
      <c r="AN284" s="201">
        <v>15</v>
      </c>
      <c r="AO284" s="61"/>
      <c r="AP284" s="61"/>
      <c r="AQ284" s="61"/>
      <c r="AR284" s="61"/>
      <c r="AS284" s="101" t="s">
        <v>180</v>
      </c>
      <c r="AT284" s="206" t="str">
        <f t="shared" si="4"/>
        <v>44539-283</v>
      </c>
    </row>
    <row r="285" spans="1:46" x14ac:dyDescent="0.35">
      <c r="A285" s="204">
        <v>284</v>
      </c>
      <c r="B285" s="14" t="s">
        <v>83</v>
      </c>
      <c r="C285" s="1" t="s">
        <v>152</v>
      </c>
      <c r="D285" s="1" t="s">
        <v>161</v>
      </c>
      <c r="E285" s="12">
        <v>44544</v>
      </c>
      <c r="F285" s="201">
        <v>1.6</v>
      </c>
      <c r="G285" s="201">
        <v>0.9</v>
      </c>
      <c r="H285" s="201">
        <v>0</v>
      </c>
      <c r="I285" s="201">
        <v>0</v>
      </c>
      <c r="J285" s="201">
        <v>0</v>
      </c>
      <c r="K285" s="201">
        <v>0</v>
      </c>
      <c r="L285" s="201"/>
      <c r="M285" s="201">
        <v>3.6</v>
      </c>
      <c r="N285" s="201">
        <v>1.8</v>
      </c>
      <c r="O285" s="201">
        <v>0.4</v>
      </c>
      <c r="P285" s="201">
        <v>1177.5999999999999</v>
      </c>
      <c r="Q285" s="201">
        <v>1283.4000000000001</v>
      </c>
      <c r="R285" s="201"/>
      <c r="S285" s="201"/>
      <c r="T285" s="201">
        <v>3045</v>
      </c>
      <c r="U285" s="201">
        <v>14.2</v>
      </c>
      <c r="V285" s="201"/>
      <c r="W285" s="201"/>
      <c r="X285" s="201"/>
      <c r="Y285" s="201"/>
      <c r="Z285" s="201"/>
      <c r="AA285" s="61"/>
      <c r="AB285" s="201"/>
      <c r="AC285" s="61"/>
      <c r="AD285" s="201">
        <v>6</v>
      </c>
      <c r="AE285" s="61"/>
      <c r="AF285" s="61">
        <v>0</v>
      </c>
      <c r="AG285" s="61"/>
      <c r="AH285" s="61"/>
      <c r="AI285" s="61"/>
      <c r="AJ285" s="61"/>
      <c r="AK285" s="61"/>
      <c r="AL285" s="291">
        <v>19</v>
      </c>
      <c r="AM285" s="201">
        <v>17</v>
      </c>
      <c r="AN285" s="201">
        <v>10</v>
      </c>
      <c r="AO285" s="61"/>
      <c r="AP285" s="61"/>
      <c r="AQ285" s="61"/>
      <c r="AR285" s="61"/>
      <c r="AS285" s="101" t="s">
        <v>172</v>
      </c>
      <c r="AT285" s="206" t="str">
        <f t="shared" si="4"/>
        <v>44544-284</v>
      </c>
    </row>
    <row r="286" spans="1:46" x14ac:dyDescent="0.35">
      <c r="A286" s="204">
        <v>285</v>
      </c>
      <c r="B286" s="14" t="s">
        <v>83</v>
      </c>
      <c r="C286" s="1" t="s">
        <v>157</v>
      </c>
      <c r="D286" s="1" t="s">
        <v>161</v>
      </c>
      <c r="E286" s="12">
        <v>44546</v>
      </c>
      <c r="F286" s="201">
        <v>0</v>
      </c>
      <c r="G286" s="201">
        <v>0.8</v>
      </c>
      <c r="H286" s="201">
        <v>0</v>
      </c>
      <c r="I286" s="201">
        <v>0.1</v>
      </c>
      <c r="J286" s="201">
        <v>0</v>
      </c>
      <c r="K286" s="201">
        <v>0</v>
      </c>
      <c r="L286" s="201"/>
      <c r="M286" s="201">
        <v>14.4</v>
      </c>
      <c r="N286" s="201">
        <v>0</v>
      </c>
      <c r="O286" s="201">
        <v>0.3</v>
      </c>
      <c r="P286" s="201">
        <v>3.6</v>
      </c>
      <c r="Q286" s="201">
        <v>214.9</v>
      </c>
      <c r="R286" s="201"/>
      <c r="S286" s="201"/>
      <c r="T286" s="201">
        <v>5.6</v>
      </c>
      <c r="U286" s="201">
        <v>0.1</v>
      </c>
      <c r="V286" s="201"/>
      <c r="W286" s="201"/>
      <c r="X286" s="201"/>
      <c r="Y286" s="201"/>
      <c r="Z286" s="201"/>
      <c r="AA286" s="61"/>
      <c r="AB286" s="201"/>
      <c r="AC286" s="61"/>
      <c r="AD286" s="201">
        <v>79.099999999999994</v>
      </c>
      <c r="AE286" s="61"/>
      <c r="AF286" s="61">
        <v>0</v>
      </c>
      <c r="AG286" s="61"/>
      <c r="AH286" s="61"/>
      <c r="AI286" s="61"/>
      <c r="AJ286" s="61"/>
      <c r="AK286" s="61"/>
      <c r="AL286" s="291">
        <v>21</v>
      </c>
      <c r="AM286" s="201">
        <v>20</v>
      </c>
      <c r="AN286" s="201">
        <v>19</v>
      </c>
      <c r="AO286" s="61"/>
      <c r="AP286" s="61"/>
      <c r="AQ286" s="61"/>
      <c r="AR286" s="61"/>
      <c r="AS286" s="101" t="s">
        <v>221</v>
      </c>
      <c r="AT286" s="206" t="str">
        <f t="shared" si="4"/>
        <v>44546-285</v>
      </c>
    </row>
    <row r="287" spans="1:46" x14ac:dyDescent="0.35">
      <c r="A287" s="204">
        <v>286</v>
      </c>
      <c r="B287" s="14" t="s">
        <v>83</v>
      </c>
      <c r="C287" s="1" t="s">
        <v>160</v>
      </c>
      <c r="D287" s="1" t="s">
        <v>161</v>
      </c>
      <c r="E287" s="12">
        <v>44547</v>
      </c>
      <c r="F287" s="201">
        <v>1.4</v>
      </c>
      <c r="G287" s="201">
        <v>1.4</v>
      </c>
      <c r="H287" s="201">
        <v>0</v>
      </c>
      <c r="I287" s="201">
        <v>0</v>
      </c>
      <c r="J287" s="201">
        <v>0</v>
      </c>
      <c r="K287" s="201">
        <v>0</v>
      </c>
      <c r="L287" s="201"/>
      <c r="M287" s="201">
        <v>10.199999999999999</v>
      </c>
      <c r="N287" s="201">
        <v>0.3</v>
      </c>
      <c r="O287" s="201">
        <v>1.4</v>
      </c>
      <c r="P287" s="201">
        <v>1219.4000000000001</v>
      </c>
      <c r="Q287" s="201">
        <v>1314.8</v>
      </c>
      <c r="R287" s="201"/>
      <c r="S287" s="201"/>
      <c r="T287" s="201">
        <v>2357.1999999999998</v>
      </c>
      <c r="U287" s="201">
        <v>478.9</v>
      </c>
      <c r="V287" s="201"/>
      <c r="W287" s="201"/>
      <c r="X287" s="201"/>
      <c r="Y287" s="201"/>
      <c r="Z287" s="201"/>
      <c r="AA287" s="61"/>
      <c r="AB287" s="201"/>
      <c r="AC287" s="61"/>
      <c r="AD287" s="201">
        <v>15.1</v>
      </c>
      <c r="AE287" s="61"/>
      <c r="AF287" s="61">
        <v>0</v>
      </c>
      <c r="AG287" s="61"/>
      <c r="AH287" s="61"/>
      <c r="AI287" s="61"/>
      <c r="AJ287" s="61"/>
      <c r="AK287" s="61"/>
      <c r="AL287" s="291">
        <v>23</v>
      </c>
      <c r="AM287" s="201">
        <v>22</v>
      </c>
      <c r="AN287" s="201">
        <v>15</v>
      </c>
      <c r="AO287" s="61"/>
      <c r="AP287" s="61"/>
      <c r="AQ287" s="61"/>
      <c r="AR287" s="61"/>
      <c r="AS287" s="101" t="s">
        <v>162</v>
      </c>
      <c r="AT287" s="206" t="str">
        <f t="shared" si="4"/>
        <v>44547-286</v>
      </c>
    </row>
    <row r="288" spans="1:46" x14ac:dyDescent="0.35">
      <c r="A288" s="204">
        <v>287</v>
      </c>
      <c r="B288" s="14" t="s">
        <v>83</v>
      </c>
      <c r="C288" s="1" t="s">
        <v>160</v>
      </c>
      <c r="D288" s="1" t="s">
        <v>161</v>
      </c>
      <c r="E288" s="12">
        <v>44547</v>
      </c>
      <c r="F288" s="201">
        <v>1.3</v>
      </c>
      <c r="G288" s="201">
        <v>1.4</v>
      </c>
      <c r="H288" s="201">
        <v>0</v>
      </c>
      <c r="I288" s="201">
        <v>0</v>
      </c>
      <c r="J288" s="201">
        <v>0</v>
      </c>
      <c r="K288" s="201">
        <v>0</v>
      </c>
      <c r="L288" s="201"/>
      <c r="M288" s="201">
        <v>10</v>
      </c>
      <c r="N288" s="201">
        <v>0.4</v>
      </c>
      <c r="O288" s="201">
        <v>1.2</v>
      </c>
      <c r="P288" s="201">
        <v>1206.5</v>
      </c>
      <c r="Q288" s="201">
        <v>1316.2</v>
      </c>
      <c r="R288" s="201"/>
      <c r="S288" s="201"/>
      <c r="T288" s="201">
        <v>2340.8000000000002</v>
      </c>
      <c r="U288" s="201">
        <v>475.5</v>
      </c>
      <c r="V288" s="201"/>
      <c r="W288" s="201"/>
      <c r="X288" s="201"/>
      <c r="Y288" s="201"/>
      <c r="Z288" s="201"/>
      <c r="AA288" s="61"/>
      <c r="AB288" s="201"/>
      <c r="AC288" s="61"/>
      <c r="AD288" s="201">
        <v>15.1</v>
      </c>
      <c r="AE288" s="61"/>
      <c r="AF288" s="61">
        <v>0</v>
      </c>
      <c r="AG288" s="61"/>
      <c r="AH288" s="61"/>
      <c r="AI288" s="61"/>
      <c r="AJ288" s="61"/>
      <c r="AK288" s="61"/>
      <c r="AL288" s="291">
        <v>23</v>
      </c>
      <c r="AM288" s="201">
        <v>22</v>
      </c>
      <c r="AN288" s="201">
        <v>15</v>
      </c>
      <c r="AO288" s="61"/>
      <c r="AP288" s="61"/>
      <c r="AQ288" s="61"/>
      <c r="AR288" s="61"/>
      <c r="AS288" s="101" t="s">
        <v>163</v>
      </c>
      <c r="AT288" s="206" t="str">
        <f t="shared" si="4"/>
        <v>44547-287</v>
      </c>
    </row>
    <row r="289" spans="1:46" x14ac:dyDescent="0.35">
      <c r="A289" s="204">
        <v>288</v>
      </c>
      <c r="B289" s="14" t="s">
        <v>83</v>
      </c>
      <c r="C289" s="1" t="s">
        <v>160</v>
      </c>
      <c r="D289" s="1" t="s">
        <v>161</v>
      </c>
      <c r="E289" s="12">
        <v>44547</v>
      </c>
      <c r="F289" s="201">
        <v>1.3</v>
      </c>
      <c r="G289" s="201">
        <v>1.4</v>
      </c>
      <c r="H289" s="201">
        <v>0</v>
      </c>
      <c r="I289" s="201">
        <v>0</v>
      </c>
      <c r="J289" s="201">
        <v>0</v>
      </c>
      <c r="K289" s="201">
        <v>0</v>
      </c>
      <c r="L289" s="201"/>
      <c r="M289" s="201">
        <v>10.199999999999999</v>
      </c>
      <c r="N289" s="201">
        <v>0.5</v>
      </c>
      <c r="O289" s="201">
        <v>0.8</v>
      </c>
      <c r="P289" s="201">
        <v>1233.7</v>
      </c>
      <c r="Q289" s="201">
        <v>1311.8</v>
      </c>
      <c r="R289" s="201"/>
      <c r="S289" s="201"/>
      <c r="T289" s="201">
        <v>2390.9</v>
      </c>
      <c r="U289" s="201">
        <v>485.5</v>
      </c>
      <c r="V289" s="201"/>
      <c r="W289" s="201"/>
      <c r="X289" s="201"/>
      <c r="Y289" s="201"/>
      <c r="Z289" s="201"/>
      <c r="AA289" s="61"/>
      <c r="AB289" s="201"/>
      <c r="AC289" s="61"/>
      <c r="AD289" s="201">
        <v>15.1</v>
      </c>
      <c r="AE289" s="61"/>
      <c r="AF289" s="61">
        <v>0</v>
      </c>
      <c r="AG289" s="61"/>
      <c r="AH289" s="61"/>
      <c r="AI289" s="61"/>
      <c r="AJ289" s="61"/>
      <c r="AK289" s="61"/>
      <c r="AL289" s="291">
        <v>23</v>
      </c>
      <c r="AM289" s="201">
        <v>22</v>
      </c>
      <c r="AN289" s="201">
        <v>15</v>
      </c>
      <c r="AO289" s="61"/>
      <c r="AP289" s="61"/>
      <c r="AQ289" s="61"/>
      <c r="AR289" s="61"/>
      <c r="AS289" s="101" t="s">
        <v>164</v>
      </c>
      <c r="AT289" s="206" t="str">
        <f t="shared" si="4"/>
        <v>44547-288</v>
      </c>
    </row>
    <row r="290" spans="1:46" x14ac:dyDescent="0.35">
      <c r="A290" s="204">
        <v>289</v>
      </c>
      <c r="B290" s="14" t="s">
        <v>83</v>
      </c>
      <c r="C290" s="1" t="s">
        <v>160</v>
      </c>
      <c r="D290" s="1" t="s">
        <v>161</v>
      </c>
      <c r="E290" s="12">
        <v>44548</v>
      </c>
      <c r="F290" s="201">
        <v>1.3</v>
      </c>
      <c r="G290" s="201">
        <v>1.2</v>
      </c>
      <c r="H290" s="201">
        <v>0</v>
      </c>
      <c r="I290" s="201">
        <v>0</v>
      </c>
      <c r="J290" s="201">
        <v>0</v>
      </c>
      <c r="K290" s="201">
        <v>0</v>
      </c>
      <c r="L290" s="201"/>
      <c r="M290" s="201">
        <v>10.1</v>
      </c>
      <c r="N290" s="201">
        <v>0.4</v>
      </c>
      <c r="O290" s="201">
        <v>1</v>
      </c>
      <c r="P290" s="201">
        <v>1210.4000000000001</v>
      </c>
      <c r="Q290" s="201">
        <v>1310.3</v>
      </c>
      <c r="R290" s="201"/>
      <c r="S290" s="201"/>
      <c r="T290" s="201">
        <v>2348.9</v>
      </c>
      <c r="U290" s="201">
        <v>475.1</v>
      </c>
      <c r="V290" s="201"/>
      <c r="W290" s="201"/>
      <c r="X290" s="201"/>
      <c r="Y290" s="201"/>
      <c r="Z290" s="201"/>
      <c r="AA290" s="61"/>
      <c r="AB290" s="201"/>
      <c r="AC290" s="61"/>
      <c r="AD290" s="201">
        <v>15.1</v>
      </c>
      <c r="AE290" s="61"/>
      <c r="AF290" s="61">
        <v>0</v>
      </c>
      <c r="AG290" s="61"/>
      <c r="AH290" s="61"/>
      <c r="AI290" s="61"/>
      <c r="AJ290" s="61"/>
      <c r="AK290" s="61"/>
      <c r="AL290" s="291">
        <v>24</v>
      </c>
      <c r="AM290" s="201">
        <v>22</v>
      </c>
      <c r="AN290" s="201">
        <v>15</v>
      </c>
      <c r="AO290" s="61"/>
      <c r="AP290" s="61"/>
      <c r="AQ290" s="61"/>
      <c r="AR290" s="61"/>
      <c r="AS290" s="101" t="s">
        <v>191</v>
      </c>
      <c r="AT290" s="206" t="str">
        <f t="shared" si="4"/>
        <v>44548-289</v>
      </c>
    </row>
    <row r="291" spans="1:46" x14ac:dyDescent="0.35">
      <c r="A291" s="204">
        <v>290</v>
      </c>
      <c r="B291" s="14" t="s">
        <v>83</v>
      </c>
      <c r="C291" s="1" t="s">
        <v>160</v>
      </c>
      <c r="D291" s="1" t="s">
        <v>161</v>
      </c>
      <c r="E291" s="12">
        <v>44548</v>
      </c>
      <c r="F291" s="201">
        <v>1.6</v>
      </c>
      <c r="G291" s="201">
        <v>1.6</v>
      </c>
      <c r="H291" s="201">
        <v>0</v>
      </c>
      <c r="I291" s="201">
        <v>0</v>
      </c>
      <c r="J291" s="201">
        <v>0</v>
      </c>
      <c r="K291" s="201">
        <v>0</v>
      </c>
      <c r="L291" s="201"/>
      <c r="M291" s="201">
        <v>9.6999999999999993</v>
      </c>
      <c r="N291" s="201">
        <v>0.8</v>
      </c>
      <c r="O291" s="201">
        <v>1.6</v>
      </c>
      <c r="P291" s="201">
        <v>1245.8</v>
      </c>
      <c r="Q291" s="201">
        <v>1332.4</v>
      </c>
      <c r="R291" s="201"/>
      <c r="S291" s="201"/>
      <c r="T291" s="201">
        <v>2403.6999999999998</v>
      </c>
      <c r="U291" s="201">
        <v>478.3</v>
      </c>
      <c r="V291" s="201"/>
      <c r="W291" s="201"/>
      <c r="X291" s="201"/>
      <c r="Y291" s="201"/>
      <c r="Z291" s="201"/>
      <c r="AA291" s="61"/>
      <c r="AB291" s="201"/>
      <c r="AC291" s="61"/>
      <c r="AD291" s="201">
        <v>15.1</v>
      </c>
      <c r="AE291" s="61"/>
      <c r="AF291" s="61">
        <v>0</v>
      </c>
      <c r="AG291" s="61"/>
      <c r="AH291" s="61"/>
      <c r="AI291" s="61"/>
      <c r="AJ291" s="61"/>
      <c r="AK291" s="61"/>
      <c r="AL291" s="291">
        <v>24</v>
      </c>
      <c r="AM291" s="201">
        <v>23</v>
      </c>
      <c r="AN291" s="201">
        <v>16</v>
      </c>
      <c r="AO291" s="61"/>
      <c r="AP291" s="61"/>
      <c r="AQ291" s="61"/>
      <c r="AR291" s="61"/>
      <c r="AS291" s="101" t="s">
        <v>171</v>
      </c>
      <c r="AT291" s="206" t="str">
        <f t="shared" si="4"/>
        <v>44548-290</v>
      </c>
    </row>
    <row r="292" spans="1:46" x14ac:dyDescent="0.35">
      <c r="A292" s="204">
        <v>291</v>
      </c>
      <c r="B292" s="14" t="s">
        <v>83</v>
      </c>
      <c r="C292" s="1" t="s">
        <v>198</v>
      </c>
      <c r="D292" s="1" t="s">
        <v>161</v>
      </c>
      <c r="E292" s="12">
        <v>44550</v>
      </c>
      <c r="F292" s="201">
        <v>1.8</v>
      </c>
      <c r="G292" s="201">
        <v>1.2</v>
      </c>
      <c r="H292" s="201">
        <v>0</v>
      </c>
      <c r="I292" s="201">
        <v>0</v>
      </c>
      <c r="J292" s="201">
        <v>0</v>
      </c>
      <c r="K292" s="201">
        <v>0</v>
      </c>
      <c r="L292" s="201"/>
      <c r="M292" s="201">
        <v>3.5</v>
      </c>
      <c r="N292" s="201">
        <v>2.7</v>
      </c>
      <c r="O292" s="201">
        <v>0</v>
      </c>
      <c r="P292" s="201">
        <v>1302</v>
      </c>
      <c r="Q292" s="201">
        <v>1375.9</v>
      </c>
      <c r="R292" s="201"/>
      <c r="S292" s="201"/>
      <c r="T292" s="201">
        <v>3442.6</v>
      </c>
      <c r="U292" s="201">
        <v>12.4</v>
      </c>
      <c r="V292" s="201"/>
      <c r="W292" s="201"/>
      <c r="X292" s="201"/>
      <c r="Y292" s="201"/>
      <c r="Z292" s="201"/>
      <c r="AA292" s="61"/>
      <c r="AB292" s="201"/>
      <c r="AC292" s="61"/>
      <c r="AD292" s="201">
        <v>11.3</v>
      </c>
      <c r="AE292" s="61"/>
      <c r="AF292" s="61">
        <v>0</v>
      </c>
      <c r="AG292" s="61"/>
      <c r="AH292" s="61"/>
      <c r="AI292" s="61"/>
      <c r="AJ292" s="61"/>
      <c r="AK292" s="61"/>
      <c r="AL292" s="291">
        <v>20</v>
      </c>
      <c r="AM292" s="201">
        <v>19</v>
      </c>
      <c r="AN292" s="201">
        <v>18</v>
      </c>
      <c r="AO292" s="61"/>
      <c r="AP292" s="61"/>
      <c r="AQ292" s="61"/>
      <c r="AR292" s="61"/>
      <c r="AS292" s="101" t="s">
        <v>181</v>
      </c>
      <c r="AT292" s="206" t="str">
        <f t="shared" si="4"/>
        <v>44550-291</v>
      </c>
    </row>
    <row r="293" spans="1:46" x14ac:dyDescent="0.35">
      <c r="A293" s="204">
        <v>292</v>
      </c>
      <c r="B293" s="14" t="s">
        <v>83</v>
      </c>
      <c r="C293" s="1" t="s">
        <v>155</v>
      </c>
      <c r="D293" s="1" t="s">
        <v>161</v>
      </c>
      <c r="E293" s="12">
        <v>44550</v>
      </c>
      <c r="F293" s="201">
        <v>1.6</v>
      </c>
      <c r="G293" s="201">
        <v>0.9</v>
      </c>
      <c r="H293" s="201">
        <v>0</v>
      </c>
      <c r="I293" s="201">
        <v>0</v>
      </c>
      <c r="J293" s="201">
        <v>0</v>
      </c>
      <c r="K293" s="201">
        <v>0</v>
      </c>
      <c r="L293" s="201"/>
      <c r="M293" s="201">
        <v>8.3000000000000007</v>
      </c>
      <c r="N293" s="201">
        <v>1.9</v>
      </c>
      <c r="O293" s="201">
        <v>1.3</v>
      </c>
      <c r="P293" s="201">
        <v>1208.5</v>
      </c>
      <c r="Q293" s="201">
        <v>1352.5</v>
      </c>
      <c r="R293" s="201"/>
      <c r="S293" s="201"/>
      <c r="T293" s="201">
        <v>3132.5</v>
      </c>
      <c r="U293" s="201">
        <v>15.3</v>
      </c>
      <c r="V293" s="201"/>
      <c r="W293" s="201"/>
      <c r="X293" s="201"/>
      <c r="Y293" s="201"/>
      <c r="Z293" s="201"/>
      <c r="AA293" s="61"/>
      <c r="AB293" s="201"/>
      <c r="AC293" s="61"/>
      <c r="AD293" s="201">
        <v>25.1</v>
      </c>
      <c r="AE293" s="61"/>
      <c r="AF293" s="61">
        <v>0</v>
      </c>
      <c r="AG293" s="61"/>
      <c r="AH293" s="61"/>
      <c r="AI293" s="61"/>
      <c r="AJ293" s="61"/>
      <c r="AK293" s="61"/>
      <c r="AL293" s="291">
        <v>20</v>
      </c>
      <c r="AM293" s="201">
        <v>18</v>
      </c>
      <c r="AN293" s="201">
        <v>13</v>
      </c>
      <c r="AO293" s="61"/>
      <c r="AP293" s="61"/>
      <c r="AQ293" s="61"/>
      <c r="AR293" s="61"/>
      <c r="AS293" s="101" t="s">
        <v>182</v>
      </c>
      <c r="AT293" s="206" t="str">
        <f t="shared" si="4"/>
        <v>44550-292</v>
      </c>
    </row>
    <row r="294" spans="1:46" x14ac:dyDescent="0.35">
      <c r="A294" s="204">
        <v>293</v>
      </c>
      <c r="B294" s="14" t="s">
        <v>83</v>
      </c>
      <c r="C294" s="1" t="s">
        <v>198</v>
      </c>
      <c r="D294" s="1" t="s">
        <v>161</v>
      </c>
      <c r="E294" s="12">
        <v>44550</v>
      </c>
      <c r="F294" s="201">
        <v>1.6</v>
      </c>
      <c r="G294" s="201">
        <v>0.9</v>
      </c>
      <c r="H294" s="201">
        <v>0</v>
      </c>
      <c r="I294" s="201">
        <v>0</v>
      </c>
      <c r="J294" s="201">
        <v>0</v>
      </c>
      <c r="K294" s="201">
        <v>0</v>
      </c>
      <c r="L294" s="201"/>
      <c r="M294" s="201">
        <v>3.7</v>
      </c>
      <c r="N294" s="201">
        <v>2.1</v>
      </c>
      <c r="O294" s="201">
        <v>0.7</v>
      </c>
      <c r="P294" s="201">
        <v>1225.4000000000001</v>
      </c>
      <c r="Q294" s="201">
        <v>1380.3</v>
      </c>
      <c r="R294" s="201"/>
      <c r="S294" s="201"/>
      <c r="T294" s="201">
        <v>3185</v>
      </c>
      <c r="U294" s="201">
        <v>11.9</v>
      </c>
      <c r="V294" s="201"/>
      <c r="W294" s="201"/>
      <c r="X294" s="201"/>
      <c r="Y294" s="201"/>
      <c r="Z294" s="201"/>
      <c r="AA294" s="61"/>
      <c r="AB294" s="201"/>
      <c r="AC294" s="61"/>
      <c r="AD294" s="201">
        <v>11.2</v>
      </c>
      <c r="AE294" s="61"/>
      <c r="AF294" s="61">
        <v>0</v>
      </c>
      <c r="AG294" s="61"/>
      <c r="AH294" s="61"/>
      <c r="AI294" s="61"/>
      <c r="AJ294" s="61"/>
      <c r="AK294" s="61"/>
      <c r="AL294" s="291">
        <v>20</v>
      </c>
      <c r="AM294" s="201">
        <v>17</v>
      </c>
      <c r="AN294" s="201">
        <v>13</v>
      </c>
      <c r="AO294" s="61"/>
      <c r="AP294" s="61"/>
      <c r="AQ294" s="61"/>
      <c r="AR294" s="61"/>
      <c r="AS294" s="101" t="s">
        <v>183</v>
      </c>
      <c r="AT294" s="206" t="str">
        <f t="shared" si="4"/>
        <v>44550-293</v>
      </c>
    </row>
    <row r="295" spans="1:46" x14ac:dyDescent="0.35">
      <c r="A295" s="204">
        <v>294</v>
      </c>
      <c r="B295" s="14" t="s">
        <v>83</v>
      </c>
      <c r="C295" s="1" t="s">
        <v>198</v>
      </c>
      <c r="D295" s="1" t="s">
        <v>161</v>
      </c>
      <c r="E295" s="12">
        <v>44550</v>
      </c>
      <c r="F295" s="201">
        <v>1.6</v>
      </c>
      <c r="G295" s="201">
        <v>0.9</v>
      </c>
      <c r="H295" s="201">
        <v>0</v>
      </c>
      <c r="I295" s="201">
        <v>0</v>
      </c>
      <c r="J295" s="201">
        <v>0</v>
      </c>
      <c r="K295" s="201">
        <v>0</v>
      </c>
      <c r="L295" s="201"/>
      <c r="M295" s="201">
        <v>3.3</v>
      </c>
      <c r="N295" s="201">
        <v>1.4</v>
      </c>
      <c r="O295" s="201">
        <v>1.2</v>
      </c>
      <c r="P295" s="201">
        <v>1209.8</v>
      </c>
      <c r="Q295" s="201">
        <v>1340.8</v>
      </c>
      <c r="R295" s="201"/>
      <c r="S295" s="201"/>
      <c r="T295" s="201">
        <v>3129.4</v>
      </c>
      <c r="U295" s="201">
        <v>11</v>
      </c>
      <c r="V295" s="201"/>
      <c r="W295" s="201"/>
      <c r="X295" s="201"/>
      <c r="Y295" s="201"/>
      <c r="Z295" s="201"/>
      <c r="AA295" s="61"/>
      <c r="AB295" s="201"/>
      <c r="AC295" s="61"/>
      <c r="AD295" s="201">
        <v>11.3</v>
      </c>
      <c r="AE295" s="61"/>
      <c r="AF295" s="61">
        <v>0</v>
      </c>
      <c r="AG295" s="61"/>
      <c r="AH295" s="61"/>
      <c r="AI295" s="61"/>
      <c r="AJ295" s="61"/>
      <c r="AK295" s="61"/>
      <c r="AL295" s="291">
        <v>18</v>
      </c>
      <c r="AM295" s="201">
        <v>16</v>
      </c>
      <c r="AN295" s="201">
        <v>10</v>
      </c>
      <c r="AO295" s="61"/>
      <c r="AP295" s="61"/>
      <c r="AQ295" s="61"/>
      <c r="AR295" s="61"/>
      <c r="AS295" s="101" t="s">
        <v>236</v>
      </c>
      <c r="AT295" s="206" t="str">
        <f t="shared" si="4"/>
        <v>44550-294</v>
      </c>
    </row>
    <row r="296" spans="1:46" x14ac:dyDescent="0.35">
      <c r="A296" s="204">
        <v>295</v>
      </c>
      <c r="B296" s="14" t="s">
        <v>83</v>
      </c>
      <c r="C296" s="1" t="s">
        <v>155</v>
      </c>
      <c r="D296" s="1" t="s">
        <v>161</v>
      </c>
      <c r="E296" s="12">
        <v>44551</v>
      </c>
      <c r="F296" s="201">
        <v>1.7</v>
      </c>
      <c r="G296" s="201">
        <v>0.9</v>
      </c>
      <c r="H296" s="201">
        <v>0</v>
      </c>
      <c r="I296" s="201">
        <v>0</v>
      </c>
      <c r="J296" s="201">
        <v>0</v>
      </c>
      <c r="K296" s="201">
        <v>0</v>
      </c>
      <c r="L296" s="201"/>
      <c r="M296" s="201">
        <v>8.6999999999999993</v>
      </c>
      <c r="N296" s="201">
        <v>1.4</v>
      </c>
      <c r="O296" s="201">
        <v>0.6</v>
      </c>
      <c r="P296" s="201">
        <v>1253.8</v>
      </c>
      <c r="Q296" s="201">
        <v>1418.2</v>
      </c>
      <c r="R296" s="201"/>
      <c r="S296" s="201"/>
      <c r="T296" s="201">
        <v>3247.6</v>
      </c>
      <c r="U296" s="201">
        <v>12.4</v>
      </c>
      <c r="V296" s="201"/>
      <c r="W296" s="201"/>
      <c r="X296" s="201"/>
      <c r="Y296" s="201"/>
      <c r="Z296" s="201"/>
      <c r="AA296" s="61"/>
      <c r="AB296" s="201"/>
      <c r="AC296" s="61"/>
      <c r="AD296" s="201">
        <v>25</v>
      </c>
      <c r="AE296" s="61"/>
      <c r="AF296" s="61">
        <v>0</v>
      </c>
      <c r="AG296" s="61"/>
      <c r="AH296" s="61"/>
      <c r="AI296" s="61"/>
      <c r="AJ296" s="61"/>
      <c r="AK296" s="61"/>
      <c r="AL296" s="291">
        <v>20</v>
      </c>
      <c r="AM296" s="201">
        <v>18</v>
      </c>
      <c r="AN296" s="201">
        <v>13</v>
      </c>
      <c r="AO296" s="61"/>
      <c r="AP296" s="61"/>
      <c r="AQ296" s="61"/>
      <c r="AR296" s="61"/>
      <c r="AS296" s="101" t="s">
        <v>237</v>
      </c>
      <c r="AT296" s="206" t="str">
        <f t="shared" si="4"/>
        <v>44551-295</v>
      </c>
    </row>
    <row r="297" spans="1:46" x14ac:dyDescent="0.35">
      <c r="A297" s="204">
        <v>296</v>
      </c>
      <c r="B297" s="14" t="s">
        <v>83</v>
      </c>
      <c r="C297" s="1" t="s">
        <v>198</v>
      </c>
      <c r="D297" s="1" t="s">
        <v>161</v>
      </c>
      <c r="E297" s="12">
        <v>44551</v>
      </c>
      <c r="F297" s="201">
        <v>1.9</v>
      </c>
      <c r="G297" s="201">
        <v>1</v>
      </c>
      <c r="H297" s="201">
        <v>0</v>
      </c>
      <c r="I297" s="201">
        <v>0</v>
      </c>
      <c r="J297" s="201">
        <v>0</v>
      </c>
      <c r="K297" s="201">
        <v>0</v>
      </c>
      <c r="L297" s="201"/>
      <c r="M297" s="201">
        <v>3.5</v>
      </c>
      <c r="N297" s="201">
        <v>1.8</v>
      </c>
      <c r="O297" s="201">
        <v>0.8</v>
      </c>
      <c r="P297" s="201">
        <v>1236.2</v>
      </c>
      <c r="Q297" s="201">
        <v>1405.6</v>
      </c>
      <c r="R297" s="201"/>
      <c r="S297" s="201"/>
      <c r="T297" s="201">
        <v>3244.2</v>
      </c>
      <c r="U297" s="201">
        <v>11.8</v>
      </c>
      <c r="V297" s="201"/>
      <c r="W297" s="201"/>
      <c r="X297" s="201"/>
      <c r="Y297" s="201"/>
      <c r="Z297" s="201"/>
      <c r="AA297" s="61"/>
      <c r="AB297" s="201"/>
      <c r="AC297" s="61"/>
      <c r="AD297" s="201">
        <v>11.2</v>
      </c>
      <c r="AE297" s="61"/>
      <c r="AF297" s="61">
        <v>0</v>
      </c>
      <c r="AG297" s="61"/>
      <c r="AH297" s="61"/>
      <c r="AI297" s="61"/>
      <c r="AJ297" s="61"/>
      <c r="AK297" s="61"/>
      <c r="AL297" s="291">
        <v>22</v>
      </c>
      <c r="AM297" s="201">
        <v>21</v>
      </c>
      <c r="AN297" s="201">
        <v>16</v>
      </c>
      <c r="AO297" s="61"/>
      <c r="AP297" s="61"/>
      <c r="AQ297" s="61"/>
      <c r="AR297" s="61"/>
      <c r="AS297" s="101" t="s">
        <v>238</v>
      </c>
      <c r="AT297" s="206" t="str">
        <f t="shared" si="4"/>
        <v>44551-296</v>
      </c>
    </row>
    <row r="298" spans="1:46" x14ac:dyDescent="0.35">
      <c r="A298" s="204">
        <v>297</v>
      </c>
      <c r="B298" s="14" t="s">
        <v>83</v>
      </c>
      <c r="C298" s="1" t="s">
        <v>152</v>
      </c>
      <c r="D298" s="1" t="s">
        <v>161</v>
      </c>
      <c r="E298" s="12">
        <v>44553</v>
      </c>
      <c r="F298" s="201">
        <v>1.7</v>
      </c>
      <c r="G298" s="201">
        <v>1</v>
      </c>
      <c r="H298" s="201">
        <v>0</v>
      </c>
      <c r="I298" s="201">
        <v>0</v>
      </c>
      <c r="J298" s="201">
        <v>0</v>
      </c>
      <c r="K298" s="201">
        <v>0</v>
      </c>
      <c r="L298" s="201"/>
      <c r="M298" s="201">
        <v>3.9</v>
      </c>
      <c r="N298" s="201">
        <v>2.2999999999999998</v>
      </c>
      <c r="O298" s="201">
        <v>0.1</v>
      </c>
      <c r="P298" s="201">
        <v>1204.7</v>
      </c>
      <c r="Q298" s="201">
        <v>1304.8</v>
      </c>
      <c r="R298" s="201"/>
      <c r="S298" s="201"/>
      <c r="T298" s="201">
        <v>3111</v>
      </c>
      <c r="U298" s="201">
        <v>11.6</v>
      </c>
      <c r="V298" s="201"/>
      <c r="W298" s="201"/>
      <c r="X298" s="201"/>
      <c r="Y298" s="201"/>
      <c r="Z298" s="201"/>
      <c r="AA298" s="61"/>
      <c r="AB298" s="201"/>
      <c r="AC298" s="61"/>
      <c r="AD298" s="201">
        <v>6</v>
      </c>
      <c r="AE298" s="61"/>
      <c r="AF298" s="61">
        <v>0</v>
      </c>
      <c r="AG298" s="61"/>
      <c r="AH298" s="61"/>
      <c r="AI298" s="61"/>
      <c r="AJ298" s="61"/>
      <c r="AK298" s="61"/>
      <c r="AL298" s="291">
        <v>19</v>
      </c>
      <c r="AM298" s="201">
        <v>17</v>
      </c>
      <c r="AN298" s="201">
        <v>13</v>
      </c>
      <c r="AO298" s="61"/>
      <c r="AP298" s="61"/>
      <c r="AQ298" s="61"/>
      <c r="AR298" s="61"/>
      <c r="AS298" s="101" t="s">
        <v>239</v>
      </c>
      <c r="AT298" s="206" t="str">
        <f t="shared" si="4"/>
        <v>44553-297</v>
      </c>
    </row>
    <row r="299" spans="1:46" x14ac:dyDescent="0.35">
      <c r="A299" s="204">
        <v>298</v>
      </c>
      <c r="B299" s="14" t="s">
        <v>83</v>
      </c>
      <c r="C299" s="1" t="s">
        <v>152</v>
      </c>
      <c r="D299" s="1" t="s">
        <v>161</v>
      </c>
      <c r="E299" s="12">
        <v>44553</v>
      </c>
      <c r="F299" s="201">
        <v>1.6</v>
      </c>
      <c r="G299" s="201">
        <v>0.9</v>
      </c>
      <c r="H299" s="201">
        <v>0</v>
      </c>
      <c r="I299" s="201">
        <v>0</v>
      </c>
      <c r="J299" s="201">
        <v>0</v>
      </c>
      <c r="K299" s="201">
        <v>0</v>
      </c>
      <c r="L299" s="201"/>
      <c r="M299" s="201">
        <v>4.0999999999999996</v>
      </c>
      <c r="N299" s="201">
        <v>2.4</v>
      </c>
      <c r="O299" s="201">
        <v>0.6</v>
      </c>
      <c r="P299" s="201">
        <v>1199.5</v>
      </c>
      <c r="Q299" s="201">
        <v>1292.8</v>
      </c>
      <c r="R299" s="201"/>
      <c r="S299" s="201"/>
      <c r="T299" s="201">
        <v>3104.1</v>
      </c>
      <c r="U299" s="201">
        <v>11.6</v>
      </c>
      <c r="V299" s="201"/>
      <c r="W299" s="201"/>
      <c r="X299" s="201"/>
      <c r="Y299" s="201"/>
      <c r="Z299" s="201"/>
      <c r="AA299" s="61"/>
      <c r="AB299" s="201"/>
      <c r="AC299" s="61"/>
      <c r="AD299" s="201">
        <v>6</v>
      </c>
      <c r="AE299" s="61"/>
      <c r="AF299" s="61">
        <v>0</v>
      </c>
      <c r="AG299" s="61"/>
      <c r="AH299" s="61"/>
      <c r="AI299" s="61"/>
      <c r="AJ299" s="61"/>
      <c r="AK299" s="61"/>
      <c r="AL299" s="291">
        <v>20</v>
      </c>
      <c r="AM299" s="201">
        <v>19</v>
      </c>
      <c r="AN299" s="201">
        <v>16</v>
      </c>
      <c r="AO299" s="61"/>
      <c r="AP299" s="61"/>
      <c r="AQ299" s="61"/>
      <c r="AR299" s="61"/>
      <c r="AS299" s="101" t="s">
        <v>240</v>
      </c>
      <c r="AT299" s="206" t="str">
        <f t="shared" si="4"/>
        <v>44553-298</v>
      </c>
    </row>
    <row r="300" spans="1:46" x14ac:dyDescent="0.35">
      <c r="A300" s="204">
        <v>299</v>
      </c>
      <c r="B300" s="14" t="s">
        <v>83</v>
      </c>
      <c r="C300" s="1" t="s">
        <v>152</v>
      </c>
      <c r="D300" s="1" t="s">
        <v>161</v>
      </c>
      <c r="E300" s="12">
        <v>44553</v>
      </c>
      <c r="F300" s="201">
        <v>1.6</v>
      </c>
      <c r="G300" s="201">
        <v>1.1000000000000001</v>
      </c>
      <c r="H300" s="201">
        <v>0</v>
      </c>
      <c r="I300" s="201">
        <v>0</v>
      </c>
      <c r="J300" s="201">
        <v>0</v>
      </c>
      <c r="K300" s="201">
        <v>0</v>
      </c>
      <c r="L300" s="201"/>
      <c r="M300" s="201">
        <v>3.8</v>
      </c>
      <c r="N300" s="201">
        <v>2.2999999999999998</v>
      </c>
      <c r="O300" s="201">
        <v>0</v>
      </c>
      <c r="P300" s="201">
        <v>1189.7</v>
      </c>
      <c r="Q300" s="201">
        <v>1286.5999999999999</v>
      </c>
      <c r="R300" s="201"/>
      <c r="S300" s="201"/>
      <c r="T300" s="201">
        <v>3064.2</v>
      </c>
      <c r="U300" s="201">
        <v>11.7</v>
      </c>
      <c r="V300" s="201"/>
      <c r="W300" s="201"/>
      <c r="X300" s="201"/>
      <c r="Y300" s="201"/>
      <c r="Z300" s="201"/>
      <c r="AA300" s="61"/>
      <c r="AB300" s="201"/>
      <c r="AC300" s="61"/>
      <c r="AD300" s="201">
        <v>6</v>
      </c>
      <c r="AE300" s="61"/>
      <c r="AF300" s="61">
        <v>0</v>
      </c>
      <c r="AG300" s="61"/>
      <c r="AH300" s="61"/>
      <c r="AI300" s="61"/>
      <c r="AJ300" s="61"/>
      <c r="AK300" s="61"/>
      <c r="AL300" s="291">
        <v>19</v>
      </c>
      <c r="AM300" s="201">
        <v>17</v>
      </c>
      <c r="AN300" s="201">
        <v>12</v>
      </c>
      <c r="AO300" s="61"/>
      <c r="AP300" s="61"/>
      <c r="AQ300" s="61"/>
      <c r="AR300" s="61"/>
      <c r="AS300" s="101" t="s">
        <v>241</v>
      </c>
      <c r="AT300" s="206" t="str">
        <f t="shared" si="4"/>
        <v>44553-299</v>
      </c>
    </row>
    <row r="301" spans="1:46" x14ac:dyDescent="0.35">
      <c r="A301" s="204">
        <v>300</v>
      </c>
      <c r="B301" s="14" t="s">
        <v>83</v>
      </c>
      <c r="C301" s="1" t="s">
        <v>152</v>
      </c>
      <c r="D301" s="1" t="s">
        <v>161</v>
      </c>
      <c r="E301" s="12">
        <v>44560</v>
      </c>
      <c r="F301" s="201">
        <v>1.5</v>
      </c>
      <c r="G301" s="201">
        <v>0.9</v>
      </c>
      <c r="H301" s="201">
        <v>0.1</v>
      </c>
      <c r="I301" s="201">
        <v>0</v>
      </c>
      <c r="J301" s="201">
        <v>0</v>
      </c>
      <c r="K301" s="201">
        <v>0</v>
      </c>
      <c r="L301" s="201"/>
      <c r="M301" s="201">
        <v>3.4</v>
      </c>
      <c r="N301" s="201">
        <v>3</v>
      </c>
      <c r="O301" s="201">
        <v>0</v>
      </c>
      <c r="P301" s="201">
        <v>1137</v>
      </c>
      <c r="Q301" s="201">
        <v>1205.2</v>
      </c>
      <c r="R301" s="201"/>
      <c r="S301" s="201"/>
      <c r="T301" s="201">
        <v>2938.1</v>
      </c>
      <c r="U301" s="201">
        <v>11.3</v>
      </c>
      <c r="V301" s="201"/>
      <c r="W301" s="201"/>
      <c r="X301" s="201"/>
      <c r="Y301" s="201"/>
      <c r="Z301" s="201"/>
      <c r="AA301" s="61"/>
      <c r="AB301" s="201"/>
      <c r="AC301" s="61"/>
      <c r="AD301" s="201">
        <v>6</v>
      </c>
      <c r="AE301" s="61"/>
      <c r="AF301" s="61">
        <v>0</v>
      </c>
      <c r="AG301" s="61"/>
      <c r="AH301" s="61"/>
      <c r="AI301" s="61"/>
      <c r="AJ301" s="61"/>
      <c r="AK301" s="61"/>
      <c r="AL301" s="291">
        <v>21</v>
      </c>
      <c r="AM301" s="201">
        <v>19</v>
      </c>
      <c r="AN301" s="201">
        <v>16</v>
      </c>
      <c r="AO301" s="61"/>
      <c r="AP301" s="61"/>
      <c r="AQ301" s="61"/>
      <c r="AR301" s="61"/>
      <c r="AS301" s="101" t="s">
        <v>178</v>
      </c>
      <c r="AT301" s="206" t="str">
        <f t="shared" si="4"/>
        <v>44560-300</v>
      </c>
    </row>
    <row r="302" spans="1:46" x14ac:dyDescent="0.35">
      <c r="A302" s="204">
        <v>301</v>
      </c>
      <c r="B302" s="14" t="s">
        <v>83</v>
      </c>
      <c r="C302" s="1" t="s">
        <v>152</v>
      </c>
      <c r="D302" s="1" t="s">
        <v>161</v>
      </c>
      <c r="E302" s="12">
        <v>44560</v>
      </c>
      <c r="F302" s="201">
        <v>1.4</v>
      </c>
      <c r="G302" s="201">
        <v>1</v>
      </c>
      <c r="H302" s="201">
        <v>0</v>
      </c>
      <c r="I302" s="201">
        <v>0.1</v>
      </c>
      <c r="J302" s="201">
        <v>0</v>
      </c>
      <c r="K302" s="201">
        <v>0</v>
      </c>
      <c r="L302" s="201"/>
      <c r="M302" s="201">
        <v>3.1</v>
      </c>
      <c r="N302" s="201">
        <v>2.4</v>
      </c>
      <c r="O302" s="201">
        <v>0</v>
      </c>
      <c r="P302" s="201">
        <v>1112.5999999999999</v>
      </c>
      <c r="Q302" s="201">
        <v>1182.0999999999999</v>
      </c>
      <c r="R302" s="201"/>
      <c r="S302" s="201"/>
      <c r="T302" s="201">
        <v>2855.5</v>
      </c>
      <c r="U302" s="201">
        <v>10.9</v>
      </c>
      <c r="V302" s="201"/>
      <c r="W302" s="201"/>
      <c r="X302" s="201"/>
      <c r="Y302" s="201"/>
      <c r="Z302" s="201"/>
      <c r="AA302" s="61"/>
      <c r="AB302" s="201"/>
      <c r="AC302" s="61"/>
      <c r="AD302" s="201">
        <v>6</v>
      </c>
      <c r="AE302" s="61"/>
      <c r="AF302" s="61">
        <v>0</v>
      </c>
      <c r="AG302" s="61"/>
      <c r="AH302" s="61"/>
      <c r="AI302" s="61"/>
      <c r="AJ302" s="61"/>
      <c r="AK302" s="61"/>
      <c r="AL302" s="291">
        <v>21</v>
      </c>
      <c r="AM302" s="201">
        <v>19</v>
      </c>
      <c r="AN302" s="201">
        <v>16</v>
      </c>
      <c r="AO302" s="61"/>
      <c r="AP302" s="61"/>
      <c r="AQ302" s="61"/>
      <c r="AR302" s="61"/>
      <c r="AS302" s="101" t="s">
        <v>179</v>
      </c>
      <c r="AT302" s="206" t="str">
        <f t="shared" si="4"/>
        <v>44560-301</v>
      </c>
    </row>
    <row r="303" spans="1:46" x14ac:dyDescent="0.35">
      <c r="A303" s="204">
        <v>302</v>
      </c>
      <c r="B303" s="14" t="s">
        <v>83</v>
      </c>
      <c r="C303" s="1" t="s">
        <v>152</v>
      </c>
      <c r="D303" s="1" t="s">
        <v>161</v>
      </c>
      <c r="E303" s="12">
        <v>44560</v>
      </c>
      <c r="F303" s="201">
        <v>1.4</v>
      </c>
      <c r="G303" s="201">
        <v>0.9</v>
      </c>
      <c r="H303" s="201">
        <v>0</v>
      </c>
      <c r="I303" s="201">
        <v>0</v>
      </c>
      <c r="J303" s="201">
        <v>0</v>
      </c>
      <c r="K303" s="201">
        <v>0</v>
      </c>
      <c r="L303" s="201"/>
      <c r="M303" s="201">
        <v>3.2</v>
      </c>
      <c r="N303" s="201">
        <v>2.1</v>
      </c>
      <c r="O303" s="201">
        <v>0</v>
      </c>
      <c r="P303" s="201">
        <v>1108.8</v>
      </c>
      <c r="Q303" s="201">
        <v>1174.0999999999999</v>
      </c>
      <c r="R303" s="201"/>
      <c r="S303" s="201"/>
      <c r="T303" s="201">
        <v>2837.9</v>
      </c>
      <c r="U303" s="201">
        <v>10.8</v>
      </c>
      <c r="V303" s="201"/>
      <c r="W303" s="201"/>
      <c r="X303" s="201"/>
      <c r="Y303" s="201"/>
      <c r="Z303" s="201"/>
      <c r="AA303" s="61"/>
      <c r="AB303" s="201"/>
      <c r="AC303" s="61"/>
      <c r="AD303" s="201">
        <v>6</v>
      </c>
      <c r="AE303" s="61"/>
      <c r="AF303" s="61">
        <v>0</v>
      </c>
      <c r="AG303" s="61"/>
      <c r="AH303" s="61"/>
      <c r="AI303" s="61"/>
      <c r="AJ303" s="61"/>
      <c r="AK303" s="61"/>
      <c r="AL303" s="291">
        <v>21</v>
      </c>
      <c r="AM303" s="201">
        <v>19</v>
      </c>
      <c r="AN303" s="201">
        <v>16</v>
      </c>
      <c r="AO303" s="61"/>
      <c r="AP303" s="61"/>
      <c r="AQ303" s="61"/>
      <c r="AR303" s="61"/>
      <c r="AS303" s="101" t="s">
        <v>180</v>
      </c>
      <c r="AT303" s="206" t="str">
        <f t="shared" si="4"/>
        <v>44560-302</v>
      </c>
    </row>
    <row r="304" spans="1:46" x14ac:dyDescent="0.35">
      <c r="A304" s="204">
        <v>303</v>
      </c>
      <c r="B304" s="14" t="s">
        <v>83</v>
      </c>
      <c r="C304" s="1" t="s">
        <v>152</v>
      </c>
      <c r="D304" s="1" t="s">
        <v>161</v>
      </c>
      <c r="E304" s="12">
        <v>44560</v>
      </c>
      <c r="F304" s="201">
        <v>1.4</v>
      </c>
      <c r="G304" s="201">
        <v>0.9</v>
      </c>
      <c r="H304" s="201">
        <v>0</v>
      </c>
      <c r="I304" s="201">
        <v>0</v>
      </c>
      <c r="J304" s="201">
        <v>0</v>
      </c>
      <c r="K304" s="201">
        <v>0</v>
      </c>
      <c r="L304" s="201"/>
      <c r="M304" s="201">
        <v>4.0999999999999996</v>
      </c>
      <c r="N304" s="201">
        <v>2.1</v>
      </c>
      <c r="O304" s="201">
        <v>0.1</v>
      </c>
      <c r="P304" s="201">
        <v>1101.8</v>
      </c>
      <c r="Q304" s="201">
        <v>1173.7</v>
      </c>
      <c r="R304" s="201"/>
      <c r="S304" s="201"/>
      <c r="T304" s="201">
        <v>2804.9</v>
      </c>
      <c r="U304" s="201">
        <v>11.7</v>
      </c>
      <c r="V304" s="201"/>
      <c r="W304" s="201"/>
      <c r="X304" s="201"/>
      <c r="Y304" s="201"/>
      <c r="Z304" s="201"/>
      <c r="AA304" s="61"/>
      <c r="AB304" s="201"/>
      <c r="AC304" s="61"/>
      <c r="AD304" s="201">
        <v>6</v>
      </c>
      <c r="AE304" s="61"/>
      <c r="AF304" s="61">
        <v>0</v>
      </c>
      <c r="AG304" s="61"/>
      <c r="AH304" s="61"/>
      <c r="AI304" s="61"/>
      <c r="AJ304" s="61"/>
      <c r="AK304" s="61"/>
      <c r="AL304" s="291">
        <v>19</v>
      </c>
      <c r="AM304" s="201">
        <v>18</v>
      </c>
      <c r="AN304" s="201">
        <v>14</v>
      </c>
      <c r="AO304" s="61"/>
      <c r="AP304" s="61"/>
      <c r="AQ304" s="61"/>
      <c r="AR304" s="61"/>
      <c r="AS304" s="101" t="s">
        <v>184</v>
      </c>
      <c r="AT304" s="206" t="str">
        <f t="shared" si="4"/>
        <v>44560-303</v>
      </c>
    </row>
    <row r="305" spans="1:46" x14ac:dyDescent="0.35">
      <c r="A305" s="204">
        <v>304</v>
      </c>
      <c r="B305" s="14" t="s">
        <v>83</v>
      </c>
      <c r="C305" s="1" t="s">
        <v>152</v>
      </c>
      <c r="D305" s="1" t="s">
        <v>161</v>
      </c>
      <c r="E305" s="12">
        <v>44560</v>
      </c>
      <c r="F305" s="201">
        <v>1.4</v>
      </c>
      <c r="G305" s="201">
        <v>0.9</v>
      </c>
      <c r="H305" s="201">
        <v>0</v>
      </c>
      <c r="I305" s="201">
        <v>0</v>
      </c>
      <c r="J305" s="201">
        <v>0</v>
      </c>
      <c r="K305" s="201">
        <v>0</v>
      </c>
      <c r="L305" s="201"/>
      <c r="M305" s="201">
        <v>3.2</v>
      </c>
      <c r="N305" s="201">
        <v>1.7</v>
      </c>
      <c r="O305" s="201">
        <v>0</v>
      </c>
      <c r="P305" s="201">
        <v>1086.0999999999999</v>
      </c>
      <c r="Q305" s="201">
        <v>1154.2</v>
      </c>
      <c r="R305" s="201"/>
      <c r="S305" s="201"/>
      <c r="T305" s="201">
        <v>2757.7</v>
      </c>
      <c r="U305" s="201">
        <v>10.5</v>
      </c>
      <c r="V305" s="201"/>
      <c r="W305" s="201"/>
      <c r="X305" s="201"/>
      <c r="Y305" s="201"/>
      <c r="Z305" s="201"/>
      <c r="AA305" s="61"/>
      <c r="AB305" s="201"/>
      <c r="AC305" s="61"/>
      <c r="AD305" s="201">
        <v>6</v>
      </c>
      <c r="AE305" s="61"/>
      <c r="AF305" s="61">
        <v>0</v>
      </c>
      <c r="AG305" s="61"/>
      <c r="AH305" s="61"/>
      <c r="AI305" s="61"/>
      <c r="AJ305" s="61"/>
      <c r="AK305" s="61"/>
      <c r="AL305" s="291">
        <v>21</v>
      </c>
      <c r="AM305" s="201">
        <v>19</v>
      </c>
      <c r="AN305" s="201">
        <v>12</v>
      </c>
      <c r="AO305" s="61"/>
      <c r="AP305" s="61"/>
      <c r="AQ305" s="61"/>
      <c r="AR305" s="61"/>
      <c r="AS305" s="101" t="s">
        <v>177</v>
      </c>
      <c r="AT305" s="206" t="str">
        <f t="shared" si="4"/>
        <v>44560-304</v>
      </c>
    </row>
    <row r="306" spans="1:46" x14ac:dyDescent="0.35">
      <c r="A306" s="204">
        <v>305</v>
      </c>
      <c r="B306" s="14" t="s">
        <v>83</v>
      </c>
      <c r="C306" s="1" t="s">
        <v>160</v>
      </c>
      <c r="D306" s="1" t="s">
        <v>161</v>
      </c>
      <c r="E306" s="12">
        <v>44568</v>
      </c>
      <c r="F306" s="201">
        <v>2.0595521809999999</v>
      </c>
      <c r="G306" s="201">
        <v>1.75717437</v>
      </c>
      <c r="H306" s="201">
        <v>1.173546934E-2</v>
      </c>
      <c r="I306" s="201">
        <v>6.7017704730000004E-3</v>
      </c>
      <c r="J306" s="201">
        <v>0.6</v>
      </c>
      <c r="K306" s="201">
        <v>0.1</v>
      </c>
      <c r="L306" s="201"/>
      <c r="M306" s="201">
        <v>5.73939033</v>
      </c>
      <c r="N306" s="201">
        <v>0.1</v>
      </c>
      <c r="O306" s="201">
        <v>1.705151358</v>
      </c>
      <c r="P306" s="201">
        <v>1203.9402230000001</v>
      </c>
      <c r="Q306" s="201">
        <v>1263.817534</v>
      </c>
      <c r="R306" s="201"/>
      <c r="S306" s="201"/>
      <c r="T306" s="201">
        <v>2516.8332300000002</v>
      </c>
      <c r="U306" s="201">
        <v>494.00026750000001</v>
      </c>
      <c r="V306" s="201"/>
      <c r="W306" s="201"/>
      <c r="X306" s="201"/>
      <c r="Y306" s="201"/>
      <c r="Z306" s="201"/>
      <c r="AA306" s="61"/>
      <c r="AB306" s="201"/>
      <c r="AC306" s="61"/>
      <c r="AD306" s="201">
        <v>15</v>
      </c>
      <c r="AE306" s="61"/>
      <c r="AF306" s="61">
        <v>0</v>
      </c>
      <c r="AG306" s="61"/>
      <c r="AH306" s="61"/>
      <c r="AI306" s="61"/>
      <c r="AJ306" s="61"/>
      <c r="AK306" s="61"/>
      <c r="AL306" s="291">
        <v>22</v>
      </c>
      <c r="AM306" s="201">
        <v>20</v>
      </c>
      <c r="AN306" s="201">
        <v>14</v>
      </c>
      <c r="AO306" s="61"/>
      <c r="AP306" s="61"/>
      <c r="AQ306" s="61"/>
      <c r="AR306" s="61"/>
      <c r="AS306" s="101" t="s">
        <v>162</v>
      </c>
      <c r="AT306" s="206" t="str">
        <f t="shared" si="4"/>
        <v>44568-305</v>
      </c>
    </row>
    <row r="307" spans="1:46" x14ac:dyDescent="0.35">
      <c r="A307" s="204">
        <v>306</v>
      </c>
      <c r="B307" s="14" t="s">
        <v>83</v>
      </c>
      <c r="C307" s="1" t="s">
        <v>155</v>
      </c>
      <c r="D307" s="1" t="s">
        <v>161</v>
      </c>
      <c r="E307" s="12">
        <v>44568</v>
      </c>
      <c r="F307" s="201">
        <v>1.4738373549999999</v>
      </c>
      <c r="G307" s="201">
        <v>1.4306148670000001</v>
      </c>
      <c r="H307" s="201">
        <v>0</v>
      </c>
      <c r="I307" s="201">
        <v>0</v>
      </c>
      <c r="J307" s="201">
        <v>2.979612005E-2</v>
      </c>
      <c r="K307" s="201">
        <v>0</v>
      </c>
      <c r="L307" s="201"/>
      <c r="M307" s="201">
        <v>16.334027450000001</v>
      </c>
      <c r="N307" s="201">
        <v>1.5490919780000001</v>
      </c>
      <c r="O307" s="201">
        <v>0.56055689710000001</v>
      </c>
      <c r="P307" s="201">
        <v>1035.234201</v>
      </c>
      <c r="Q307" s="201">
        <v>1009.29362</v>
      </c>
      <c r="R307" s="201"/>
      <c r="S307" s="201"/>
      <c r="T307" s="201">
        <v>3626.1785810000001</v>
      </c>
      <c r="U307" s="201">
        <v>11.37041773</v>
      </c>
      <c r="V307" s="201"/>
      <c r="W307" s="201"/>
      <c r="X307" s="201"/>
      <c r="Y307" s="201"/>
      <c r="Z307" s="201"/>
      <c r="AA307" s="61"/>
      <c r="AB307" s="201"/>
      <c r="AC307" s="61"/>
      <c r="AD307" s="201">
        <v>23.3</v>
      </c>
      <c r="AE307" s="61"/>
      <c r="AF307" s="61">
        <v>0</v>
      </c>
      <c r="AG307" s="61"/>
      <c r="AH307" s="61"/>
      <c r="AI307" s="61"/>
      <c r="AJ307" s="61"/>
      <c r="AK307" s="61"/>
      <c r="AL307" s="291">
        <v>23</v>
      </c>
      <c r="AM307" s="201">
        <v>21</v>
      </c>
      <c r="AN307" s="201">
        <v>17</v>
      </c>
      <c r="AO307" s="61"/>
      <c r="AP307" s="61"/>
      <c r="AQ307" s="61"/>
      <c r="AR307" s="61"/>
      <c r="AS307" s="101" t="s">
        <v>163</v>
      </c>
      <c r="AT307" s="206" t="str">
        <f t="shared" si="4"/>
        <v>44568-306</v>
      </c>
    </row>
    <row r="308" spans="1:46" x14ac:dyDescent="0.35">
      <c r="A308" s="204">
        <v>307</v>
      </c>
      <c r="B308" s="14" t="s">
        <v>83</v>
      </c>
      <c r="C308" s="1" t="s">
        <v>160</v>
      </c>
      <c r="D308" s="1" t="s">
        <v>161</v>
      </c>
      <c r="E308" s="12">
        <v>44568</v>
      </c>
      <c r="F308" s="201">
        <v>1.8915740009999999</v>
      </c>
      <c r="G308" s="201">
        <v>1.8367819860000001</v>
      </c>
      <c r="H308" s="201">
        <v>0</v>
      </c>
      <c r="I308" s="201">
        <v>0</v>
      </c>
      <c r="J308" s="201">
        <v>0</v>
      </c>
      <c r="K308" s="201">
        <v>9.7907102869999995E-3</v>
      </c>
      <c r="L308" s="201"/>
      <c r="M308" s="201">
        <v>5.7899260159999999</v>
      </c>
      <c r="N308" s="201">
        <v>0</v>
      </c>
      <c r="O308" s="201">
        <v>1.380138297</v>
      </c>
      <c r="P308" s="201">
        <v>1190.2165010000001</v>
      </c>
      <c r="Q308" s="201">
        <v>1238.1069649999999</v>
      </c>
      <c r="R308" s="201"/>
      <c r="S308" s="201"/>
      <c r="T308" s="201">
        <v>2496.1048500000002</v>
      </c>
      <c r="U308" s="201">
        <v>488.3894449</v>
      </c>
      <c r="V308" s="201"/>
      <c r="W308" s="201"/>
      <c r="X308" s="201"/>
      <c r="Y308" s="201"/>
      <c r="Z308" s="201"/>
      <c r="AA308" s="61"/>
      <c r="AB308" s="201"/>
      <c r="AC308" s="61"/>
      <c r="AD308" s="201">
        <v>15</v>
      </c>
      <c r="AE308" s="61"/>
      <c r="AF308" s="61">
        <v>0</v>
      </c>
      <c r="AG308" s="61"/>
      <c r="AH308" s="61"/>
      <c r="AI308" s="61"/>
      <c r="AJ308" s="61"/>
      <c r="AK308" s="61"/>
      <c r="AL308" s="291">
        <v>23</v>
      </c>
      <c r="AM308" s="201">
        <v>21</v>
      </c>
      <c r="AN308" s="201">
        <v>15</v>
      </c>
      <c r="AO308" s="61"/>
      <c r="AP308" s="61"/>
      <c r="AQ308" s="61"/>
      <c r="AR308" s="61"/>
      <c r="AS308" s="101" t="s">
        <v>164</v>
      </c>
      <c r="AT308" s="206" t="str">
        <f t="shared" si="4"/>
        <v>44568-307</v>
      </c>
    </row>
    <row r="309" spans="1:46" x14ac:dyDescent="0.35">
      <c r="A309" s="204">
        <v>308</v>
      </c>
      <c r="B309" s="14" t="s">
        <v>83</v>
      </c>
      <c r="C309" s="1" t="s">
        <v>152</v>
      </c>
      <c r="D309" s="1" t="s">
        <v>161</v>
      </c>
      <c r="E309" s="12">
        <v>44569</v>
      </c>
      <c r="F309" s="201">
        <v>1.6</v>
      </c>
      <c r="G309" s="201">
        <v>0.9</v>
      </c>
      <c r="H309" s="201">
        <v>0</v>
      </c>
      <c r="I309" s="201">
        <v>0</v>
      </c>
      <c r="J309" s="201">
        <v>0</v>
      </c>
      <c r="K309" s="201">
        <v>0</v>
      </c>
      <c r="L309" s="201"/>
      <c r="M309" s="201">
        <v>4.8</v>
      </c>
      <c r="N309" s="201">
        <v>2.2999999999999998</v>
      </c>
      <c r="O309" s="201">
        <v>0</v>
      </c>
      <c r="P309" s="201">
        <v>1193</v>
      </c>
      <c r="Q309" s="201">
        <v>1294.5999999999999</v>
      </c>
      <c r="R309" s="201"/>
      <c r="S309" s="201"/>
      <c r="T309" s="201">
        <v>3048.3</v>
      </c>
      <c r="U309" s="201">
        <v>11.7</v>
      </c>
      <c r="V309" s="201"/>
      <c r="W309" s="201"/>
      <c r="X309" s="201"/>
      <c r="Y309" s="201"/>
      <c r="Z309" s="201"/>
      <c r="AA309" s="61"/>
      <c r="AB309" s="201"/>
      <c r="AC309" s="61"/>
      <c r="AD309" s="201">
        <v>5.9</v>
      </c>
      <c r="AE309" s="61"/>
      <c r="AF309" s="61">
        <v>0</v>
      </c>
      <c r="AG309" s="61"/>
      <c r="AH309" s="61"/>
      <c r="AI309" s="61"/>
      <c r="AJ309" s="61"/>
      <c r="AK309" s="61"/>
      <c r="AL309" s="291">
        <v>20</v>
      </c>
      <c r="AM309" s="201">
        <v>18</v>
      </c>
      <c r="AN309" s="201">
        <v>14</v>
      </c>
      <c r="AO309" s="61"/>
      <c r="AP309" s="61"/>
      <c r="AQ309" s="61"/>
      <c r="AR309" s="61"/>
      <c r="AS309" s="101" t="s">
        <v>178</v>
      </c>
      <c r="AT309" s="206" t="str">
        <f t="shared" si="4"/>
        <v>44569-308</v>
      </c>
    </row>
    <row r="310" spans="1:46" x14ac:dyDescent="0.35">
      <c r="A310" s="204">
        <v>309</v>
      </c>
      <c r="B310" s="14" t="s">
        <v>83</v>
      </c>
      <c r="C310" s="1" t="s">
        <v>160</v>
      </c>
      <c r="D310" s="1" t="s">
        <v>161</v>
      </c>
      <c r="E310" s="12">
        <v>44569</v>
      </c>
      <c r="F310" s="201">
        <v>1.3</v>
      </c>
      <c r="G310" s="201">
        <v>1.4</v>
      </c>
      <c r="H310" s="201">
        <v>0</v>
      </c>
      <c r="I310" s="201">
        <v>0</v>
      </c>
      <c r="J310" s="201">
        <v>0</v>
      </c>
      <c r="K310" s="201">
        <v>0</v>
      </c>
      <c r="L310" s="201"/>
      <c r="M310" s="201">
        <v>9.4</v>
      </c>
      <c r="N310" s="201">
        <v>0</v>
      </c>
      <c r="O310" s="201">
        <v>1.3</v>
      </c>
      <c r="P310" s="201">
        <v>1250.3</v>
      </c>
      <c r="Q310" s="201">
        <v>1432.7</v>
      </c>
      <c r="R310" s="201"/>
      <c r="S310" s="201"/>
      <c r="T310" s="201">
        <v>2364.3000000000002</v>
      </c>
      <c r="U310" s="201">
        <v>468.8</v>
      </c>
      <c r="V310" s="201"/>
      <c r="W310" s="201"/>
      <c r="X310" s="201"/>
      <c r="Y310" s="201"/>
      <c r="Z310" s="201"/>
      <c r="AA310" s="61"/>
      <c r="AB310" s="201"/>
      <c r="AC310" s="61"/>
      <c r="AD310" s="201">
        <v>15.1</v>
      </c>
      <c r="AE310" s="61"/>
      <c r="AF310" s="61">
        <v>0</v>
      </c>
      <c r="AG310" s="61"/>
      <c r="AH310" s="61"/>
      <c r="AI310" s="61"/>
      <c r="AJ310" s="61"/>
      <c r="AK310" s="61"/>
      <c r="AL310" s="291">
        <v>24</v>
      </c>
      <c r="AM310" s="201">
        <v>22</v>
      </c>
      <c r="AN310" s="201">
        <v>15</v>
      </c>
      <c r="AO310" s="61"/>
      <c r="AP310" s="61"/>
      <c r="AQ310" s="61"/>
      <c r="AR310" s="61"/>
      <c r="AS310" s="101" t="s">
        <v>179</v>
      </c>
      <c r="AT310" s="206" t="str">
        <f t="shared" si="4"/>
        <v>44569-309</v>
      </c>
    </row>
    <row r="311" spans="1:46" x14ac:dyDescent="0.35">
      <c r="A311" s="204">
        <v>310</v>
      </c>
      <c r="B311" s="14" t="s">
        <v>83</v>
      </c>
      <c r="C311" s="1" t="s">
        <v>152</v>
      </c>
      <c r="D311" s="1" t="s">
        <v>161</v>
      </c>
      <c r="E311" s="12">
        <v>44569</v>
      </c>
      <c r="F311" s="201">
        <v>1.6</v>
      </c>
      <c r="G311" s="201">
        <v>0.9</v>
      </c>
      <c r="H311" s="201">
        <v>0</v>
      </c>
      <c r="I311" s="201">
        <v>0</v>
      </c>
      <c r="J311" s="201">
        <v>0</v>
      </c>
      <c r="K311" s="201">
        <v>0</v>
      </c>
      <c r="L311" s="201"/>
      <c r="M311" s="201">
        <v>5</v>
      </c>
      <c r="N311" s="201">
        <v>2.4</v>
      </c>
      <c r="O311" s="201">
        <v>0</v>
      </c>
      <c r="P311" s="201">
        <v>1205.9000000000001</v>
      </c>
      <c r="Q311" s="201">
        <v>1301.9000000000001</v>
      </c>
      <c r="R311" s="201"/>
      <c r="S311" s="201"/>
      <c r="T311" s="201">
        <v>3082.4</v>
      </c>
      <c r="U311" s="201">
        <v>12.1</v>
      </c>
      <c r="V311" s="201"/>
      <c r="W311" s="201"/>
      <c r="X311" s="201"/>
      <c r="Y311" s="201"/>
      <c r="Z311" s="201"/>
      <c r="AA311" s="61"/>
      <c r="AB311" s="201"/>
      <c r="AC311" s="61"/>
      <c r="AD311" s="201">
        <v>5.9</v>
      </c>
      <c r="AE311" s="61"/>
      <c r="AF311" s="61">
        <v>0</v>
      </c>
      <c r="AG311" s="61"/>
      <c r="AH311" s="61"/>
      <c r="AI311" s="61"/>
      <c r="AJ311" s="61"/>
      <c r="AK311" s="61"/>
      <c r="AL311" s="291">
        <v>20</v>
      </c>
      <c r="AM311" s="201">
        <v>19</v>
      </c>
      <c r="AN311" s="201">
        <v>14</v>
      </c>
      <c r="AO311" s="61"/>
      <c r="AP311" s="61"/>
      <c r="AQ311" s="61"/>
      <c r="AR311" s="61"/>
      <c r="AS311" s="101" t="s">
        <v>180</v>
      </c>
      <c r="AT311" s="206" t="str">
        <f t="shared" si="4"/>
        <v>44569-310</v>
      </c>
    </row>
    <row r="312" spans="1:46" x14ac:dyDescent="0.35">
      <c r="A312" s="204">
        <v>311</v>
      </c>
      <c r="B312" s="14" t="s">
        <v>73</v>
      </c>
      <c r="C312" s="1" t="s">
        <v>149</v>
      </c>
      <c r="D312" s="1" t="s">
        <v>150</v>
      </c>
      <c r="E312" s="12">
        <v>44570</v>
      </c>
      <c r="F312" s="201">
        <v>1</v>
      </c>
      <c r="G312" s="201">
        <v>1</v>
      </c>
      <c r="H312" s="201">
        <v>0</v>
      </c>
      <c r="I312" s="201">
        <v>0</v>
      </c>
      <c r="J312" s="201">
        <v>0</v>
      </c>
      <c r="K312" s="201">
        <v>0</v>
      </c>
      <c r="L312" s="201">
        <v>0</v>
      </c>
      <c r="M312" s="201">
        <v>6</v>
      </c>
      <c r="N312" s="201">
        <v>3</v>
      </c>
      <c r="O312" s="201">
        <v>0</v>
      </c>
      <c r="P312" s="201">
        <v>1482</v>
      </c>
      <c r="Q312" s="201">
        <v>1001</v>
      </c>
      <c r="R312" s="201">
        <v>1</v>
      </c>
      <c r="S312" s="201">
        <v>0</v>
      </c>
      <c r="T312" s="201">
        <v>3339</v>
      </c>
      <c r="U312" s="201">
        <v>13</v>
      </c>
      <c r="V312" s="201">
        <v>0</v>
      </c>
      <c r="W312" s="201">
        <v>0</v>
      </c>
      <c r="X312" s="201">
        <v>0</v>
      </c>
      <c r="Y312" s="201">
        <v>0</v>
      </c>
      <c r="Z312" s="201">
        <v>0</v>
      </c>
      <c r="AA312" s="61"/>
      <c r="AB312" s="201">
        <v>0</v>
      </c>
      <c r="AC312" s="61"/>
      <c r="AD312" s="201">
        <v>17.47</v>
      </c>
      <c r="AE312" s="61"/>
      <c r="AF312" s="61"/>
      <c r="AG312" s="61"/>
      <c r="AH312" s="61"/>
      <c r="AI312" s="61"/>
      <c r="AJ312" s="61"/>
      <c r="AK312" s="61"/>
      <c r="AL312" s="291">
        <v>18</v>
      </c>
      <c r="AM312" s="201">
        <v>15</v>
      </c>
      <c r="AN312" s="201">
        <v>13</v>
      </c>
      <c r="AO312" s="61"/>
      <c r="AP312" s="61"/>
      <c r="AQ312" s="61"/>
      <c r="AR312" s="61"/>
      <c r="AS312" s="101" t="s">
        <v>242</v>
      </c>
      <c r="AT312" s="206" t="str">
        <f t="shared" si="4"/>
        <v>44570-311</v>
      </c>
    </row>
    <row r="313" spans="1:46" x14ac:dyDescent="0.35">
      <c r="A313" s="204">
        <v>312</v>
      </c>
      <c r="B313" s="14" t="s">
        <v>83</v>
      </c>
      <c r="C313" s="1" t="s">
        <v>160</v>
      </c>
      <c r="D313" s="1" t="s">
        <v>161</v>
      </c>
      <c r="E313" s="12">
        <v>44570</v>
      </c>
      <c r="F313" s="201">
        <v>1.3</v>
      </c>
      <c r="G313" s="201">
        <v>1.3</v>
      </c>
      <c r="H313" s="201">
        <v>0.2</v>
      </c>
      <c r="I313" s="201">
        <v>0</v>
      </c>
      <c r="J313" s="201">
        <v>0</v>
      </c>
      <c r="K313" s="201">
        <v>0</v>
      </c>
      <c r="L313" s="201"/>
      <c r="M313" s="201">
        <v>9.1999999999999993</v>
      </c>
      <c r="N313" s="201">
        <v>0.4</v>
      </c>
      <c r="O313" s="201">
        <v>1.8</v>
      </c>
      <c r="P313" s="201">
        <v>1244.5</v>
      </c>
      <c r="Q313" s="201">
        <v>1430.4</v>
      </c>
      <c r="R313" s="201"/>
      <c r="S313" s="201"/>
      <c r="T313" s="201">
        <v>2292.1</v>
      </c>
      <c r="U313" s="201">
        <v>474.4</v>
      </c>
      <c r="V313" s="201"/>
      <c r="W313" s="201"/>
      <c r="X313" s="201"/>
      <c r="Y313" s="201"/>
      <c r="Z313" s="201"/>
      <c r="AA313" s="61"/>
      <c r="AB313" s="201"/>
      <c r="AC313" s="61"/>
      <c r="AD313" s="201">
        <v>15</v>
      </c>
      <c r="AE313" s="61"/>
      <c r="AF313" s="61">
        <v>0</v>
      </c>
      <c r="AG313" s="61"/>
      <c r="AH313" s="61"/>
      <c r="AI313" s="61"/>
      <c r="AJ313" s="61"/>
      <c r="AK313" s="61"/>
      <c r="AL313" s="291">
        <v>24</v>
      </c>
      <c r="AM313" s="201">
        <v>22</v>
      </c>
      <c r="AN313" s="201">
        <v>15</v>
      </c>
      <c r="AO313" s="61"/>
      <c r="AP313" s="61"/>
      <c r="AQ313" s="61"/>
      <c r="AR313" s="61"/>
      <c r="AS313" s="101" t="s">
        <v>176</v>
      </c>
      <c r="AT313" s="206" t="str">
        <f t="shared" si="4"/>
        <v>44570-312</v>
      </c>
    </row>
    <row r="314" spans="1:46" x14ac:dyDescent="0.35">
      <c r="A314" s="204">
        <v>313</v>
      </c>
      <c r="B314" s="14" t="s">
        <v>83</v>
      </c>
      <c r="C314" s="1" t="s">
        <v>152</v>
      </c>
      <c r="D314" s="1" t="s">
        <v>161</v>
      </c>
      <c r="E314" s="12">
        <v>44570</v>
      </c>
      <c r="F314" s="201">
        <v>1.6</v>
      </c>
      <c r="G314" s="201">
        <v>1</v>
      </c>
      <c r="H314" s="201">
        <v>0</v>
      </c>
      <c r="I314" s="201">
        <v>0</v>
      </c>
      <c r="J314" s="201">
        <v>0</v>
      </c>
      <c r="K314" s="201">
        <v>0</v>
      </c>
      <c r="L314" s="201"/>
      <c r="M314" s="201">
        <v>4.5</v>
      </c>
      <c r="N314" s="201">
        <v>2.1</v>
      </c>
      <c r="O314" s="201">
        <v>0.1</v>
      </c>
      <c r="P314" s="201">
        <v>1186.8</v>
      </c>
      <c r="Q314" s="201">
        <v>1289.3</v>
      </c>
      <c r="R314" s="201"/>
      <c r="S314" s="201"/>
      <c r="T314" s="201">
        <v>2980.4</v>
      </c>
      <c r="U314" s="201">
        <v>11.8</v>
      </c>
      <c r="V314" s="201"/>
      <c r="W314" s="201"/>
      <c r="X314" s="201"/>
      <c r="Y314" s="201"/>
      <c r="Z314" s="201"/>
      <c r="AA314" s="61"/>
      <c r="AB314" s="201"/>
      <c r="AC314" s="61"/>
      <c r="AD314" s="201">
        <v>6</v>
      </c>
      <c r="AE314" s="61"/>
      <c r="AF314" s="61">
        <v>0</v>
      </c>
      <c r="AG314" s="61"/>
      <c r="AH314" s="61"/>
      <c r="AI314" s="61"/>
      <c r="AJ314" s="61"/>
      <c r="AK314" s="61"/>
      <c r="AL314" s="291">
        <v>20</v>
      </c>
      <c r="AM314" s="201">
        <v>18</v>
      </c>
      <c r="AN314" s="201">
        <v>17</v>
      </c>
      <c r="AO314" s="61"/>
      <c r="AP314" s="61"/>
      <c r="AQ314" s="61"/>
      <c r="AR314" s="61"/>
      <c r="AS314" s="101" t="s">
        <v>177</v>
      </c>
      <c r="AT314" s="206" t="str">
        <f t="shared" si="4"/>
        <v>44570-313</v>
      </c>
    </row>
    <row r="315" spans="1:46" x14ac:dyDescent="0.35">
      <c r="A315" s="204">
        <v>314</v>
      </c>
      <c r="B315" s="14" t="s">
        <v>83</v>
      </c>
      <c r="C315" s="1" t="s">
        <v>160</v>
      </c>
      <c r="D315" s="1" t="s">
        <v>161</v>
      </c>
      <c r="E315" s="12">
        <v>44578</v>
      </c>
      <c r="F315" s="201">
        <v>1.5</v>
      </c>
      <c r="G315" s="201">
        <v>1.5</v>
      </c>
      <c r="H315" s="201">
        <v>0</v>
      </c>
      <c r="I315" s="201">
        <v>0.1</v>
      </c>
      <c r="J315" s="201">
        <v>0</v>
      </c>
      <c r="K315" s="201">
        <v>0</v>
      </c>
      <c r="L315" s="201"/>
      <c r="M315" s="201">
        <v>9.1</v>
      </c>
      <c r="N315" s="201">
        <v>0</v>
      </c>
      <c r="O315" s="201">
        <v>1.3</v>
      </c>
      <c r="P315" s="201">
        <v>1291.4000000000001</v>
      </c>
      <c r="Q315" s="201">
        <v>1493.2</v>
      </c>
      <c r="R315" s="201"/>
      <c r="S315" s="201"/>
      <c r="T315" s="201">
        <v>2522.1999999999998</v>
      </c>
      <c r="U315" s="201">
        <v>485.7</v>
      </c>
      <c r="V315" s="201"/>
      <c r="W315" s="201"/>
      <c r="X315" s="201"/>
      <c r="Y315" s="201"/>
      <c r="Z315" s="201"/>
      <c r="AA315" s="61"/>
      <c r="AB315" s="201"/>
      <c r="AC315" s="61"/>
      <c r="AD315" s="201">
        <v>15.3</v>
      </c>
      <c r="AE315" s="61"/>
      <c r="AF315" s="61">
        <v>0</v>
      </c>
      <c r="AG315" s="61"/>
      <c r="AH315" s="61"/>
      <c r="AI315" s="61"/>
      <c r="AJ315" s="61"/>
      <c r="AK315" s="61"/>
      <c r="AL315" s="291">
        <v>24</v>
      </c>
      <c r="AM315" s="201">
        <v>22</v>
      </c>
      <c r="AN315" s="201">
        <v>15</v>
      </c>
      <c r="AO315" s="61"/>
      <c r="AP315" s="61"/>
      <c r="AQ315" s="61"/>
      <c r="AR315" s="61"/>
      <c r="AS315" s="101" t="s">
        <v>179</v>
      </c>
      <c r="AT315" s="206" t="str">
        <f t="shared" si="4"/>
        <v>44578-314</v>
      </c>
    </row>
    <row r="316" spans="1:46" x14ac:dyDescent="0.35">
      <c r="A316" s="204">
        <v>315</v>
      </c>
      <c r="B316" s="14" t="s">
        <v>83</v>
      </c>
      <c r="C316" s="1" t="s">
        <v>155</v>
      </c>
      <c r="D316" s="1" t="s">
        <v>161</v>
      </c>
      <c r="E316" s="12">
        <v>44578</v>
      </c>
      <c r="F316" s="201">
        <v>1.8</v>
      </c>
      <c r="G316" s="201">
        <v>1</v>
      </c>
      <c r="H316" s="201">
        <v>0</v>
      </c>
      <c r="I316" s="201">
        <v>0</v>
      </c>
      <c r="J316" s="201">
        <v>0.1</v>
      </c>
      <c r="K316" s="201">
        <v>0.1</v>
      </c>
      <c r="L316" s="201"/>
      <c r="M316" s="201">
        <v>8.9</v>
      </c>
      <c r="N316" s="201">
        <v>0.5</v>
      </c>
      <c r="O316" s="201">
        <v>0</v>
      </c>
      <c r="P316" s="201">
        <v>1289</v>
      </c>
      <c r="Q316" s="201">
        <v>1400.2</v>
      </c>
      <c r="R316" s="201"/>
      <c r="S316" s="201"/>
      <c r="T316" s="201">
        <v>3458.7</v>
      </c>
      <c r="U316" s="201">
        <v>16.8</v>
      </c>
      <c r="V316" s="201"/>
      <c r="W316" s="201"/>
      <c r="X316" s="201"/>
      <c r="Y316" s="201"/>
      <c r="Z316" s="201"/>
      <c r="AA316" s="61"/>
      <c r="AB316" s="201"/>
      <c r="AC316" s="61"/>
      <c r="AD316" s="201">
        <v>25.7</v>
      </c>
      <c r="AE316" s="61"/>
      <c r="AF316" s="61">
        <v>0</v>
      </c>
      <c r="AG316" s="61"/>
      <c r="AH316" s="61"/>
      <c r="AI316" s="61"/>
      <c r="AJ316" s="61"/>
      <c r="AK316" s="61"/>
      <c r="AL316" s="291">
        <v>20</v>
      </c>
      <c r="AM316" s="201">
        <v>18</v>
      </c>
      <c r="AN316" s="201">
        <v>14</v>
      </c>
      <c r="AO316" s="61"/>
      <c r="AP316" s="61"/>
      <c r="AQ316" s="61"/>
      <c r="AR316" s="61"/>
      <c r="AS316" s="101" t="s">
        <v>180</v>
      </c>
      <c r="AT316" s="206" t="str">
        <f t="shared" si="4"/>
        <v>44578-315</v>
      </c>
    </row>
    <row r="317" spans="1:46" x14ac:dyDescent="0.35">
      <c r="A317" s="204">
        <v>316</v>
      </c>
      <c r="B317" s="14" t="s">
        <v>83</v>
      </c>
      <c r="C317" s="1" t="s">
        <v>160</v>
      </c>
      <c r="D317" s="1" t="s">
        <v>161</v>
      </c>
      <c r="E317" s="12">
        <v>44579</v>
      </c>
      <c r="F317" s="201">
        <v>1.5</v>
      </c>
      <c r="G317" s="201">
        <v>1.5</v>
      </c>
      <c r="H317" s="201">
        <v>0</v>
      </c>
      <c r="I317" s="201">
        <v>0</v>
      </c>
      <c r="J317" s="201">
        <v>0</v>
      </c>
      <c r="K317" s="201">
        <v>0</v>
      </c>
      <c r="L317" s="201"/>
      <c r="M317" s="201">
        <v>9.1999999999999993</v>
      </c>
      <c r="N317" s="201">
        <v>0</v>
      </c>
      <c r="O317" s="201">
        <v>1.3</v>
      </c>
      <c r="P317" s="201">
        <v>1301.8</v>
      </c>
      <c r="Q317" s="201">
        <v>1500.7</v>
      </c>
      <c r="R317" s="201"/>
      <c r="S317" s="201"/>
      <c r="T317" s="201">
        <v>2553</v>
      </c>
      <c r="U317" s="201">
        <v>489.9</v>
      </c>
      <c r="V317" s="201"/>
      <c r="W317" s="201"/>
      <c r="X317" s="201"/>
      <c r="Y317" s="201"/>
      <c r="Z317" s="201"/>
      <c r="AA317" s="61"/>
      <c r="AB317" s="201"/>
      <c r="AC317" s="61"/>
      <c r="AD317" s="201">
        <v>15.2</v>
      </c>
      <c r="AE317" s="61"/>
      <c r="AF317" s="61">
        <v>0</v>
      </c>
      <c r="AG317" s="61"/>
      <c r="AH317" s="61"/>
      <c r="AI317" s="61"/>
      <c r="AJ317" s="61"/>
      <c r="AK317" s="61"/>
      <c r="AL317" s="291">
        <v>22</v>
      </c>
      <c r="AM317" s="201">
        <v>20</v>
      </c>
      <c r="AN317" s="201">
        <v>15</v>
      </c>
      <c r="AO317" s="61"/>
      <c r="AP317" s="61"/>
      <c r="AQ317" s="61"/>
      <c r="AR317" s="61"/>
      <c r="AS317" s="101" t="s">
        <v>185</v>
      </c>
      <c r="AT317" s="206" t="str">
        <f t="shared" si="4"/>
        <v>44579-316</v>
      </c>
    </row>
    <row r="318" spans="1:46" x14ac:dyDescent="0.35">
      <c r="A318" s="204">
        <v>317</v>
      </c>
      <c r="B318" s="14" t="s">
        <v>83</v>
      </c>
      <c r="C318" s="1" t="s">
        <v>155</v>
      </c>
      <c r="D318" s="1" t="s">
        <v>161</v>
      </c>
      <c r="E318" s="12">
        <v>44579</v>
      </c>
      <c r="F318" s="201">
        <v>1.7</v>
      </c>
      <c r="G318" s="201">
        <v>1.1000000000000001</v>
      </c>
      <c r="H318" s="201">
        <v>0</v>
      </c>
      <c r="I318" s="201">
        <v>0</v>
      </c>
      <c r="J318" s="201">
        <v>0.1</v>
      </c>
      <c r="K318" s="201">
        <v>0</v>
      </c>
      <c r="L318" s="201"/>
      <c r="M318" s="201">
        <v>8.5</v>
      </c>
      <c r="N318" s="201">
        <v>0</v>
      </c>
      <c r="O318" s="201">
        <v>0</v>
      </c>
      <c r="P318" s="201">
        <v>1242.9000000000001</v>
      </c>
      <c r="Q318" s="201">
        <v>1348.1</v>
      </c>
      <c r="R318" s="201"/>
      <c r="S318" s="201"/>
      <c r="T318" s="201">
        <v>3322</v>
      </c>
      <c r="U318" s="201">
        <v>13</v>
      </c>
      <c r="V318" s="201"/>
      <c r="W318" s="201"/>
      <c r="X318" s="201"/>
      <c r="Y318" s="201"/>
      <c r="Z318" s="201"/>
      <c r="AA318" s="61"/>
      <c r="AB318" s="201"/>
      <c r="AC318" s="61"/>
      <c r="AD318" s="201">
        <v>25.6</v>
      </c>
      <c r="AE318" s="61"/>
      <c r="AF318" s="61">
        <v>0</v>
      </c>
      <c r="AG318" s="61"/>
      <c r="AH318" s="61"/>
      <c r="AI318" s="61"/>
      <c r="AJ318" s="61"/>
      <c r="AK318" s="61"/>
      <c r="AL318" s="291">
        <v>19</v>
      </c>
      <c r="AM318" s="201">
        <v>18</v>
      </c>
      <c r="AN318" s="201">
        <v>13</v>
      </c>
      <c r="AO318" s="61"/>
      <c r="AP318" s="61"/>
      <c r="AQ318" s="61"/>
      <c r="AR318" s="61"/>
      <c r="AS318" s="101" t="s">
        <v>215</v>
      </c>
      <c r="AT318" s="206" t="str">
        <f t="shared" si="4"/>
        <v>44579-317</v>
      </c>
    </row>
    <row r="319" spans="1:46" x14ac:dyDescent="0.35">
      <c r="A319" s="204">
        <v>318</v>
      </c>
      <c r="B319" s="14" t="s">
        <v>82</v>
      </c>
      <c r="C319" s="1" t="s">
        <v>243</v>
      </c>
      <c r="D319" s="1" t="s">
        <v>147</v>
      </c>
      <c r="E319" s="12">
        <v>44585</v>
      </c>
      <c r="F319" s="201">
        <v>2</v>
      </c>
      <c r="G319" s="201">
        <v>2</v>
      </c>
      <c r="H319" s="201">
        <v>0</v>
      </c>
      <c r="I319" s="201">
        <v>0</v>
      </c>
      <c r="J319" s="201">
        <v>0</v>
      </c>
      <c r="K319" s="201">
        <v>0</v>
      </c>
      <c r="L319" s="201">
        <v>0</v>
      </c>
      <c r="M319" s="201">
        <v>14</v>
      </c>
      <c r="N319" s="201">
        <v>2</v>
      </c>
      <c r="O319" s="201">
        <v>1</v>
      </c>
      <c r="P319" s="201">
        <v>1229</v>
      </c>
      <c r="Q319" s="201">
        <v>1078</v>
      </c>
      <c r="R319" s="201">
        <v>2</v>
      </c>
      <c r="S319" s="201">
        <v>0</v>
      </c>
      <c r="T319" s="201">
        <v>3102</v>
      </c>
      <c r="U319" s="201">
        <v>13</v>
      </c>
      <c r="V319" s="201">
        <v>1</v>
      </c>
      <c r="W319" s="201">
        <v>0</v>
      </c>
      <c r="X319" s="201">
        <v>1</v>
      </c>
      <c r="Y319" s="201">
        <v>0</v>
      </c>
      <c r="Z319" s="201"/>
      <c r="AA319" s="61">
        <v>0</v>
      </c>
      <c r="AB319" s="201">
        <v>0</v>
      </c>
      <c r="AC319" s="61">
        <v>0</v>
      </c>
      <c r="AD319" s="201">
        <v>6.5</v>
      </c>
      <c r="AE319" s="61">
        <v>41</v>
      </c>
      <c r="AF319" s="61">
        <v>6.3</v>
      </c>
      <c r="AG319" s="61">
        <v>14.3</v>
      </c>
      <c r="AH319" s="61">
        <v>3.1</v>
      </c>
      <c r="AI319" s="61"/>
      <c r="AJ319" s="61"/>
      <c r="AK319" s="61">
        <v>2.2000000000000002</v>
      </c>
      <c r="AL319" s="291">
        <v>23</v>
      </c>
      <c r="AM319" s="201">
        <v>22</v>
      </c>
      <c r="AN319" s="201">
        <v>13</v>
      </c>
      <c r="AO319" s="61">
        <v>0</v>
      </c>
      <c r="AP319" s="61">
        <v>13.1</v>
      </c>
      <c r="AQ319" s="61"/>
      <c r="AR319" s="61">
        <v>17</v>
      </c>
      <c r="AS319" s="101" t="s">
        <v>148</v>
      </c>
      <c r="AT319" s="206" t="str">
        <f t="shared" si="4"/>
        <v>44585-318</v>
      </c>
    </row>
    <row r="320" spans="1:46" x14ac:dyDescent="0.35">
      <c r="A320" s="204">
        <v>319</v>
      </c>
      <c r="B320" s="14" t="s">
        <v>82</v>
      </c>
      <c r="C320" s="1" t="s">
        <v>243</v>
      </c>
      <c r="D320" s="1" t="s">
        <v>147</v>
      </c>
      <c r="E320" s="12">
        <v>44592</v>
      </c>
      <c r="F320" s="201">
        <v>1</v>
      </c>
      <c r="G320" s="201">
        <v>2</v>
      </c>
      <c r="H320" s="201">
        <v>0</v>
      </c>
      <c r="I320" s="201">
        <v>0</v>
      </c>
      <c r="J320" s="201">
        <v>0</v>
      </c>
      <c r="K320" s="201">
        <v>0</v>
      </c>
      <c r="L320" s="201">
        <v>0</v>
      </c>
      <c r="M320" s="201">
        <v>16</v>
      </c>
      <c r="N320" s="201">
        <v>2</v>
      </c>
      <c r="O320" s="201">
        <v>1</v>
      </c>
      <c r="P320" s="201">
        <v>1389</v>
      </c>
      <c r="Q320" s="201">
        <v>1087</v>
      </c>
      <c r="R320" s="201">
        <v>1</v>
      </c>
      <c r="S320" s="201">
        <v>0</v>
      </c>
      <c r="T320" s="201">
        <v>3213</v>
      </c>
      <c r="U320" s="201">
        <v>13</v>
      </c>
      <c r="V320" s="201">
        <v>1</v>
      </c>
      <c r="W320" s="201">
        <v>0</v>
      </c>
      <c r="X320" s="201">
        <v>1</v>
      </c>
      <c r="Y320" s="201">
        <v>2</v>
      </c>
      <c r="Z320" s="201"/>
      <c r="AA320" s="61">
        <v>0</v>
      </c>
      <c r="AB320" s="201">
        <v>0</v>
      </c>
      <c r="AC320" s="61">
        <v>0</v>
      </c>
      <c r="AD320" s="201">
        <v>6.5</v>
      </c>
      <c r="AE320" s="61">
        <v>42</v>
      </c>
      <c r="AF320" s="61">
        <v>5.9</v>
      </c>
      <c r="AG320" s="61">
        <v>13.7</v>
      </c>
      <c r="AH320" s="61">
        <v>3.4</v>
      </c>
      <c r="AI320" s="61"/>
      <c r="AJ320" s="61"/>
      <c r="AK320" s="61">
        <v>2.4</v>
      </c>
      <c r="AL320" s="291">
        <v>24</v>
      </c>
      <c r="AM320" s="201">
        <v>23</v>
      </c>
      <c r="AN320" s="201">
        <v>13</v>
      </c>
      <c r="AO320" s="61">
        <v>0</v>
      </c>
      <c r="AP320" s="61">
        <v>14</v>
      </c>
      <c r="AQ320" s="61"/>
      <c r="AR320" s="61">
        <v>16.2</v>
      </c>
      <c r="AS320" s="101" t="s">
        <v>148</v>
      </c>
      <c r="AT320" s="206" t="str">
        <f t="shared" si="4"/>
        <v>44592-319</v>
      </c>
    </row>
    <row r="321" spans="1:46" x14ac:dyDescent="0.35">
      <c r="A321" s="204">
        <v>320</v>
      </c>
      <c r="B321" s="14" t="s">
        <v>82</v>
      </c>
      <c r="C321" s="1" t="s">
        <v>243</v>
      </c>
      <c r="D321" s="1" t="s">
        <v>147</v>
      </c>
      <c r="E321" s="12">
        <v>44592</v>
      </c>
      <c r="F321" s="201">
        <v>1</v>
      </c>
      <c r="G321" s="201">
        <v>2</v>
      </c>
      <c r="H321" s="201">
        <v>0</v>
      </c>
      <c r="I321" s="201">
        <v>0</v>
      </c>
      <c r="J321" s="201">
        <v>0</v>
      </c>
      <c r="K321" s="201">
        <v>0</v>
      </c>
      <c r="L321" s="201">
        <v>0</v>
      </c>
      <c r="M321" s="201">
        <v>14</v>
      </c>
      <c r="N321" s="201">
        <v>2</v>
      </c>
      <c r="O321" s="201">
        <v>1</v>
      </c>
      <c r="P321" s="201">
        <v>1374</v>
      </c>
      <c r="Q321" s="201">
        <v>1038</v>
      </c>
      <c r="R321" s="201">
        <v>0</v>
      </c>
      <c r="S321" s="201">
        <v>0</v>
      </c>
      <c r="T321" s="201">
        <v>3327</v>
      </c>
      <c r="U321" s="201">
        <v>12</v>
      </c>
      <c r="V321" s="201">
        <v>1</v>
      </c>
      <c r="W321" s="201">
        <v>0</v>
      </c>
      <c r="X321" s="201">
        <v>1</v>
      </c>
      <c r="Y321" s="201">
        <v>1</v>
      </c>
      <c r="Z321" s="201"/>
      <c r="AA321" s="61">
        <v>0</v>
      </c>
      <c r="AB321" s="201">
        <v>0</v>
      </c>
      <c r="AC321" s="61">
        <v>0</v>
      </c>
      <c r="AD321" s="201">
        <v>6.5</v>
      </c>
      <c r="AE321" s="61">
        <v>41</v>
      </c>
      <c r="AF321" s="61">
        <v>6.2</v>
      </c>
      <c r="AG321" s="61">
        <v>14.3</v>
      </c>
      <c r="AH321" s="61">
        <v>3.1</v>
      </c>
      <c r="AI321" s="61"/>
      <c r="AJ321" s="61"/>
      <c r="AK321" s="61">
        <v>2.2999999999999998</v>
      </c>
      <c r="AL321" s="291">
        <v>24</v>
      </c>
      <c r="AM321" s="201">
        <v>23</v>
      </c>
      <c r="AN321" s="201">
        <v>13</v>
      </c>
      <c r="AO321" s="61">
        <v>0</v>
      </c>
      <c r="AP321" s="61">
        <v>13.1</v>
      </c>
      <c r="AQ321" s="61"/>
      <c r="AR321" s="61">
        <v>17</v>
      </c>
      <c r="AS321" s="101" t="s">
        <v>148</v>
      </c>
      <c r="AT321" s="206" t="str">
        <f t="shared" si="4"/>
        <v>44592-320</v>
      </c>
    </row>
    <row r="322" spans="1:46" x14ac:dyDescent="0.35">
      <c r="A322" s="204">
        <v>321</v>
      </c>
      <c r="B322" s="14" t="s">
        <v>82</v>
      </c>
      <c r="C322" s="1" t="s">
        <v>244</v>
      </c>
      <c r="D322" s="1" t="s">
        <v>147</v>
      </c>
      <c r="E322" s="12">
        <v>44592</v>
      </c>
      <c r="F322" s="201">
        <v>1</v>
      </c>
      <c r="G322" s="201">
        <v>1</v>
      </c>
      <c r="H322" s="201">
        <v>0</v>
      </c>
      <c r="I322" s="201">
        <v>0</v>
      </c>
      <c r="J322" s="201">
        <v>0</v>
      </c>
      <c r="K322" s="201">
        <v>0</v>
      </c>
      <c r="L322" s="201">
        <v>0</v>
      </c>
      <c r="M322" s="201">
        <v>6</v>
      </c>
      <c r="N322" s="201">
        <v>2</v>
      </c>
      <c r="O322" s="201">
        <v>0</v>
      </c>
      <c r="P322" s="201">
        <v>1624</v>
      </c>
      <c r="Q322" s="201">
        <v>1389</v>
      </c>
      <c r="R322" s="201">
        <v>101</v>
      </c>
      <c r="S322" s="201">
        <v>0</v>
      </c>
      <c r="T322" s="201">
        <v>1512</v>
      </c>
      <c r="U322" s="201">
        <v>333</v>
      </c>
      <c r="V322" s="201">
        <v>1</v>
      </c>
      <c r="W322" s="201">
        <v>0</v>
      </c>
      <c r="X322" s="201">
        <v>0</v>
      </c>
      <c r="Y322" s="201">
        <v>69</v>
      </c>
      <c r="Z322" s="201"/>
      <c r="AA322" s="61">
        <v>0</v>
      </c>
      <c r="AB322" s="201">
        <v>0</v>
      </c>
      <c r="AC322" s="61">
        <v>1</v>
      </c>
      <c r="AD322" s="201">
        <v>14.6</v>
      </c>
      <c r="AE322" s="61">
        <v>99</v>
      </c>
      <c r="AF322" s="61">
        <v>14.2</v>
      </c>
      <c r="AG322" s="61">
        <v>20.6</v>
      </c>
      <c r="AH322" s="61">
        <v>4.2</v>
      </c>
      <c r="AI322" s="61"/>
      <c r="AJ322" s="61"/>
      <c r="AK322" s="61">
        <v>2.4</v>
      </c>
      <c r="AL322" s="291">
        <v>18</v>
      </c>
      <c r="AM322" s="201">
        <v>16</v>
      </c>
      <c r="AN322" s="201">
        <v>13</v>
      </c>
      <c r="AO322" s="61">
        <v>0.9</v>
      </c>
      <c r="AP322" s="61">
        <v>16.7</v>
      </c>
      <c r="AQ322" s="61">
        <v>0</v>
      </c>
      <c r="AR322" s="61">
        <v>20.5</v>
      </c>
      <c r="AS322" s="101" t="s">
        <v>148</v>
      </c>
      <c r="AT322" s="206" t="str">
        <f t="shared" ref="AT322:AT385" si="5">CONCATENATE(E322,"-",A322)</f>
        <v>44592-321</v>
      </c>
    </row>
    <row r="323" spans="1:46" x14ac:dyDescent="0.35">
      <c r="A323" s="204">
        <v>322</v>
      </c>
      <c r="B323" s="14" t="s">
        <v>82</v>
      </c>
      <c r="C323" s="1" t="s">
        <v>244</v>
      </c>
      <c r="D323" s="1" t="s">
        <v>147</v>
      </c>
      <c r="E323" s="12">
        <v>44592</v>
      </c>
      <c r="F323" s="201">
        <v>1</v>
      </c>
      <c r="G323" s="201">
        <v>1</v>
      </c>
      <c r="H323" s="201">
        <v>0</v>
      </c>
      <c r="I323" s="201">
        <v>0</v>
      </c>
      <c r="J323" s="201">
        <v>0</v>
      </c>
      <c r="K323" s="201">
        <v>0</v>
      </c>
      <c r="L323" s="201">
        <v>0</v>
      </c>
      <c r="M323" s="201">
        <v>5</v>
      </c>
      <c r="N323" s="201">
        <v>2</v>
      </c>
      <c r="O323" s="201">
        <v>0</v>
      </c>
      <c r="P323" s="201">
        <v>1492</v>
      </c>
      <c r="Q323" s="201">
        <v>1397</v>
      </c>
      <c r="R323" s="201">
        <v>95</v>
      </c>
      <c r="S323" s="201">
        <v>0</v>
      </c>
      <c r="T323" s="201">
        <v>1415</v>
      </c>
      <c r="U323" s="201">
        <v>310</v>
      </c>
      <c r="V323" s="201">
        <v>1</v>
      </c>
      <c r="W323" s="201">
        <v>0</v>
      </c>
      <c r="X323" s="201">
        <v>0</v>
      </c>
      <c r="Y323" s="201">
        <v>65</v>
      </c>
      <c r="Z323" s="201"/>
      <c r="AA323" s="61">
        <v>0</v>
      </c>
      <c r="AB323" s="201">
        <v>0</v>
      </c>
      <c r="AC323" s="61">
        <v>1</v>
      </c>
      <c r="AD323" s="201">
        <v>14.6</v>
      </c>
      <c r="AE323" s="61">
        <v>98</v>
      </c>
      <c r="AF323" s="61">
        <v>14.2</v>
      </c>
      <c r="AG323" s="61">
        <v>20.6</v>
      </c>
      <c r="AH323" s="61">
        <v>4.2</v>
      </c>
      <c r="AI323" s="61"/>
      <c r="AJ323" s="61"/>
      <c r="AK323" s="61">
        <v>2.4</v>
      </c>
      <c r="AL323" s="291">
        <v>20</v>
      </c>
      <c r="AM323" s="201">
        <v>17</v>
      </c>
      <c r="AN323" s="201">
        <v>13</v>
      </c>
      <c r="AO323" s="61">
        <v>0.9</v>
      </c>
      <c r="AP323" s="61">
        <v>16.600000000000001</v>
      </c>
      <c r="AQ323" s="61">
        <v>0</v>
      </c>
      <c r="AR323" s="61">
        <v>20.5</v>
      </c>
      <c r="AS323" s="101" t="s">
        <v>148</v>
      </c>
      <c r="AT323" s="206" t="str">
        <f t="shared" si="5"/>
        <v>44592-322</v>
      </c>
    </row>
    <row r="324" spans="1:46" x14ac:dyDescent="0.35">
      <c r="A324" s="204">
        <v>323</v>
      </c>
      <c r="B324" s="14" t="s">
        <v>82</v>
      </c>
      <c r="C324" s="1" t="s">
        <v>243</v>
      </c>
      <c r="D324" s="1" t="s">
        <v>147</v>
      </c>
      <c r="E324" s="12">
        <v>44599</v>
      </c>
      <c r="F324" s="201">
        <v>1</v>
      </c>
      <c r="G324" s="201">
        <v>2</v>
      </c>
      <c r="H324" s="201">
        <v>0</v>
      </c>
      <c r="I324" s="201">
        <v>0</v>
      </c>
      <c r="J324" s="201">
        <v>0</v>
      </c>
      <c r="K324" s="201">
        <v>0</v>
      </c>
      <c r="L324" s="201">
        <v>0</v>
      </c>
      <c r="M324" s="201">
        <v>15</v>
      </c>
      <c r="N324" s="201">
        <v>2</v>
      </c>
      <c r="O324" s="201">
        <v>1</v>
      </c>
      <c r="P324" s="201">
        <v>1359</v>
      </c>
      <c r="Q324" s="201">
        <v>1061</v>
      </c>
      <c r="R324" s="201">
        <v>1</v>
      </c>
      <c r="S324" s="201">
        <v>1</v>
      </c>
      <c r="T324" s="201">
        <v>3401</v>
      </c>
      <c r="U324" s="201">
        <v>14</v>
      </c>
      <c r="V324" s="201">
        <v>0</v>
      </c>
      <c r="W324" s="201">
        <v>0</v>
      </c>
      <c r="X324" s="201">
        <v>1</v>
      </c>
      <c r="Y324" s="201">
        <v>0</v>
      </c>
      <c r="Z324" s="201"/>
      <c r="AA324" s="61">
        <v>0</v>
      </c>
      <c r="AB324" s="201">
        <v>0</v>
      </c>
      <c r="AC324" s="61">
        <v>0</v>
      </c>
      <c r="AD324" s="201">
        <v>6.5</v>
      </c>
      <c r="AE324" s="61">
        <v>41</v>
      </c>
      <c r="AF324" s="61">
        <v>6.1</v>
      </c>
      <c r="AG324" s="61">
        <v>14.5</v>
      </c>
      <c r="AH324" s="61">
        <v>3.1</v>
      </c>
      <c r="AI324" s="61"/>
      <c r="AJ324" s="61"/>
      <c r="AK324" s="61">
        <v>2.5</v>
      </c>
      <c r="AL324" s="291">
        <v>23</v>
      </c>
      <c r="AM324" s="201">
        <v>22</v>
      </c>
      <c r="AN324" s="201">
        <v>13</v>
      </c>
      <c r="AO324" s="61">
        <v>0</v>
      </c>
      <c r="AP324" s="61">
        <v>13.6</v>
      </c>
      <c r="AQ324" s="61"/>
      <c r="AR324" s="61">
        <v>17</v>
      </c>
      <c r="AS324" s="101" t="s">
        <v>148</v>
      </c>
      <c r="AT324" s="206" t="str">
        <f t="shared" si="5"/>
        <v>44599-323</v>
      </c>
    </row>
    <row r="325" spans="1:46" x14ac:dyDescent="0.35">
      <c r="A325" s="204">
        <v>324</v>
      </c>
      <c r="B325" s="14" t="s">
        <v>82</v>
      </c>
      <c r="C325" s="1" t="s">
        <v>244</v>
      </c>
      <c r="D325" s="1" t="s">
        <v>147</v>
      </c>
      <c r="E325" s="12">
        <v>44599</v>
      </c>
      <c r="F325" s="201">
        <v>1</v>
      </c>
      <c r="G325" s="201">
        <v>1</v>
      </c>
      <c r="H325" s="201">
        <v>0</v>
      </c>
      <c r="I325" s="201">
        <v>0</v>
      </c>
      <c r="J325" s="201">
        <v>0</v>
      </c>
      <c r="K325" s="201">
        <v>0</v>
      </c>
      <c r="L325" s="201">
        <v>0</v>
      </c>
      <c r="M325" s="201">
        <v>6</v>
      </c>
      <c r="N325" s="201">
        <v>2</v>
      </c>
      <c r="O325" s="201">
        <v>0</v>
      </c>
      <c r="P325" s="201">
        <v>1493</v>
      </c>
      <c r="Q325" s="201">
        <v>1349</v>
      </c>
      <c r="R325" s="201">
        <v>102</v>
      </c>
      <c r="S325" s="201">
        <v>0</v>
      </c>
      <c r="T325" s="201">
        <v>1460</v>
      </c>
      <c r="U325" s="201">
        <v>318</v>
      </c>
      <c r="V325" s="201">
        <v>0</v>
      </c>
      <c r="W325" s="201">
        <v>0</v>
      </c>
      <c r="X325" s="201">
        <v>0</v>
      </c>
      <c r="Y325" s="201">
        <v>64</v>
      </c>
      <c r="Z325" s="201"/>
      <c r="AA325" s="61">
        <v>0</v>
      </c>
      <c r="AB325" s="201">
        <v>0</v>
      </c>
      <c r="AC325" s="61">
        <v>0</v>
      </c>
      <c r="AD325" s="201">
        <v>14.6</v>
      </c>
      <c r="AE325" s="61">
        <v>99</v>
      </c>
      <c r="AF325" s="61">
        <v>14.1</v>
      </c>
      <c r="AG325" s="61">
        <v>20.8</v>
      </c>
      <c r="AH325" s="61">
        <v>4.3</v>
      </c>
      <c r="AI325" s="61"/>
      <c r="AJ325" s="61"/>
      <c r="AK325" s="61">
        <v>2.6</v>
      </c>
      <c r="AL325" s="291">
        <v>21</v>
      </c>
      <c r="AM325" s="201">
        <v>19</v>
      </c>
      <c r="AN325" s="201">
        <v>12</v>
      </c>
      <c r="AO325" s="61">
        <v>0.9</v>
      </c>
      <c r="AP325" s="61">
        <v>17.2</v>
      </c>
      <c r="AQ325" s="61">
        <v>0</v>
      </c>
      <c r="AR325" s="61">
        <v>20.5</v>
      </c>
      <c r="AS325" s="101" t="s">
        <v>148</v>
      </c>
      <c r="AT325" s="206" t="str">
        <f t="shared" si="5"/>
        <v>44599-324</v>
      </c>
    </row>
    <row r="326" spans="1:46" x14ac:dyDescent="0.35">
      <c r="A326" s="204">
        <v>325</v>
      </c>
      <c r="B326" s="14" t="s">
        <v>82</v>
      </c>
      <c r="C326" s="1" t="s">
        <v>244</v>
      </c>
      <c r="D326" s="1" t="s">
        <v>147</v>
      </c>
      <c r="E326" s="12">
        <v>44599</v>
      </c>
      <c r="F326" s="201">
        <v>2</v>
      </c>
      <c r="G326" s="201">
        <v>1</v>
      </c>
      <c r="H326" s="201">
        <v>0</v>
      </c>
      <c r="I326" s="201">
        <v>0</v>
      </c>
      <c r="J326" s="201">
        <v>0</v>
      </c>
      <c r="K326" s="201">
        <v>0</v>
      </c>
      <c r="L326" s="201">
        <v>0</v>
      </c>
      <c r="M326" s="201">
        <v>7</v>
      </c>
      <c r="N326" s="201">
        <v>3</v>
      </c>
      <c r="O326" s="201">
        <v>0</v>
      </c>
      <c r="P326" s="201">
        <v>1565</v>
      </c>
      <c r="Q326" s="201">
        <v>1379</v>
      </c>
      <c r="R326" s="201">
        <v>101</v>
      </c>
      <c r="S326" s="201">
        <v>0</v>
      </c>
      <c r="T326" s="201">
        <v>1467</v>
      </c>
      <c r="U326" s="201">
        <v>321</v>
      </c>
      <c r="V326" s="201">
        <v>1</v>
      </c>
      <c r="W326" s="201">
        <v>0</v>
      </c>
      <c r="X326" s="201">
        <v>1</v>
      </c>
      <c r="Y326" s="201">
        <v>66</v>
      </c>
      <c r="Z326" s="201"/>
      <c r="AA326" s="61">
        <v>0</v>
      </c>
      <c r="AB326" s="201">
        <v>0</v>
      </c>
      <c r="AC326" s="61">
        <v>0</v>
      </c>
      <c r="AD326" s="201">
        <v>14.6</v>
      </c>
      <c r="AE326" s="61">
        <v>99</v>
      </c>
      <c r="AF326" s="61">
        <v>14.1</v>
      </c>
      <c r="AG326" s="61">
        <v>20.8</v>
      </c>
      <c r="AH326" s="61">
        <v>4.3</v>
      </c>
      <c r="AI326" s="61"/>
      <c r="AJ326" s="61"/>
      <c r="AK326" s="61">
        <v>2.6</v>
      </c>
      <c r="AL326" s="291">
        <v>21</v>
      </c>
      <c r="AM326" s="201">
        <v>19</v>
      </c>
      <c r="AN326" s="201">
        <v>12</v>
      </c>
      <c r="AO326" s="61">
        <v>0.9</v>
      </c>
      <c r="AP326" s="61">
        <v>17.3</v>
      </c>
      <c r="AQ326" s="61">
        <v>0</v>
      </c>
      <c r="AR326" s="61">
        <v>20.6</v>
      </c>
      <c r="AS326" s="101" t="s">
        <v>148</v>
      </c>
      <c r="AT326" s="206" t="str">
        <f t="shared" si="5"/>
        <v>44599-325</v>
      </c>
    </row>
    <row r="327" spans="1:46" x14ac:dyDescent="0.35">
      <c r="A327" s="204">
        <v>326</v>
      </c>
      <c r="B327" s="14" t="s">
        <v>83</v>
      </c>
      <c r="C327" s="1" t="s">
        <v>160</v>
      </c>
      <c r="D327" s="1" t="s">
        <v>161</v>
      </c>
      <c r="E327" s="12">
        <v>44599</v>
      </c>
      <c r="F327" s="201">
        <v>1.831329118</v>
      </c>
      <c r="G327" s="201">
        <v>1.7002474279999999</v>
      </c>
      <c r="H327" s="201">
        <v>0</v>
      </c>
      <c r="I327" s="201">
        <v>0</v>
      </c>
      <c r="J327" s="201">
        <v>0</v>
      </c>
      <c r="K327" s="201">
        <v>1.2297573629999999E-2</v>
      </c>
      <c r="L327" s="201"/>
      <c r="M327" s="201">
        <v>6.5521878759999996</v>
      </c>
      <c r="N327" s="201">
        <v>0.1</v>
      </c>
      <c r="O327" s="201">
        <v>1.489528781</v>
      </c>
      <c r="P327" s="201">
        <v>1191.615955</v>
      </c>
      <c r="Q327" s="201">
        <v>1250.7242160000001</v>
      </c>
      <c r="R327" s="201"/>
      <c r="S327" s="201"/>
      <c r="T327" s="201">
        <v>2459.4012229999998</v>
      </c>
      <c r="U327" s="201">
        <v>488.9802042</v>
      </c>
      <c r="V327" s="201"/>
      <c r="W327" s="201"/>
      <c r="X327" s="201"/>
      <c r="Y327" s="201"/>
      <c r="Z327" s="201"/>
      <c r="AA327" s="61"/>
      <c r="AB327" s="201"/>
      <c r="AC327" s="61"/>
      <c r="AD327" s="201">
        <v>15</v>
      </c>
      <c r="AE327" s="61"/>
      <c r="AF327" s="61">
        <v>0</v>
      </c>
      <c r="AG327" s="61"/>
      <c r="AH327" s="61"/>
      <c r="AI327" s="61"/>
      <c r="AJ327" s="61"/>
      <c r="AK327" s="61"/>
      <c r="AL327" s="291">
        <v>23</v>
      </c>
      <c r="AM327" s="201">
        <v>21</v>
      </c>
      <c r="AN327" s="201">
        <v>15</v>
      </c>
      <c r="AO327" s="61"/>
      <c r="AP327" s="61"/>
      <c r="AQ327" s="61"/>
      <c r="AR327" s="61"/>
      <c r="AS327" s="101" t="s">
        <v>171</v>
      </c>
      <c r="AT327" s="206" t="str">
        <f t="shared" si="5"/>
        <v>44599-326</v>
      </c>
    </row>
    <row r="328" spans="1:46" x14ac:dyDescent="0.35">
      <c r="A328" s="204">
        <v>327</v>
      </c>
      <c r="B328" s="14" t="s">
        <v>83</v>
      </c>
      <c r="C328" s="1" t="s">
        <v>155</v>
      </c>
      <c r="D328" s="1" t="s">
        <v>161</v>
      </c>
      <c r="E328" s="12">
        <v>44599</v>
      </c>
      <c r="F328" s="201">
        <v>1.5029554780000001</v>
      </c>
      <c r="G328" s="201">
        <v>1.47937352</v>
      </c>
      <c r="H328" s="201">
        <v>1.5716553309999999E-2</v>
      </c>
      <c r="I328" s="201">
        <v>0.27600992190000001</v>
      </c>
      <c r="J328" s="201">
        <v>0</v>
      </c>
      <c r="K328" s="201">
        <v>7.2182683950000007E-2</v>
      </c>
      <c r="L328" s="201"/>
      <c r="M328" s="201">
        <v>16.41333886</v>
      </c>
      <c r="N328" s="201">
        <v>1.004859379</v>
      </c>
      <c r="O328" s="201">
        <v>0.35251670750000003</v>
      </c>
      <c r="P328" s="201">
        <v>1042.4703280000001</v>
      </c>
      <c r="Q328" s="201">
        <v>1022.837528</v>
      </c>
      <c r="R328" s="201"/>
      <c r="S328" s="201"/>
      <c r="T328" s="201">
        <v>3563.865937</v>
      </c>
      <c r="U328" s="201">
        <v>12.50525945</v>
      </c>
      <c r="V328" s="201"/>
      <c r="W328" s="201"/>
      <c r="X328" s="201"/>
      <c r="Y328" s="201"/>
      <c r="Z328" s="201"/>
      <c r="AA328" s="61"/>
      <c r="AB328" s="201"/>
      <c r="AC328" s="61"/>
      <c r="AD328" s="201">
        <v>23.3</v>
      </c>
      <c r="AE328" s="61"/>
      <c r="AF328" s="61">
        <v>0</v>
      </c>
      <c r="AG328" s="61"/>
      <c r="AH328" s="61"/>
      <c r="AI328" s="61"/>
      <c r="AJ328" s="61"/>
      <c r="AK328" s="61"/>
      <c r="AL328" s="291">
        <v>21</v>
      </c>
      <c r="AM328" s="201">
        <v>20</v>
      </c>
      <c r="AN328" s="201">
        <v>15</v>
      </c>
      <c r="AO328" s="61"/>
      <c r="AP328" s="61"/>
      <c r="AQ328" s="61"/>
      <c r="AR328" s="61"/>
      <c r="AS328" s="101" t="s">
        <v>237</v>
      </c>
      <c r="AT328" s="206" t="str">
        <f t="shared" si="5"/>
        <v>44599-327</v>
      </c>
    </row>
    <row r="329" spans="1:46" x14ac:dyDescent="0.35">
      <c r="A329" s="204">
        <v>328</v>
      </c>
      <c r="B329" s="14" t="s">
        <v>83</v>
      </c>
      <c r="C329" s="1" t="s">
        <v>160</v>
      </c>
      <c r="D329" s="1" t="s">
        <v>161</v>
      </c>
      <c r="E329" s="12">
        <v>44599</v>
      </c>
      <c r="F329" s="201">
        <v>1.844236507</v>
      </c>
      <c r="G329" s="201">
        <v>1.5920108079999999</v>
      </c>
      <c r="H329" s="201">
        <v>0</v>
      </c>
      <c r="I329" s="201">
        <v>0</v>
      </c>
      <c r="J329" s="201">
        <v>0</v>
      </c>
      <c r="K329" s="201">
        <v>2.5604478890000001E-2</v>
      </c>
      <c r="L329" s="201"/>
      <c r="M329" s="201">
        <v>5.6</v>
      </c>
      <c r="N329" s="201">
        <v>0.3</v>
      </c>
      <c r="O329" s="201">
        <v>1.7730486139999999</v>
      </c>
      <c r="P329" s="201">
        <v>1195.7740429999999</v>
      </c>
      <c r="Q329" s="201">
        <v>1238.8046039999999</v>
      </c>
      <c r="R329" s="201"/>
      <c r="S329" s="201"/>
      <c r="T329" s="201">
        <v>2488.5989650000001</v>
      </c>
      <c r="U329" s="201">
        <v>491.06820010000001</v>
      </c>
      <c r="V329" s="201"/>
      <c r="W329" s="201"/>
      <c r="X329" s="201"/>
      <c r="Y329" s="201"/>
      <c r="Z329" s="201"/>
      <c r="AA329" s="61"/>
      <c r="AB329" s="201"/>
      <c r="AC329" s="61"/>
      <c r="AD329" s="201">
        <v>15</v>
      </c>
      <c r="AE329" s="61"/>
      <c r="AF329" s="61">
        <v>0</v>
      </c>
      <c r="AG329" s="61"/>
      <c r="AH329" s="61"/>
      <c r="AI329" s="61"/>
      <c r="AJ329" s="61"/>
      <c r="AK329" s="61"/>
      <c r="AL329" s="291">
        <v>23</v>
      </c>
      <c r="AM329" s="201">
        <v>21</v>
      </c>
      <c r="AN329" s="201">
        <v>15</v>
      </c>
      <c r="AO329" s="61"/>
      <c r="AP329" s="61"/>
      <c r="AQ329" s="61"/>
      <c r="AR329" s="61"/>
      <c r="AS329" s="101" t="s">
        <v>191</v>
      </c>
      <c r="AT329" s="206" t="str">
        <f t="shared" si="5"/>
        <v>44599-328</v>
      </c>
    </row>
    <row r="330" spans="1:46" x14ac:dyDescent="0.35">
      <c r="A330" s="204">
        <v>329</v>
      </c>
      <c r="B330" s="14" t="s">
        <v>82</v>
      </c>
      <c r="C330" s="1" t="s">
        <v>157</v>
      </c>
      <c r="D330" s="1" t="s">
        <v>147</v>
      </c>
      <c r="E330" s="12">
        <v>44618</v>
      </c>
      <c r="F330" s="201">
        <v>0.16</v>
      </c>
      <c r="G330" s="201">
        <v>0.86</v>
      </c>
      <c r="H330" s="201">
        <v>0</v>
      </c>
      <c r="I330" s="201">
        <v>0</v>
      </c>
      <c r="J330" s="201">
        <v>0</v>
      </c>
      <c r="K330" s="201">
        <v>0</v>
      </c>
      <c r="L330" s="201">
        <v>0.17</v>
      </c>
      <c r="M330" s="201">
        <v>22.05</v>
      </c>
      <c r="N330" s="201">
        <v>0</v>
      </c>
      <c r="O330" s="201">
        <v>0.03</v>
      </c>
      <c r="P330" s="201">
        <v>0.88</v>
      </c>
      <c r="Q330" s="201">
        <v>183.8</v>
      </c>
      <c r="R330" s="201">
        <v>28.96</v>
      </c>
      <c r="S330" s="201">
        <v>0</v>
      </c>
      <c r="T330" s="201">
        <v>1.63</v>
      </c>
      <c r="U330" s="201">
        <v>0.11</v>
      </c>
      <c r="V330" s="201">
        <v>0</v>
      </c>
      <c r="W330" s="201">
        <v>0</v>
      </c>
      <c r="X330" s="201">
        <v>0</v>
      </c>
      <c r="Y330" s="201">
        <v>0</v>
      </c>
      <c r="Z330" s="201"/>
      <c r="AA330" s="61">
        <v>0.05</v>
      </c>
      <c r="AB330" s="201">
        <v>0.13</v>
      </c>
      <c r="AC330" s="61"/>
      <c r="AD330" s="201">
        <v>78.900000000000006</v>
      </c>
      <c r="AE330" s="61">
        <v>705</v>
      </c>
      <c r="AF330" s="61">
        <v>51.290320999999999</v>
      </c>
      <c r="AG330" s="61">
        <v>43</v>
      </c>
      <c r="AH330" s="61">
        <v>3.3677260000000002</v>
      </c>
      <c r="AI330" s="61"/>
      <c r="AJ330" s="61"/>
      <c r="AK330" s="61">
        <v>2.4232399999999998</v>
      </c>
      <c r="AL330" s="291"/>
      <c r="AM330" s="201"/>
      <c r="AN330" s="201"/>
      <c r="AO330" s="61">
        <v>4.8973240000000002</v>
      </c>
      <c r="AP330" s="61">
        <v>7.5396739999999998</v>
      </c>
      <c r="AQ330" s="61"/>
      <c r="AR330" s="61">
        <v>15.437372</v>
      </c>
      <c r="AS330" s="101" t="s">
        <v>148</v>
      </c>
      <c r="AT330" s="206" t="str">
        <f t="shared" si="5"/>
        <v>44618-329</v>
      </c>
    </row>
    <row r="331" spans="1:46" x14ac:dyDescent="0.35">
      <c r="A331" s="204">
        <v>330</v>
      </c>
      <c r="B331" s="14" t="s">
        <v>83</v>
      </c>
      <c r="C331" s="1" t="s">
        <v>160</v>
      </c>
      <c r="D331" s="1" t="s">
        <v>161</v>
      </c>
      <c r="E331" s="12">
        <v>44618</v>
      </c>
      <c r="F331" s="201">
        <v>1.6</v>
      </c>
      <c r="G331" s="201">
        <v>1.6</v>
      </c>
      <c r="H331" s="201">
        <v>0</v>
      </c>
      <c r="I331" s="201">
        <v>0</v>
      </c>
      <c r="J331" s="201">
        <v>0</v>
      </c>
      <c r="K331" s="201">
        <v>0</v>
      </c>
      <c r="L331" s="201"/>
      <c r="M331" s="201">
        <v>11.4</v>
      </c>
      <c r="N331" s="201">
        <v>0.4</v>
      </c>
      <c r="O331" s="201">
        <v>1.9</v>
      </c>
      <c r="P331" s="201">
        <v>1262</v>
      </c>
      <c r="Q331" s="201">
        <v>1389.3</v>
      </c>
      <c r="R331" s="201"/>
      <c r="S331" s="201"/>
      <c r="T331" s="201">
        <v>2392.1</v>
      </c>
      <c r="U331" s="201">
        <v>496.5</v>
      </c>
      <c r="V331" s="201"/>
      <c r="W331" s="201"/>
      <c r="X331" s="201"/>
      <c r="Y331" s="201"/>
      <c r="Z331" s="201"/>
      <c r="AA331" s="61"/>
      <c r="AB331" s="201"/>
      <c r="AC331" s="61"/>
      <c r="AD331" s="201">
        <v>15</v>
      </c>
      <c r="AE331" s="61"/>
      <c r="AF331" s="61">
        <v>0</v>
      </c>
      <c r="AG331" s="61"/>
      <c r="AH331" s="61"/>
      <c r="AI331" s="61"/>
      <c r="AJ331" s="61"/>
      <c r="AK331" s="61"/>
      <c r="AL331" s="291">
        <v>23</v>
      </c>
      <c r="AM331" s="201">
        <v>22</v>
      </c>
      <c r="AN331" s="201">
        <v>16</v>
      </c>
      <c r="AO331" s="61"/>
      <c r="AP331" s="61"/>
      <c r="AQ331" s="61"/>
      <c r="AR331" s="61"/>
      <c r="AS331" s="101" t="s">
        <v>173</v>
      </c>
      <c r="AT331" s="206" t="str">
        <f t="shared" si="5"/>
        <v>44618-330</v>
      </c>
    </row>
    <row r="332" spans="1:46" x14ac:dyDescent="0.35">
      <c r="A332" s="204">
        <v>331</v>
      </c>
      <c r="B332" s="14" t="s">
        <v>83</v>
      </c>
      <c r="C332" s="1" t="s">
        <v>160</v>
      </c>
      <c r="D332" s="1" t="s">
        <v>161</v>
      </c>
      <c r="E332" s="12">
        <v>44618</v>
      </c>
      <c r="F332" s="201">
        <v>1.5</v>
      </c>
      <c r="G332" s="201">
        <v>1.6</v>
      </c>
      <c r="H332" s="201">
        <v>0</v>
      </c>
      <c r="I332" s="201">
        <v>0</v>
      </c>
      <c r="J332" s="201">
        <v>0</v>
      </c>
      <c r="K332" s="201">
        <v>0</v>
      </c>
      <c r="L332" s="201"/>
      <c r="M332" s="201">
        <v>8.1</v>
      </c>
      <c r="N332" s="201">
        <v>0.1</v>
      </c>
      <c r="O332" s="201">
        <v>2.1</v>
      </c>
      <c r="P332" s="201">
        <v>1275.5999999999999</v>
      </c>
      <c r="Q332" s="201">
        <v>1396.5</v>
      </c>
      <c r="R332" s="201"/>
      <c r="S332" s="201"/>
      <c r="T332" s="201">
        <v>2402.1999999999998</v>
      </c>
      <c r="U332" s="201">
        <v>497.9</v>
      </c>
      <c r="V332" s="201"/>
      <c r="W332" s="201"/>
      <c r="X332" s="201"/>
      <c r="Y332" s="201"/>
      <c r="Z332" s="201"/>
      <c r="AA332" s="61"/>
      <c r="AB332" s="201"/>
      <c r="AC332" s="61"/>
      <c r="AD332" s="201">
        <v>15.1</v>
      </c>
      <c r="AE332" s="61"/>
      <c r="AF332" s="61">
        <v>0</v>
      </c>
      <c r="AG332" s="61"/>
      <c r="AH332" s="61"/>
      <c r="AI332" s="61"/>
      <c r="AJ332" s="61"/>
      <c r="AK332" s="61"/>
      <c r="AL332" s="291">
        <v>23</v>
      </c>
      <c r="AM332" s="201">
        <v>22</v>
      </c>
      <c r="AN332" s="201">
        <v>15</v>
      </c>
      <c r="AO332" s="61"/>
      <c r="AP332" s="61"/>
      <c r="AQ332" s="61"/>
      <c r="AR332" s="61"/>
      <c r="AS332" s="101" t="s">
        <v>174</v>
      </c>
      <c r="AT332" s="206" t="str">
        <f t="shared" si="5"/>
        <v>44618-331</v>
      </c>
    </row>
    <row r="333" spans="1:46" x14ac:dyDescent="0.35">
      <c r="A333" s="204">
        <v>332</v>
      </c>
      <c r="B333" s="14" t="s">
        <v>83</v>
      </c>
      <c r="C333" s="1" t="s">
        <v>160</v>
      </c>
      <c r="D333" s="1" t="s">
        <v>161</v>
      </c>
      <c r="E333" s="12">
        <v>44618</v>
      </c>
      <c r="F333" s="201">
        <v>0</v>
      </c>
      <c r="G333" s="201">
        <v>0</v>
      </c>
      <c r="H333" s="201">
        <v>0</v>
      </c>
      <c r="I333" s="201">
        <v>0</v>
      </c>
      <c r="J333" s="201">
        <v>0.7</v>
      </c>
      <c r="K333" s="201">
        <v>0</v>
      </c>
      <c r="L333" s="201"/>
      <c r="M333" s="201">
        <v>0</v>
      </c>
      <c r="N333" s="201">
        <v>0</v>
      </c>
      <c r="O333" s="201">
        <v>5.7</v>
      </c>
      <c r="P333" s="201">
        <v>0</v>
      </c>
      <c r="Q333" s="201">
        <v>0</v>
      </c>
      <c r="R333" s="201"/>
      <c r="S333" s="201"/>
      <c r="T333" s="201">
        <v>0</v>
      </c>
      <c r="U333" s="201">
        <v>0</v>
      </c>
      <c r="V333" s="201"/>
      <c r="W333" s="201"/>
      <c r="X333" s="201"/>
      <c r="Y333" s="201"/>
      <c r="Z333" s="201"/>
      <c r="AA333" s="61"/>
      <c r="AB333" s="201"/>
      <c r="AC333" s="61"/>
      <c r="AD333" s="201">
        <v>15</v>
      </c>
      <c r="AE333" s="61"/>
      <c r="AF333" s="61">
        <v>0</v>
      </c>
      <c r="AG333" s="61"/>
      <c r="AH333" s="61"/>
      <c r="AI333" s="61"/>
      <c r="AJ333" s="61"/>
      <c r="AK333" s="61"/>
      <c r="AL333" s="291">
        <v>23</v>
      </c>
      <c r="AM333" s="201">
        <v>22</v>
      </c>
      <c r="AN333" s="201">
        <v>16</v>
      </c>
      <c r="AO333" s="61"/>
      <c r="AP333" s="61"/>
      <c r="AQ333" s="61"/>
      <c r="AR333" s="61"/>
      <c r="AS333" s="101" t="s">
        <v>175</v>
      </c>
      <c r="AT333" s="206" t="str">
        <f t="shared" si="5"/>
        <v>44618-332</v>
      </c>
    </row>
    <row r="334" spans="1:46" x14ac:dyDescent="0.35">
      <c r="A334" s="204">
        <v>333</v>
      </c>
      <c r="B334" s="14" t="s">
        <v>83</v>
      </c>
      <c r="C334" s="1" t="s">
        <v>160</v>
      </c>
      <c r="D334" s="1" t="s">
        <v>161</v>
      </c>
      <c r="E334" s="12">
        <v>44619</v>
      </c>
      <c r="F334" s="201">
        <v>0</v>
      </c>
      <c r="G334" s="201">
        <v>0</v>
      </c>
      <c r="H334" s="201">
        <v>0</v>
      </c>
      <c r="I334" s="201">
        <v>0</v>
      </c>
      <c r="J334" s="201">
        <v>0.6</v>
      </c>
      <c r="K334" s="201">
        <v>0</v>
      </c>
      <c r="L334" s="201"/>
      <c r="M334" s="201">
        <v>0</v>
      </c>
      <c r="N334" s="201">
        <v>0</v>
      </c>
      <c r="O334" s="201">
        <v>5.5</v>
      </c>
      <c r="P334" s="201">
        <v>0</v>
      </c>
      <c r="Q334" s="201">
        <v>0</v>
      </c>
      <c r="R334" s="201"/>
      <c r="S334" s="201"/>
      <c r="T334" s="201">
        <v>0</v>
      </c>
      <c r="U334" s="201">
        <v>0</v>
      </c>
      <c r="V334" s="201"/>
      <c r="W334" s="201"/>
      <c r="X334" s="201"/>
      <c r="Y334" s="201"/>
      <c r="Z334" s="201"/>
      <c r="AA334" s="61"/>
      <c r="AB334" s="201"/>
      <c r="AC334" s="61"/>
      <c r="AD334" s="201">
        <v>15.2</v>
      </c>
      <c r="AE334" s="61"/>
      <c r="AF334" s="61">
        <v>0</v>
      </c>
      <c r="AG334" s="61"/>
      <c r="AH334" s="61"/>
      <c r="AI334" s="61"/>
      <c r="AJ334" s="61"/>
      <c r="AK334" s="61"/>
      <c r="AL334" s="291">
        <v>24</v>
      </c>
      <c r="AM334" s="201">
        <v>22</v>
      </c>
      <c r="AN334" s="201">
        <v>14</v>
      </c>
      <c r="AO334" s="61"/>
      <c r="AP334" s="61"/>
      <c r="AQ334" s="61"/>
      <c r="AR334" s="61"/>
      <c r="AS334" s="101" t="s">
        <v>185</v>
      </c>
      <c r="AT334" s="206" t="str">
        <f t="shared" si="5"/>
        <v>44619-333</v>
      </c>
    </row>
    <row r="335" spans="1:46" x14ac:dyDescent="0.35">
      <c r="A335" s="204">
        <v>334</v>
      </c>
      <c r="B335" s="14" t="s">
        <v>83</v>
      </c>
      <c r="C335" s="1" t="s">
        <v>160</v>
      </c>
      <c r="D335" s="1" t="s">
        <v>161</v>
      </c>
      <c r="E335" s="12">
        <v>44619</v>
      </c>
      <c r="F335" s="201">
        <v>1.5</v>
      </c>
      <c r="G335" s="201">
        <v>1.5</v>
      </c>
      <c r="H335" s="201">
        <v>0</v>
      </c>
      <c r="I335" s="201">
        <v>0.2</v>
      </c>
      <c r="J335" s="201">
        <v>0</v>
      </c>
      <c r="K335" s="201">
        <v>0.1</v>
      </c>
      <c r="L335" s="201"/>
      <c r="M335" s="201">
        <v>12.1</v>
      </c>
      <c r="N335" s="201">
        <v>0.1</v>
      </c>
      <c r="O335" s="201">
        <v>1.6</v>
      </c>
      <c r="P335" s="201">
        <v>1284.4000000000001</v>
      </c>
      <c r="Q335" s="201">
        <v>1429</v>
      </c>
      <c r="R335" s="201"/>
      <c r="S335" s="201"/>
      <c r="T335" s="201">
        <v>2445</v>
      </c>
      <c r="U335" s="201">
        <v>494.3</v>
      </c>
      <c r="V335" s="201"/>
      <c r="W335" s="201"/>
      <c r="X335" s="201"/>
      <c r="Y335" s="201"/>
      <c r="Z335" s="201"/>
      <c r="AA335" s="61"/>
      <c r="AB335" s="201"/>
      <c r="AC335" s="61"/>
      <c r="AD335" s="201">
        <v>15</v>
      </c>
      <c r="AE335" s="61"/>
      <c r="AF335" s="61">
        <v>0</v>
      </c>
      <c r="AG335" s="61"/>
      <c r="AH335" s="61"/>
      <c r="AI335" s="61"/>
      <c r="AJ335" s="61"/>
      <c r="AK335" s="61"/>
      <c r="AL335" s="291">
        <v>23</v>
      </c>
      <c r="AM335" s="201">
        <v>22</v>
      </c>
      <c r="AN335" s="201">
        <v>14</v>
      </c>
      <c r="AO335" s="61"/>
      <c r="AP335" s="61"/>
      <c r="AQ335" s="61"/>
      <c r="AR335" s="61"/>
      <c r="AS335" s="101" t="s">
        <v>176</v>
      </c>
      <c r="AT335" s="206" t="str">
        <f t="shared" si="5"/>
        <v>44619-334</v>
      </c>
    </row>
    <row r="336" spans="1:46" x14ac:dyDescent="0.35">
      <c r="A336" s="204">
        <v>335</v>
      </c>
      <c r="B336" s="14" t="s">
        <v>83</v>
      </c>
      <c r="C336" s="1" t="s">
        <v>160</v>
      </c>
      <c r="D336" s="1" t="s">
        <v>161</v>
      </c>
      <c r="E336" s="12">
        <v>44627</v>
      </c>
      <c r="F336" s="201">
        <v>1.90180292</v>
      </c>
      <c r="G336" s="201">
        <v>1.6782755810000001</v>
      </c>
      <c r="H336" s="201">
        <v>0.1128267423</v>
      </c>
      <c r="I336" s="201">
        <v>0.34907822379999998</v>
      </c>
      <c r="J336" s="201">
        <v>0</v>
      </c>
      <c r="K336" s="201">
        <v>1.7610263059999999E-2</v>
      </c>
      <c r="L336" s="201"/>
      <c r="M336" s="201">
        <v>4.9713576049999997</v>
      </c>
      <c r="N336" s="201">
        <v>0.62651096419999996</v>
      </c>
      <c r="O336" s="201">
        <v>1.333460935</v>
      </c>
      <c r="P336" s="201">
        <v>1187.89041</v>
      </c>
      <c r="Q336" s="201">
        <v>1203.1046249999999</v>
      </c>
      <c r="R336" s="201"/>
      <c r="S336" s="201"/>
      <c r="T336" s="201">
        <v>2430.4597979999999</v>
      </c>
      <c r="U336" s="201">
        <v>492.63405080000001</v>
      </c>
      <c r="V336" s="201"/>
      <c r="W336" s="201"/>
      <c r="X336" s="201"/>
      <c r="Y336" s="201"/>
      <c r="Z336" s="201"/>
      <c r="AA336" s="61"/>
      <c r="AB336" s="201"/>
      <c r="AC336" s="61"/>
      <c r="AD336" s="201">
        <v>15</v>
      </c>
      <c r="AE336" s="61"/>
      <c r="AF336" s="61">
        <v>0</v>
      </c>
      <c r="AG336" s="61"/>
      <c r="AH336" s="61"/>
      <c r="AI336" s="61"/>
      <c r="AJ336" s="61"/>
      <c r="AK336" s="61"/>
      <c r="AL336" s="291">
        <v>22</v>
      </c>
      <c r="AM336" s="201">
        <v>20</v>
      </c>
      <c r="AN336" s="201">
        <v>14</v>
      </c>
      <c r="AO336" s="61"/>
      <c r="AP336" s="61"/>
      <c r="AQ336" s="61"/>
      <c r="AR336" s="61"/>
      <c r="AS336" s="101" t="s">
        <v>181</v>
      </c>
      <c r="AT336" s="206" t="str">
        <f t="shared" si="5"/>
        <v>44627-335</v>
      </c>
    </row>
    <row r="337" spans="1:46" x14ac:dyDescent="0.35">
      <c r="A337" s="204">
        <v>336</v>
      </c>
      <c r="B337" s="14" t="s">
        <v>83</v>
      </c>
      <c r="C337" s="1" t="s">
        <v>152</v>
      </c>
      <c r="D337" s="1" t="s">
        <v>161</v>
      </c>
      <c r="E337" s="12">
        <v>44627</v>
      </c>
      <c r="F337" s="201">
        <v>1.232409342</v>
      </c>
      <c r="G337" s="201">
        <v>1.177520468</v>
      </c>
      <c r="H337" s="201">
        <v>3.3342411930000003E-2</v>
      </c>
      <c r="I337" s="201">
        <v>0.12514061039999999</v>
      </c>
      <c r="J337" s="201">
        <v>0.14092583489999999</v>
      </c>
      <c r="K337" s="201">
        <v>0</v>
      </c>
      <c r="L337" s="201"/>
      <c r="M337" s="201">
        <v>14.872477659999999</v>
      </c>
      <c r="N337" s="201">
        <v>1.7797369359999999</v>
      </c>
      <c r="O337" s="201">
        <v>0.1807097097</v>
      </c>
      <c r="P337" s="201">
        <v>1018.7712780000001</v>
      </c>
      <c r="Q337" s="201">
        <v>964.46895440000003</v>
      </c>
      <c r="R337" s="201"/>
      <c r="S337" s="201"/>
      <c r="T337" s="201">
        <v>3475.4124390000002</v>
      </c>
      <c r="U337" s="201">
        <v>10.93439674</v>
      </c>
      <c r="V337" s="201"/>
      <c r="W337" s="201"/>
      <c r="X337" s="201"/>
      <c r="Y337" s="201"/>
      <c r="Z337" s="201"/>
      <c r="AA337" s="61"/>
      <c r="AB337" s="201"/>
      <c r="AC337" s="61"/>
      <c r="AD337" s="201">
        <v>6</v>
      </c>
      <c r="AE337" s="61"/>
      <c r="AF337" s="61">
        <v>0</v>
      </c>
      <c r="AG337" s="61"/>
      <c r="AH337" s="61"/>
      <c r="AI337" s="61"/>
      <c r="AJ337" s="61"/>
      <c r="AK337" s="61"/>
      <c r="AL337" s="291">
        <v>24</v>
      </c>
      <c r="AM337" s="201">
        <v>23</v>
      </c>
      <c r="AN337" s="201">
        <v>16</v>
      </c>
      <c r="AO337" s="61"/>
      <c r="AP337" s="61"/>
      <c r="AQ337" s="61"/>
      <c r="AR337" s="61"/>
      <c r="AS337" s="101" t="s">
        <v>182</v>
      </c>
      <c r="AT337" s="206" t="str">
        <f t="shared" si="5"/>
        <v>44627-336</v>
      </c>
    </row>
    <row r="338" spans="1:46" x14ac:dyDescent="0.35">
      <c r="A338" s="204">
        <v>337</v>
      </c>
      <c r="B338" s="14" t="s">
        <v>83</v>
      </c>
      <c r="C338" s="1" t="s">
        <v>160</v>
      </c>
      <c r="D338" s="1" t="s">
        <v>161</v>
      </c>
      <c r="E338" s="12">
        <v>44627</v>
      </c>
      <c r="F338" s="201">
        <v>1.9135603560000001</v>
      </c>
      <c r="G338" s="201">
        <v>1.716442711</v>
      </c>
      <c r="H338" s="201">
        <v>6.3545414159999994E-2</v>
      </c>
      <c r="I338" s="201">
        <v>0.1130470118</v>
      </c>
      <c r="J338" s="201">
        <v>0</v>
      </c>
      <c r="K338" s="201">
        <v>0</v>
      </c>
      <c r="L338" s="201"/>
      <c r="M338" s="201">
        <v>5.7308216200000004</v>
      </c>
      <c r="N338" s="201">
        <v>0.35889096679999999</v>
      </c>
      <c r="O338" s="201">
        <v>1.4518326020000001</v>
      </c>
      <c r="P338" s="201">
        <v>1190.4511869999999</v>
      </c>
      <c r="Q338" s="201">
        <v>1198.4251650000001</v>
      </c>
      <c r="R338" s="201"/>
      <c r="S338" s="201"/>
      <c r="T338" s="201">
        <v>2427.211069</v>
      </c>
      <c r="U338" s="201">
        <v>492.58271200000001</v>
      </c>
      <c r="V338" s="201"/>
      <c r="W338" s="201"/>
      <c r="X338" s="201"/>
      <c r="Y338" s="201"/>
      <c r="Z338" s="201"/>
      <c r="AA338" s="61"/>
      <c r="AB338" s="201"/>
      <c r="AC338" s="61"/>
      <c r="AD338" s="201">
        <v>15</v>
      </c>
      <c r="AE338" s="61"/>
      <c r="AF338" s="61">
        <v>0</v>
      </c>
      <c r="AG338" s="61"/>
      <c r="AH338" s="61"/>
      <c r="AI338" s="61"/>
      <c r="AJ338" s="61"/>
      <c r="AK338" s="61"/>
      <c r="AL338" s="291">
        <v>22</v>
      </c>
      <c r="AM338" s="201">
        <v>21</v>
      </c>
      <c r="AN338" s="201">
        <v>15</v>
      </c>
      <c r="AO338" s="61"/>
      <c r="AP338" s="61"/>
      <c r="AQ338" s="61"/>
      <c r="AR338" s="61"/>
      <c r="AS338" s="101" t="s">
        <v>183</v>
      </c>
      <c r="AT338" s="206" t="str">
        <f t="shared" si="5"/>
        <v>44627-337</v>
      </c>
    </row>
    <row r="339" spans="1:46" x14ac:dyDescent="0.35">
      <c r="A339" s="204">
        <v>338</v>
      </c>
      <c r="B339" s="14" t="s">
        <v>83</v>
      </c>
      <c r="C339" s="1" t="s">
        <v>160</v>
      </c>
      <c r="D339" s="1" t="s">
        <v>161</v>
      </c>
      <c r="E339" s="12">
        <v>44631</v>
      </c>
      <c r="F339" s="201">
        <v>1.6</v>
      </c>
      <c r="G339" s="201">
        <v>1.6</v>
      </c>
      <c r="H339" s="201">
        <v>0.4</v>
      </c>
      <c r="I339" s="201">
        <v>0.2</v>
      </c>
      <c r="J339" s="201">
        <v>0</v>
      </c>
      <c r="K339" s="201">
        <v>0</v>
      </c>
      <c r="L339" s="201"/>
      <c r="M339" s="201">
        <v>9.1999999999999993</v>
      </c>
      <c r="N339" s="201">
        <v>0.3</v>
      </c>
      <c r="O339" s="201">
        <v>1.7</v>
      </c>
      <c r="P339" s="201">
        <v>1275.2</v>
      </c>
      <c r="Q339" s="201">
        <v>1445.5</v>
      </c>
      <c r="R339" s="201"/>
      <c r="S339" s="201"/>
      <c r="T339" s="201">
        <v>2456.6</v>
      </c>
      <c r="U339" s="201">
        <v>500</v>
      </c>
      <c r="V339" s="201"/>
      <c r="W339" s="201"/>
      <c r="X339" s="201"/>
      <c r="Y339" s="201"/>
      <c r="Z339" s="201"/>
      <c r="AA339" s="61"/>
      <c r="AB339" s="201"/>
      <c r="AC339" s="61"/>
      <c r="AD339" s="201">
        <v>14.9</v>
      </c>
      <c r="AE339" s="61"/>
      <c r="AF339" s="61">
        <v>0</v>
      </c>
      <c r="AG339" s="61"/>
      <c r="AH339" s="61"/>
      <c r="AI339" s="61"/>
      <c r="AJ339" s="61"/>
      <c r="AK339" s="61"/>
      <c r="AL339" s="291">
        <v>24</v>
      </c>
      <c r="AM339" s="201">
        <v>22</v>
      </c>
      <c r="AN339" s="201">
        <v>16</v>
      </c>
      <c r="AO339" s="61"/>
      <c r="AP339" s="61"/>
      <c r="AQ339" s="61"/>
      <c r="AR339" s="61"/>
      <c r="AS339" s="101" t="s">
        <v>185</v>
      </c>
      <c r="AT339" s="206" t="str">
        <f t="shared" si="5"/>
        <v>44631-338</v>
      </c>
    </row>
    <row r="340" spans="1:46" x14ac:dyDescent="0.35">
      <c r="A340" s="204">
        <v>339</v>
      </c>
      <c r="B340" s="14" t="s">
        <v>83</v>
      </c>
      <c r="C340" s="1" t="s">
        <v>157</v>
      </c>
      <c r="D340" s="1" t="s">
        <v>161</v>
      </c>
      <c r="E340" s="12">
        <v>44631</v>
      </c>
      <c r="F340" s="201">
        <v>0</v>
      </c>
      <c r="G340" s="201">
        <v>0.7</v>
      </c>
      <c r="H340" s="201">
        <v>0.2</v>
      </c>
      <c r="I340" s="201">
        <v>0.2</v>
      </c>
      <c r="J340" s="201">
        <v>0.2</v>
      </c>
      <c r="K340" s="201">
        <v>0</v>
      </c>
      <c r="L340" s="201"/>
      <c r="M340" s="201">
        <v>18.8</v>
      </c>
      <c r="N340" s="201">
        <v>0</v>
      </c>
      <c r="O340" s="201">
        <v>0.5</v>
      </c>
      <c r="P340" s="201">
        <v>10.9</v>
      </c>
      <c r="Q340" s="201">
        <v>270.60000000000002</v>
      </c>
      <c r="R340" s="201"/>
      <c r="S340" s="201"/>
      <c r="T340" s="201">
        <v>9.4</v>
      </c>
      <c r="U340" s="201">
        <v>2.9</v>
      </c>
      <c r="V340" s="201"/>
      <c r="W340" s="201"/>
      <c r="X340" s="201"/>
      <c r="Y340" s="201"/>
      <c r="Z340" s="201"/>
      <c r="AA340" s="61"/>
      <c r="AB340" s="201"/>
      <c r="AC340" s="61"/>
      <c r="AD340" s="201">
        <v>78.5</v>
      </c>
      <c r="AE340" s="61"/>
      <c r="AF340" s="61">
        <v>0</v>
      </c>
      <c r="AG340" s="61"/>
      <c r="AH340" s="61"/>
      <c r="AI340" s="61"/>
      <c r="AJ340" s="61"/>
      <c r="AK340" s="61"/>
      <c r="AL340" s="291">
        <v>20</v>
      </c>
      <c r="AM340" s="201">
        <v>18</v>
      </c>
      <c r="AN340" s="201">
        <v>14</v>
      </c>
      <c r="AO340" s="61"/>
      <c r="AP340" s="61"/>
      <c r="AQ340" s="61"/>
      <c r="AR340" s="61"/>
      <c r="AS340" s="101" t="s">
        <v>221</v>
      </c>
      <c r="AT340" s="206" t="str">
        <f t="shared" si="5"/>
        <v>44631-339</v>
      </c>
    </row>
    <row r="341" spans="1:46" x14ac:dyDescent="0.35">
      <c r="A341" s="204">
        <v>340</v>
      </c>
      <c r="B341" s="14" t="s">
        <v>83</v>
      </c>
      <c r="C341" s="1" t="s">
        <v>160</v>
      </c>
      <c r="D341" s="1" t="s">
        <v>161</v>
      </c>
      <c r="E341" s="12">
        <v>44631</v>
      </c>
      <c r="F341" s="201">
        <v>1.6</v>
      </c>
      <c r="G341" s="201">
        <v>1.4</v>
      </c>
      <c r="H341" s="201">
        <v>0</v>
      </c>
      <c r="I341" s="201">
        <v>0</v>
      </c>
      <c r="J341" s="201">
        <v>0</v>
      </c>
      <c r="K341" s="201">
        <v>0</v>
      </c>
      <c r="L341" s="201"/>
      <c r="M341" s="201">
        <v>9.6</v>
      </c>
      <c r="N341" s="201">
        <v>0</v>
      </c>
      <c r="O341" s="201">
        <v>1.6</v>
      </c>
      <c r="P341" s="201">
        <v>1283.0999999999999</v>
      </c>
      <c r="Q341" s="201">
        <v>1475</v>
      </c>
      <c r="R341" s="201"/>
      <c r="S341" s="201"/>
      <c r="T341" s="201">
        <v>2494.9</v>
      </c>
      <c r="U341" s="201">
        <v>509.1</v>
      </c>
      <c r="V341" s="201"/>
      <c r="W341" s="201"/>
      <c r="X341" s="201"/>
      <c r="Y341" s="201"/>
      <c r="Z341" s="201"/>
      <c r="AA341" s="61"/>
      <c r="AB341" s="201"/>
      <c r="AC341" s="61"/>
      <c r="AD341" s="201">
        <v>14.9</v>
      </c>
      <c r="AE341" s="61"/>
      <c r="AF341" s="61">
        <v>0</v>
      </c>
      <c r="AG341" s="61"/>
      <c r="AH341" s="61"/>
      <c r="AI341" s="61"/>
      <c r="AJ341" s="61"/>
      <c r="AK341" s="61"/>
      <c r="AL341" s="291">
        <v>23</v>
      </c>
      <c r="AM341" s="201">
        <v>22</v>
      </c>
      <c r="AN341" s="201">
        <v>15</v>
      </c>
      <c r="AO341" s="61"/>
      <c r="AP341" s="61"/>
      <c r="AQ341" s="61"/>
      <c r="AR341" s="61"/>
      <c r="AS341" s="101" t="s">
        <v>176</v>
      </c>
      <c r="AT341" s="206" t="str">
        <f t="shared" si="5"/>
        <v>44631-340</v>
      </c>
    </row>
    <row r="342" spans="1:46" x14ac:dyDescent="0.35">
      <c r="A342" s="204">
        <v>341</v>
      </c>
      <c r="B342" s="14" t="s">
        <v>83</v>
      </c>
      <c r="C342" s="1" t="s">
        <v>160</v>
      </c>
      <c r="D342" s="1" t="s">
        <v>161</v>
      </c>
      <c r="E342" s="12">
        <v>44632</v>
      </c>
      <c r="F342" s="201">
        <v>1.6</v>
      </c>
      <c r="G342" s="201">
        <v>1.3</v>
      </c>
      <c r="H342" s="201">
        <v>0.1</v>
      </c>
      <c r="I342" s="201">
        <v>0</v>
      </c>
      <c r="J342" s="201">
        <v>0</v>
      </c>
      <c r="K342" s="201">
        <v>0</v>
      </c>
      <c r="L342" s="201"/>
      <c r="M342" s="201">
        <v>9.6999999999999993</v>
      </c>
      <c r="N342" s="201">
        <v>0</v>
      </c>
      <c r="O342" s="201">
        <v>2.4</v>
      </c>
      <c r="P342" s="201">
        <v>1301.3</v>
      </c>
      <c r="Q342" s="201">
        <v>1461.5</v>
      </c>
      <c r="R342" s="201"/>
      <c r="S342" s="201"/>
      <c r="T342" s="201">
        <v>2474.6999999999998</v>
      </c>
      <c r="U342" s="201">
        <v>507.7</v>
      </c>
      <c r="V342" s="201"/>
      <c r="W342" s="201"/>
      <c r="X342" s="201"/>
      <c r="Y342" s="201"/>
      <c r="Z342" s="201"/>
      <c r="AA342" s="61"/>
      <c r="AB342" s="201"/>
      <c r="AC342" s="61"/>
      <c r="AD342" s="201">
        <v>14.9</v>
      </c>
      <c r="AE342" s="61"/>
      <c r="AF342" s="61">
        <v>0</v>
      </c>
      <c r="AG342" s="61"/>
      <c r="AH342" s="61"/>
      <c r="AI342" s="61"/>
      <c r="AJ342" s="61"/>
      <c r="AK342" s="61"/>
      <c r="AL342" s="291">
        <v>23</v>
      </c>
      <c r="AM342" s="201">
        <v>22</v>
      </c>
      <c r="AN342" s="201">
        <v>16</v>
      </c>
      <c r="AO342" s="61"/>
      <c r="AP342" s="61"/>
      <c r="AQ342" s="61"/>
      <c r="AR342" s="61"/>
      <c r="AS342" s="101" t="s">
        <v>173</v>
      </c>
      <c r="AT342" s="206" t="str">
        <f t="shared" si="5"/>
        <v>44632-341</v>
      </c>
    </row>
    <row r="343" spans="1:46" x14ac:dyDescent="0.35">
      <c r="A343" s="204">
        <v>342</v>
      </c>
      <c r="B343" s="14" t="s">
        <v>83</v>
      </c>
      <c r="C343" s="1" t="s">
        <v>157</v>
      </c>
      <c r="D343" s="1" t="s">
        <v>161</v>
      </c>
      <c r="E343" s="12">
        <v>44632</v>
      </c>
      <c r="F343" s="201">
        <v>0</v>
      </c>
      <c r="G343" s="201">
        <v>0.5</v>
      </c>
      <c r="H343" s="201">
        <v>0.2</v>
      </c>
      <c r="I343" s="201">
        <v>0.2</v>
      </c>
      <c r="J343" s="201">
        <v>0.1</v>
      </c>
      <c r="K343" s="201">
        <v>0</v>
      </c>
      <c r="L343" s="201"/>
      <c r="M343" s="201">
        <v>20.399999999999999</v>
      </c>
      <c r="N343" s="201">
        <v>0</v>
      </c>
      <c r="O343" s="201">
        <v>0.8</v>
      </c>
      <c r="P343" s="201">
        <v>10.9</v>
      </c>
      <c r="Q343" s="201">
        <v>268.7</v>
      </c>
      <c r="R343" s="201"/>
      <c r="S343" s="201"/>
      <c r="T343" s="201">
        <v>8.5</v>
      </c>
      <c r="U343" s="201">
        <v>2.2000000000000002</v>
      </c>
      <c r="V343" s="201"/>
      <c r="W343" s="201"/>
      <c r="X343" s="201"/>
      <c r="Y343" s="201"/>
      <c r="Z343" s="201"/>
      <c r="AA343" s="61"/>
      <c r="AB343" s="201"/>
      <c r="AC343" s="61"/>
      <c r="AD343" s="201">
        <v>78.7</v>
      </c>
      <c r="AE343" s="61"/>
      <c r="AF343" s="61">
        <v>0</v>
      </c>
      <c r="AG343" s="61"/>
      <c r="AH343" s="61"/>
      <c r="AI343" s="61"/>
      <c r="AJ343" s="61"/>
      <c r="AK343" s="61"/>
      <c r="AL343" s="291">
        <v>21</v>
      </c>
      <c r="AM343" s="201">
        <v>19</v>
      </c>
      <c r="AN343" s="201">
        <v>15</v>
      </c>
      <c r="AO343" s="61"/>
      <c r="AP343" s="61"/>
      <c r="AQ343" s="61"/>
      <c r="AR343" s="61"/>
      <c r="AS343" s="101" t="s">
        <v>174</v>
      </c>
      <c r="AT343" s="206" t="str">
        <f t="shared" si="5"/>
        <v>44632-342</v>
      </c>
    </row>
    <row r="344" spans="1:46" x14ac:dyDescent="0.35">
      <c r="A344" s="204">
        <v>343</v>
      </c>
      <c r="B344" s="14" t="s">
        <v>83</v>
      </c>
      <c r="C344" s="1" t="s">
        <v>160</v>
      </c>
      <c r="D344" s="1" t="s">
        <v>161</v>
      </c>
      <c r="E344" s="12">
        <v>44632</v>
      </c>
      <c r="F344" s="201">
        <v>1.7</v>
      </c>
      <c r="G344" s="201">
        <v>1.4</v>
      </c>
      <c r="H344" s="201">
        <v>0</v>
      </c>
      <c r="I344" s="201">
        <v>0.2</v>
      </c>
      <c r="J344" s="201">
        <v>0</v>
      </c>
      <c r="K344" s="201">
        <v>0</v>
      </c>
      <c r="L344" s="201"/>
      <c r="M344" s="201">
        <v>10.199999999999999</v>
      </c>
      <c r="N344" s="201">
        <v>0</v>
      </c>
      <c r="O344" s="201">
        <v>2.2000000000000002</v>
      </c>
      <c r="P344" s="201">
        <v>1304.3</v>
      </c>
      <c r="Q344" s="201">
        <v>1489.7</v>
      </c>
      <c r="R344" s="201"/>
      <c r="S344" s="201"/>
      <c r="T344" s="201">
        <v>2503</v>
      </c>
      <c r="U344" s="201">
        <v>510</v>
      </c>
      <c r="V344" s="201"/>
      <c r="W344" s="201"/>
      <c r="X344" s="201"/>
      <c r="Y344" s="201"/>
      <c r="Z344" s="201"/>
      <c r="AA344" s="61"/>
      <c r="AB344" s="201"/>
      <c r="AC344" s="61"/>
      <c r="AD344" s="201">
        <v>14.9</v>
      </c>
      <c r="AE344" s="61"/>
      <c r="AF344" s="61">
        <v>0</v>
      </c>
      <c r="AG344" s="61"/>
      <c r="AH344" s="61"/>
      <c r="AI344" s="61"/>
      <c r="AJ344" s="61"/>
      <c r="AK344" s="61"/>
      <c r="AL344" s="291">
        <v>23</v>
      </c>
      <c r="AM344" s="201">
        <v>22</v>
      </c>
      <c r="AN344" s="201">
        <v>16</v>
      </c>
      <c r="AO344" s="61"/>
      <c r="AP344" s="61"/>
      <c r="AQ344" s="61"/>
      <c r="AR344" s="61"/>
      <c r="AS344" s="101" t="s">
        <v>175</v>
      </c>
      <c r="AT344" s="206" t="str">
        <f t="shared" si="5"/>
        <v>44632-343</v>
      </c>
    </row>
    <row r="345" spans="1:46" x14ac:dyDescent="0.35">
      <c r="A345" s="204">
        <v>344</v>
      </c>
      <c r="B345" s="14" t="s">
        <v>83</v>
      </c>
      <c r="C345" s="1" t="s">
        <v>152</v>
      </c>
      <c r="D345" s="1" t="s">
        <v>161</v>
      </c>
      <c r="E345" s="12">
        <v>44633</v>
      </c>
      <c r="F345" s="201">
        <v>1.5</v>
      </c>
      <c r="G345" s="201">
        <v>1</v>
      </c>
      <c r="H345" s="201">
        <v>0.7</v>
      </c>
      <c r="I345" s="201">
        <v>0.1</v>
      </c>
      <c r="J345" s="201">
        <v>0.3</v>
      </c>
      <c r="K345" s="201">
        <v>0.1</v>
      </c>
      <c r="L345" s="201"/>
      <c r="M345" s="201">
        <v>9.9</v>
      </c>
      <c r="N345" s="201">
        <v>0.6</v>
      </c>
      <c r="O345" s="201">
        <v>0.2</v>
      </c>
      <c r="P345" s="201">
        <v>1051.7</v>
      </c>
      <c r="Q345" s="201">
        <v>1090.4000000000001</v>
      </c>
      <c r="R345" s="201"/>
      <c r="S345" s="201"/>
      <c r="T345" s="201">
        <v>3609.6</v>
      </c>
      <c r="U345" s="201">
        <v>13.1</v>
      </c>
      <c r="V345" s="201"/>
      <c r="W345" s="201"/>
      <c r="X345" s="201"/>
      <c r="Y345" s="201"/>
      <c r="Z345" s="201"/>
      <c r="AA345" s="61"/>
      <c r="AB345" s="201"/>
      <c r="AC345" s="61"/>
      <c r="AD345" s="201">
        <v>6</v>
      </c>
      <c r="AE345" s="61"/>
      <c r="AF345" s="61">
        <v>0</v>
      </c>
      <c r="AG345" s="61"/>
      <c r="AH345" s="61"/>
      <c r="AI345" s="61"/>
      <c r="AJ345" s="61"/>
      <c r="AK345" s="61"/>
      <c r="AL345" s="291">
        <v>23</v>
      </c>
      <c r="AM345" s="201">
        <v>22</v>
      </c>
      <c r="AN345" s="201">
        <v>15</v>
      </c>
      <c r="AO345" s="61"/>
      <c r="AP345" s="61"/>
      <c r="AQ345" s="61"/>
      <c r="AR345" s="61"/>
      <c r="AS345" s="101" t="s">
        <v>178</v>
      </c>
      <c r="AT345" s="206" t="str">
        <f t="shared" si="5"/>
        <v>44633-344</v>
      </c>
    </row>
    <row r="346" spans="1:46" x14ac:dyDescent="0.35">
      <c r="A346" s="204">
        <v>345</v>
      </c>
      <c r="B346" s="14" t="s">
        <v>83</v>
      </c>
      <c r="C346" s="1" t="s">
        <v>152</v>
      </c>
      <c r="D346" s="1" t="s">
        <v>161</v>
      </c>
      <c r="E346" s="12">
        <v>44633</v>
      </c>
      <c r="F346" s="201">
        <v>1.7</v>
      </c>
      <c r="G346" s="201">
        <v>1.1000000000000001</v>
      </c>
      <c r="H346" s="201">
        <v>0.3</v>
      </c>
      <c r="I346" s="201">
        <v>0</v>
      </c>
      <c r="J346" s="201">
        <v>0.1</v>
      </c>
      <c r="K346" s="201">
        <v>0.1</v>
      </c>
      <c r="L346" s="201"/>
      <c r="M346" s="201">
        <v>3.5</v>
      </c>
      <c r="N346" s="201">
        <v>1.3</v>
      </c>
      <c r="O346" s="201">
        <v>0</v>
      </c>
      <c r="P346" s="201">
        <v>1231.7</v>
      </c>
      <c r="Q346" s="201">
        <v>1270.7</v>
      </c>
      <c r="R346" s="201"/>
      <c r="S346" s="201"/>
      <c r="T346" s="201">
        <v>3267.5</v>
      </c>
      <c r="U346" s="201">
        <v>15.2</v>
      </c>
      <c r="V346" s="201"/>
      <c r="W346" s="201"/>
      <c r="X346" s="201"/>
      <c r="Y346" s="201"/>
      <c r="Z346" s="201"/>
      <c r="AA346" s="61"/>
      <c r="AB346" s="201"/>
      <c r="AC346" s="61"/>
      <c r="AD346" s="201">
        <v>6</v>
      </c>
      <c r="AE346" s="61"/>
      <c r="AF346" s="61">
        <v>0</v>
      </c>
      <c r="AG346" s="61"/>
      <c r="AH346" s="61"/>
      <c r="AI346" s="61"/>
      <c r="AJ346" s="61"/>
      <c r="AK346" s="61"/>
      <c r="AL346" s="291">
        <v>19</v>
      </c>
      <c r="AM346" s="201">
        <v>17</v>
      </c>
      <c r="AN346" s="201">
        <v>12</v>
      </c>
      <c r="AO346" s="61"/>
      <c r="AP346" s="61"/>
      <c r="AQ346" s="61"/>
      <c r="AR346" s="61"/>
      <c r="AS346" s="101" t="s">
        <v>179</v>
      </c>
      <c r="AT346" s="206" t="str">
        <f t="shared" si="5"/>
        <v>44633-345</v>
      </c>
    </row>
    <row r="347" spans="1:46" x14ac:dyDescent="0.35">
      <c r="A347" s="204">
        <v>346</v>
      </c>
      <c r="B347" s="14" t="s">
        <v>83</v>
      </c>
      <c r="C347" s="1" t="s">
        <v>152</v>
      </c>
      <c r="D347" s="1" t="s">
        <v>161</v>
      </c>
      <c r="E347" s="12">
        <v>44633</v>
      </c>
      <c r="F347" s="201">
        <v>1.7</v>
      </c>
      <c r="G347" s="201">
        <v>1.1000000000000001</v>
      </c>
      <c r="H347" s="201">
        <v>0.1</v>
      </c>
      <c r="I347" s="201">
        <v>0.4</v>
      </c>
      <c r="J347" s="201">
        <v>0.2</v>
      </c>
      <c r="K347" s="201">
        <v>0.1</v>
      </c>
      <c r="L347" s="201"/>
      <c r="M347" s="201">
        <v>3.2</v>
      </c>
      <c r="N347" s="201">
        <v>1.2</v>
      </c>
      <c r="O347" s="201">
        <v>0.7</v>
      </c>
      <c r="P347" s="201">
        <v>1234.5999999999999</v>
      </c>
      <c r="Q347" s="201">
        <v>1269.5</v>
      </c>
      <c r="R347" s="201"/>
      <c r="S347" s="201"/>
      <c r="T347" s="201">
        <v>3301.9</v>
      </c>
      <c r="U347" s="201">
        <v>11.8</v>
      </c>
      <c r="V347" s="201"/>
      <c r="W347" s="201"/>
      <c r="X347" s="201"/>
      <c r="Y347" s="201"/>
      <c r="Z347" s="201"/>
      <c r="AA347" s="61"/>
      <c r="AB347" s="201"/>
      <c r="AC347" s="61"/>
      <c r="AD347" s="201">
        <v>6.1</v>
      </c>
      <c r="AE347" s="61"/>
      <c r="AF347" s="61">
        <v>0</v>
      </c>
      <c r="AG347" s="61"/>
      <c r="AH347" s="61"/>
      <c r="AI347" s="61"/>
      <c r="AJ347" s="61"/>
      <c r="AK347" s="61"/>
      <c r="AL347" s="291">
        <v>21</v>
      </c>
      <c r="AM347" s="201">
        <v>19</v>
      </c>
      <c r="AN347" s="201">
        <v>13</v>
      </c>
      <c r="AO347" s="61"/>
      <c r="AP347" s="61"/>
      <c r="AQ347" s="61"/>
      <c r="AR347" s="61"/>
      <c r="AS347" s="101" t="s">
        <v>180</v>
      </c>
      <c r="AT347" s="206" t="str">
        <f t="shared" si="5"/>
        <v>44633-346</v>
      </c>
    </row>
    <row r="348" spans="1:46" x14ac:dyDescent="0.35">
      <c r="A348" s="204">
        <v>347</v>
      </c>
      <c r="B348" s="14" t="s">
        <v>83</v>
      </c>
      <c r="C348" s="1" t="s">
        <v>152</v>
      </c>
      <c r="D348" s="1" t="s">
        <v>161</v>
      </c>
      <c r="E348" s="12">
        <v>44633</v>
      </c>
      <c r="F348" s="201">
        <v>1.1000000000000001</v>
      </c>
      <c r="G348" s="201">
        <v>0.9</v>
      </c>
      <c r="H348" s="201">
        <v>0.2</v>
      </c>
      <c r="I348" s="201">
        <v>0.3</v>
      </c>
      <c r="J348" s="201">
        <v>0</v>
      </c>
      <c r="K348" s="201">
        <v>0.1</v>
      </c>
      <c r="L348" s="201"/>
      <c r="M348" s="201">
        <v>11</v>
      </c>
      <c r="N348" s="201">
        <v>0.7</v>
      </c>
      <c r="O348" s="201">
        <v>0.2</v>
      </c>
      <c r="P348" s="201">
        <v>1054.2</v>
      </c>
      <c r="Q348" s="201">
        <v>1092.5</v>
      </c>
      <c r="R348" s="201"/>
      <c r="S348" s="201"/>
      <c r="T348" s="201">
        <v>3690.6</v>
      </c>
      <c r="U348" s="201">
        <v>13.5</v>
      </c>
      <c r="V348" s="201"/>
      <c r="W348" s="201"/>
      <c r="X348" s="201"/>
      <c r="Y348" s="201"/>
      <c r="Z348" s="201"/>
      <c r="AA348" s="61"/>
      <c r="AB348" s="201"/>
      <c r="AC348" s="61"/>
      <c r="AD348" s="201">
        <v>6.1</v>
      </c>
      <c r="AE348" s="61"/>
      <c r="AF348" s="61">
        <v>0</v>
      </c>
      <c r="AG348" s="61"/>
      <c r="AH348" s="61"/>
      <c r="AI348" s="61"/>
      <c r="AJ348" s="61"/>
      <c r="AK348" s="61"/>
      <c r="AL348" s="291">
        <v>23</v>
      </c>
      <c r="AM348" s="201">
        <v>22</v>
      </c>
      <c r="AN348" s="201">
        <v>16</v>
      </c>
      <c r="AO348" s="61"/>
      <c r="AP348" s="61"/>
      <c r="AQ348" s="61"/>
      <c r="AR348" s="61"/>
      <c r="AS348" s="101" t="s">
        <v>184</v>
      </c>
      <c r="AT348" s="206" t="str">
        <f t="shared" si="5"/>
        <v>44633-347</v>
      </c>
    </row>
    <row r="349" spans="1:46" x14ac:dyDescent="0.35">
      <c r="A349" s="204">
        <v>348</v>
      </c>
      <c r="B349" s="14" t="s">
        <v>83</v>
      </c>
      <c r="C349" s="1" t="s">
        <v>152</v>
      </c>
      <c r="D349" s="1" t="s">
        <v>161</v>
      </c>
      <c r="E349" s="12">
        <v>44633</v>
      </c>
      <c r="F349" s="201">
        <v>1.2</v>
      </c>
      <c r="G349" s="201">
        <v>1</v>
      </c>
      <c r="H349" s="201">
        <v>0.1</v>
      </c>
      <c r="I349" s="201">
        <v>0</v>
      </c>
      <c r="J349" s="201">
        <v>0.1</v>
      </c>
      <c r="K349" s="201">
        <v>0.1</v>
      </c>
      <c r="L349" s="201"/>
      <c r="M349" s="201">
        <v>8.6</v>
      </c>
      <c r="N349" s="201">
        <v>0.5</v>
      </c>
      <c r="O349" s="201">
        <v>0.1</v>
      </c>
      <c r="P349" s="201">
        <v>1088.5999999999999</v>
      </c>
      <c r="Q349" s="201">
        <v>1125.3</v>
      </c>
      <c r="R349" s="201"/>
      <c r="S349" s="201"/>
      <c r="T349" s="201">
        <v>3721</v>
      </c>
      <c r="U349" s="201">
        <v>14.3</v>
      </c>
      <c r="V349" s="201"/>
      <c r="W349" s="201"/>
      <c r="X349" s="201"/>
      <c r="Y349" s="201"/>
      <c r="Z349" s="201"/>
      <c r="AA349" s="61"/>
      <c r="AB349" s="201"/>
      <c r="AC349" s="61"/>
      <c r="AD349" s="201">
        <v>6.1</v>
      </c>
      <c r="AE349" s="61"/>
      <c r="AF349" s="61">
        <v>0</v>
      </c>
      <c r="AG349" s="61"/>
      <c r="AH349" s="61"/>
      <c r="AI349" s="61"/>
      <c r="AJ349" s="61"/>
      <c r="AK349" s="61"/>
      <c r="AL349" s="291">
        <v>22</v>
      </c>
      <c r="AM349" s="201">
        <v>21</v>
      </c>
      <c r="AN349" s="201">
        <v>16</v>
      </c>
      <c r="AO349" s="61"/>
      <c r="AP349" s="61"/>
      <c r="AQ349" s="61"/>
      <c r="AR349" s="61"/>
      <c r="AS349" s="101" t="s">
        <v>177</v>
      </c>
      <c r="AT349" s="206" t="str">
        <f t="shared" si="5"/>
        <v>44633-348</v>
      </c>
    </row>
    <row r="350" spans="1:46" x14ac:dyDescent="0.35">
      <c r="A350" s="204">
        <v>349</v>
      </c>
      <c r="B350" s="14" t="s">
        <v>81</v>
      </c>
      <c r="C350" s="1" t="s">
        <v>245</v>
      </c>
      <c r="D350" s="1" t="s">
        <v>246</v>
      </c>
      <c r="E350" s="12">
        <v>44636</v>
      </c>
      <c r="F350" s="201">
        <v>0</v>
      </c>
      <c r="G350" s="201">
        <v>0</v>
      </c>
      <c r="H350" s="201">
        <v>0</v>
      </c>
      <c r="I350" s="201">
        <v>0</v>
      </c>
      <c r="J350" s="201">
        <v>0</v>
      </c>
      <c r="K350" s="201">
        <v>0</v>
      </c>
      <c r="L350" s="201">
        <v>0</v>
      </c>
      <c r="M350" s="201">
        <v>21</v>
      </c>
      <c r="N350" s="201">
        <v>0</v>
      </c>
      <c r="O350" s="201">
        <v>0</v>
      </c>
      <c r="P350" s="201">
        <v>0.83</v>
      </c>
      <c r="Q350" s="201">
        <v>350</v>
      </c>
      <c r="R350" s="201">
        <v>2.2000000000000002</v>
      </c>
      <c r="S350" s="201">
        <v>0</v>
      </c>
      <c r="T350" s="201">
        <v>3</v>
      </c>
      <c r="U350" s="201">
        <v>0.15</v>
      </c>
      <c r="V350" s="201">
        <v>0</v>
      </c>
      <c r="W350" s="201">
        <v>0</v>
      </c>
      <c r="X350" s="201">
        <v>0</v>
      </c>
      <c r="Y350" s="201">
        <v>0</v>
      </c>
      <c r="Z350" s="201"/>
      <c r="AA350" s="61">
        <v>0</v>
      </c>
      <c r="AB350" s="201">
        <v>0</v>
      </c>
      <c r="AC350" s="61">
        <v>0</v>
      </c>
      <c r="AD350" s="201">
        <v>77.22</v>
      </c>
      <c r="AE350" s="61">
        <v>696</v>
      </c>
      <c r="AF350" s="61"/>
      <c r="AG350" s="61"/>
      <c r="AH350" s="61"/>
      <c r="AI350" s="61"/>
      <c r="AJ350" s="61">
        <v>1.24</v>
      </c>
      <c r="AK350" s="61"/>
      <c r="AL350" s="291">
        <v>21</v>
      </c>
      <c r="AM350" s="201">
        <v>18</v>
      </c>
      <c r="AN350" s="201">
        <v>15</v>
      </c>
      <c r="AO350" s="61">
        <v>0</v>
      </c>
      <c r="AP350" s="61">
        <v>0</v>
      </c>
      <c r="AQ350" s="61"/>
      <c r="AR350" s="61"/>
      <c r="AS350" s="101" t="s">
        <v>247</v>
      </c>
      <c r="AT350" s="206" t="str">
        <f t="shared" si="5"/>
        <v>44636-349</v>
      </c>
    </row>
    <row r="351" spans="1:46" x14ac:dyDescent="0.35">
      <c r="A351" s="204">
        <v>350</v>
      </c>
      <c r="B351" s="14" t="s">
        <v>83</v>
      </c>
      <c r="C351" s="1" t="s">
        <v>152</v>
      </c>
      <c r="D351" s="1" t="s">
        <v>161</v>
      </c>
      <c r="E351" s="12">
        <v>44638</v>
      </c>
      <c r="F351" s="201">
        <v>1.8</v>
      </c>
      <c r="G351" s="201">
        <v>0.9</v>
      </c>
      <c r="H351" s="201">
        <v>0.3</v>
      </c>
      <c r="I351" s="201">
        <v>0.5</v>
      </c>
      <c r="J351" s="201">
        <v>0</v>
      </c>
      <c r="K351" s="201">
        <v>0</v>
      </c>
      <c r="L351" s="201"/>
      <c r="M351" s="201">
        <v>7.6</v>
      </c>
      <c r="N351" s="201">
        <v>1.3</v>
      </c>
      <c r="O351" s="201">
        <v>0</v>
      </c>
      <c r="P351" s="201">
        <v>1225.0999999999999</v>
      </c>
      <c r="Q351" s="201">
        <v>1208</v>
      </c>
      <c r="R351" s="201"/>
      <c r="S351" s="201"/>
      <c r="T351" s="201">
        <v>3085.3</v>
      </c>
      <c r="U351" s="201">
        <v>11.5</v>
      </c>
      <c r="V351" s="201"/>
      <c r="W351" s="201"/>
      <c r="X351" s="201"/>
      <c r="Y351" s="201"/>
      <c r="Z351" s="201"/>
      <c r="AA351" s="61"/>
      <c r="AB351" s="201"/>
      <c r="AC351" s="61"/>
      <c r="AD351" s="201">
        <v>6</v>
      </c>
      <c r="AE351" s="61"/>
      <c r="AF351" s="61">
        <v>0</v>
      </c>
      <c r="AG351" s="61"/>
      <c r="AH351" s="61"/>
      <c r="AI351" s="61"/>
      <c r="AJ351" s="61"/>
      <c r="AK351" s="61"/>
      <c r="AL351" s="291">
        <v>20</v>
      </c>
      <c r="AM351" s="201">
        <v>18</v>
      </c>
      <c r="AN351" s="201">
        <v>14</v>
      </c>
      <c r="AO351" s="61"/>
      <c r="AP351" s="61"/>
      <c r="AQ351" s="61"/>
      <c r="AR351" s="61"/>
      <c r="AS351" s="101" t="s">
        <v>178</v>
      </c>
      <c r="AT351" s="206" t="str">
        <f t="shared" si="5"/>
        <v>44638-350</v>
      </c>
    </row>
    <row r="352" spans="1:46" x14ac:dyDescent="0.35">
      <c r="A352" s="204">
        <v>351</v>
      </c>
      <c r="B352" s="14" t="s">
        <v>83</v>
      </c>
      <c r="C352" s="1" t="s">
        <v>160</v>
      </c>
      <c r="D352" s="1" t="s">
        <v>161</v>
      </c>
      <c r="E352" s="12">
        <v>44638</v>
      </c>
      <c r="F352" s="201">
        <v>1.5</v>
      </c>
      <c r="G352" s="201">
        <v>1.3</v>
      </c>
      <c r="H352" s="201">
        <v>0.8</v>
      </c>
      <c r="I352" s="201">
        <v>0.3</v>
      </c>
      <c r="J352" s="201">
        <v>0</v>
      </c>
      <c r="K352" s="201">
        <v>0</v>
      </c>
      <c r="L352" s="201"/>
      <c r="M352" s="201">
        <v>9</v>
      </c>
      <c r="N352" s="201">
        <v>0.1</v>
      </c>
      <c r="O352" s="201">
        <v>1.4</v>
      </c>
      <c r="P352" s="201">
        <v>1306.2</v>
      </c>
      <c r="Q352" s="201">
        <v>1306.3</v>
      </c>
      <c r="R352" s="201"/>
      <c r="S352" s="201"/>
      <c r="T352" s="201">
        <v>2267.9</v>
      </c>
      <c r="U352" s="201">
        <v>476.8</v>
      </c>
      <c r="V352" s="201"/>
      <c r="W352" s="201"/>
      <c r="X352" s="201"/>
      <c r="Y352" s="201"/>
      <c r="Z352" s="201"/>
      <c r="AA352" s="61"/>
      <c r="AB352" s="201"/>
      <c r="AC352" s="61"/>
      <c r="AD352" s="201">
        <v>14.9</v>
      </c>
      <c r="AE352" s="61"/>
      <c r="AF352" s="61">
        <v>0</v>
      </c>
      <c r="AG352" s="61"/>
      <c r="AH352" s="61"/>
      <c r="AI352" s="61"/>
      <c r="AJ352" s="61"/>
      <c r="AK352" s="61"/>
      <c r="AL352" s="291">
        <v>24</v>
      </c>
      <c r="AM352" s="201">
        <v>22</v>
      </c>
      <c r="AN352" s="201">
        <v>15</v>
      </c>
      <c r="AO352" s="61"/>
      <c r="AP352" s="61"/>
      <c r="AQ352" s="61"/>
      <c r="AR352" s="61"/>
      <c r="AS352" s="101" t="s">
        <v>179</v>
      </c>
      <c r="AT352" s="206" t="str">
        <f t="shared" si="5"/>
        <v>44638-351</v>
      </c>
    </row>
    <row r="353" spans="1:46" x14ac:dyDescent="0.35">
      <c r="A353" s="204">
        <v>352</v>
      </c>
      <c r="B353" s="14" t="s">
        <v>83</v>
      </c>
      <c r="C353" s="1" t="s">
        <v>155</v>
      </c>
      <c r="D353" s="1" t="s">
        <v>161</v>
      </c>
      <c r="E353" s="12">
        <v>44638</v>
      </c>
      <c r="F353" s="201">
        <v>1</v>
      </c>
      <c r="G353" s="201">
        <v>0.9</v>
      </c>
      <c r="H353" s="201">
        <v>0</v>
      </c>
      <c r="I353" s="201">
        <v>0</v>
      </c>
      <c r="J353" s="201">
        <v>0</v>
      </c>
      <c r="K353" s="201">
        <v>0.1</v>
      </c>
      <c r="L353" s="201"/>
      <c r="M353" s="201">
        <v>18.600000000000001</v>
      </c>
      <c r="N353" s="201">
        <v>0.6</v>
      </c>
      <c r="O353" s="201">
        <v>0</v>
      </c>
      <c r="P353" s="201">
        <v>1092.0999999999999</v>
      </c>
      <c r="Q353" s="201">
        <v>1088.7</v>
      </c>
      <c r="R353" s="201"/>
      <c r="S353" s="201"/>
      <c r="T353" s="201">
        <v>3405.8</v>
      </c>
      <c r="U353" s="201">
        <v>17.5</v>
      </c>
      <c r="V353" s="201"/>
      <c r="W353" s="201"/>
      <c r="X353" s="201"/>
      <c r="Y353" s="201"/>
      <c r="Z353" s="201"/>
      <c r="AA353" s="61"/>
      <c r="AB353" s="201"/>
      <c r="AC353" s="61"/>
      <c r="AD353" s="201">
        <v>25.2</v>
      </c>
      <c r="AE353" s="61"/>
      <c r="AF353" s="61">
        <v>0</v>
      </c>
      <c r="AG353" s="61"/>
      <c r="AH353" s="61"/>
      <c r="AI353" s="61"/>
      <c r="AJ353" s="61"/>
      <c r="AK353" s="61"/>
      <c r="AL353" s="291">
        <v>22</v>
      </c>
      <c r="AM353" s="201">
        <v>20</v>
      </c>
      <c r="AN353" s="201">
        <v>16</v>
      </c>
      <c r="AO353" s="61"/>
      <c r="AP353" s="61"/>
      <c r="AQ353" s="61"/>
      <c r="AR353" s="61"/>
      <c r="AS353" s="101" t="s">
        <v>180</v>
      </c>
      <c r="AT353" s="206" t="str">
        <f t="shared" si="5"/>
        <v>44638-352</v>
      </c>
    </row>
    <row r="354" spans="1:46" x14ac:dyDescent="0.35">
      <c r="A354" s="204">
        <v>353</v>
      </c>
      <c r="B354" s="14" t="s">
        <v>83</v>
      </c>
      <c r="C354" s="1" t="s">
        <v>155</v>
      </c>
      <c r="D354" s="1" t="s">
        <v>161</v>
      </c>
      <c r="E354" s="12">
        <v>44639</v>
      </c>
      <c r="F354" s="201">
        <v>1.6</v>
      </c>
      <c r="G354" s="201">
        <v>1</v>
      </c>
      <c r="H354" s="201">
        <v>0</v>
      </c>
      <c r="I354" s="201">
        <v>0</v>
      </c>
      <c r="J354" s="201">
        <v>0</v>
      </c>
      <c r="K354" s="201">
        <v>0.1</v>
      </c>
      <c r="L354" s="201"/>
      <c r="M354" s="201">
        <v>9.9</v>
      </c>
      <c r="N354" s="201">
        <v>1.8</v>
      </c>
      <c r="O354" s="201">
        <v>0</v>
      </c>
      <c r="P354" s="201">
        <v>1276</v>
      </c>
      <c r="Q354" s="201">
        <v>1209.7</v>
      </c>
      <c r="R354" s="201"/>
      <c r="S354" s="201"/>
      <c r="T354" s="201">
        <v>3014.9</v>
      </c>
      <c r="U354" s="201">
        <v>17.2</v>
      </c>
      <c r="V354" s="201"/>
      <c r="W354" s="201"/>
      <c r="X354" s="201"/>
      <c r="Y354" s="201"/>
      <c r="Z354" s="201"/>
      <c r="AA354" s="61"/>
      <c r="AB354" s="201"/>
      <c r="AC354" s="61"/>
      <c r="AD354" s="201">
        <v>25.4</v>
      </c>
      <c r="AE354" s="61"/>
      <c r="AF354" s="61">
        <v>0</v>
      </c>
      <c r="AG354" s="61"/>
      <c r="AH354" s="61"/>
      <c r="AI354" s="61"/>
      <c r="AJ354" s="61"/>
      <c r="AK354" s="61"/>
      <c r="AL354" s="291">
        <v>19</v>
      </c>
      <c r="AM354" s="201">
        <v>18</v>
      </c>
      <c r="AN354" s="201">
        <v>14</v>
      </c>
      <c r="AO354" s="61"/>
      <c r="AP354" s="61"/>
      <c r="AQ354" s="61"/>
      <c r="AR354" s="61"/>
      <c r="AS354" s="101" t="s">
        <v>216</v>
      </c>
      <c r="AT354" s="206" t="str">
        <f t="shared" si="5"/>
        <v>44639-353</v>
      </c>
    </row>
    <row r="355" spans="1:46" x14ac:dyDescent="0.35">
      <c r="A355" s="204">
        <v>354</v>
      </c>
      <c r="B355" s="14" t="s">
        <v>83</v>
      </c>
      <c r="C355" s="1" t="s">
        <v>160</v>
      </c>
      <c r="D355" s="1" t="s">
        <v>161</v>
      </c>
      <c r="E355" s="12">
        <v>44639</v>
      </c>
      <c r="F355" s="201">
        <v>1.4</v>
      </c>
      <c r="G355" s="201">
        <v>1.4</v>
      </c>
      <c r="H355" s="201">
        <v>0</v>
      </c>
      <c r="I355" s="201">
        <v>0</v>
      </c>
      <c r="J355" s="201">
        <v>0</v>
      </c>
      <c r="K355" s="201">
        <v>0.1</v>
      </c>
      <c r="L355" s="201"/>
      <c r="M355" s="201">
        <v>11.2</v>
      </c>
      <c r="N355" s="201">
        <v>0</v>
      </c>
      <c r="O355" s="201">
        <v>1.6</v>
      </c>
      <c r="P355" s="201">
        <v>1320.1</v>
      </c>
      <c r="Q355" s="201">
        <v>1329.5</v>
      </c>
      <c r="R355" s="201"/>
      <c r="S355" s="201"/>
      <c r="T355" s="201">
        <v>2294.9</v>
      </c>
      <c r="U355" s="201">
        <v>485.5</v>
      </c>
      <c r="V355" s="201"/>
      <c r="W355" s="201"/>
      <c r="X355" s="201"/>
      <c r="Y355" s="201"/>
      <c r="Z355" s="201"/>
      <c r="AA355" s="61"/>
      <c r="AB355" s="201"/>
      <c r="AC355" s="61"/>
      <c r="AD355" s="201">
        <v>14.9</v>
      </c>
      <c r="AE355" s="61"/>
      <c r="AF355" s="61">
        <v>0</v>
      </c>
      <c r="AG355" s="61"/>
      <c r="AH355" s="61"/>
      <c r="AI355" s="61"/>
      <c r="AJ355" s="61"/>
      <c r="AK355" s="61"/>
      <c r="AL355" s="291">
        <v>24</v>
      </c>
      <c r="AM355" s="201">
        <v>22</v>
      </c>
      <c r="AN355" s="201">
        <v>16</v>
      </c>
      <c r="AO355" s="61"/>
      <c r="AP355" s="61"/>
      <c r="AQ355" s="61"/>
      <c r="AR355" s="61"/>
      <c r="AS355" s="101" t="s">
        <v>185</v>
      </c>
      <c r="AT355" s="206" t="str">
        <f t="shared" si="5"/>
        <v>44639-354</v>
      </c>
    </row>
    <row r="356" spans="1:46" x14ac:dyDescent="0.35">
      <c r="A356" s="204">
        <v>355</v>
      </c>
      <c r="B356" s="14" t="s">
        <v>83</v>
      </c>
      <c r="C356" s="1" t="s">
        <v>152</v>
      </c>
      <c r="D356" s="1" t="s">
        <v>161</v>
      </c>
      <c r="E356" s="12">
        <v>44639</v>
      </c>
      <c r="F356" s="201">
        <v>1.4</v>
      </c>
      <c r="G356" s="201">
        <v>0.9</v>
      </c>
      <c r="H356" s="201">
        <v>0</v>
      </c>
      <c r="I356" s="201">
        <v>0</v>
      </c>
      <c r="J356" s="201">
        <v>0</v>
      </c>
      <c r="K356" s="201">
        <v>0</v>
      </c>
      <c r="L356" s="201"/>
      <c r="M356" s="201">
        <v>9.4</v>
      </c>
      <c r="N356" s="201">
        <v>1.3</v>
      </c>
      <c r="O356" s="201">
        <v>0</v>
      </c>
      <c r="P356" s="201">
        <v>1233.3</v>
      </c>
      <c r="Q356" s="201">
        <v>1174.7</v>
      </c>
      <c r="R356" s="201"/>
      <c r="S356" s="201"/>
      <c r="T356" s="201">
        <v>3198</v>
      </c>
      <c r="U356" s="201">
        <v>14</v>
      </c>
      <c r="V356" s="201"/>
      <c r="W356" s="201"/>
      <c r="X356" s="201"/>
      <c r="Y356" s="201"/>
      <c r="Z356" s="201"/>
      <c r="AA356" s="61"/>
      <c r="AB356" s="201"/>
      <c r="AC356" s="61"/>
      <c r="AD356" s="201">
        <v>6</v>
      </c>
      <c r="AE356" s="61"/>
      <c r="AF356" s="61">
        <v>0</v>
      </c>
      <c r="AG356" s="61"/>
      <c r="AH356" s="61"/>
      <c r="AI356" s="61"/>
      <c r="AJ356" s="61"/>
      <c r="AK356" s="61"/>
      <c r="AL356" s="291">
        <v>22</v>
      </c>
      <c r="AM356" s="201">
        <v>21</v>
      </c>
      <c r="AN356" s="201">
        <v>14</v>
      </c>
      <c r="AO356" s="61"/>
      <c r="AP356" s="61"/>
      <c r="AQ356" s="61"/>
      <c r="AR356" s="61"/>
      <c r="AS356" s="101" t="s">
        <v>184</v>
      </c>
      <c r="AT356" s="206" t="str">
        <f t="shared" si="5"/>
        <v>44639-355</v>
      </c>
    </row>
    <row r="357" spans="1:46" x14ac:dyDescent="0.35">
      <c r="A357" s="204">
        <v>356</v>
      </c>
      <c r="B357" s="14" t="s">
        <v>82</v>
      </c>
      <c r="C357" s="1" t="s">
        <v>157</v>
      </c>
      <c r="D357" s="1" t="s">
        <v>147</v>
      </c>
      <c r="E357" s="12">
        <v>44646</v>
      </c>
      <c r="F357" s="201">
        <v>0.16</v>
      </c>
      <c r="G357" s="201">
        <v>0.86</v>
      </c>
      <c r="H357" s="201">
        <v>0</v>
      </c>
      <c r="I357" s="201">
        <v>0</v>
      </c>
      <c r="J357" s="201">
        <v>0</v>
      </c>
      <c r="K357" s="201">
        <v>0</v>
      </c>
      <c r="L357" s="201">
        <v>0.17</v>
      </c>
      <c r="M357" s="201">
        <v>22.05</v>
      </c>
      <c r="N357" s="201">
        <v>0</v>
      </c>
      <c r="O357" s="201">
        <v>0.03</v>
      </c>
      <c r="P357" s="201">
        <v>0.88</v>
      </c>
      <c r="Q357" s="201">
        <v>183.8</v>
      </c>
      <c r="R357" s="201">
        <v>28.96</v>
      </c>
      <c r="S357" s="201">
        <v>0</v>
      </c>
      <c r="T357" s="201">
        <v>1.63</v>
      </c>
      <c r="U357" s="201">
        <v>0.11</v>
      </c>
      <c r="V357" s="201">
        <v>0</v>
      </c>
      <c r="W357" s="201">
        <v>0</v>
      </c>
      <c r="X357" s="201">
        <v>0</v>
      </c>
      <c r="Y357" s="201">
        <v>0</v>
      </c>
      <c r="Z357" s="201"/>
      <c r="AA357" s="61">
        <v>0.05</v>
      </c>
      <c r="AB357" s="201">
        <v>0.13</v>
      </c>
      <c r="AC357" s="61"/>
      <c r="AD357" s="201">
        <v>78.900000000000006</v>
      </c>
      <c r="AE357" s="61">
        <v>705</v>
      </c>
      <c r="AF357" s="61">
        <v>51.290320999999999</v>
      </c>
      <c r="AG357" s="61">
        <v>43</v>
      </c>
      <c r="AH357" s="61">
        <v>3.3677260000000002</v>
      </c>
      <c r="AI357" s="61"/>
      <c r="AJ357" s="61"/>
      <c r="AK357" s="61">
        <v>2.4232399999999998</v>
      </c>
      <c r="AL357" s="291"/>
      <c r="AM357" s="201"/>
      <c r="AN357" s="201"/>
      <c r="AO357" s="61">
        <v>4.8973240000000002</v>
      </c>
      <c r="AP357" s="61">
        <v>7.5396739999999998</v>
      </c>
      <c r="AQ357" s="61"/>
      <c r="AR357" s="61">
        <v>15.437372</v>
      </c>
      <c r="AS357" s="101" t="s">
        <v>148</v>
      </c>
      <c r="AT357" s="206" t="str">
        <f t="shared" si="5"/>
        <v>44646-356</v>
      </c>
    </row>
    <row r="358" spans="1:46" x14ac:dyDescent="0.35">
      <c r="A358" s="204">
        <v>357</v>
      </c>
      <c r="B358" s="14" t="s">
        <v>73</v>
      </c>
      <c r="C358" s="1" t="s">
        <v>157</v>
      </c>
      <c r="D358" s="1" t="s">
        <v>150</v>
      </c>
      <c r="E358" s="12">
        <v>44653</v>
      </c>
      <c r="F358" s="201">
        <v>0</v>
      </c>
      <c r="G358" s="201">
        <v>0</v>
      </c>
      <c r="H358" s="201">
        <v>0</v>
      </c>
      <c r="I358" s="201">
        <v>0</v>
      </c>
      <c r="J358" s="201">
        <v>1</v>
      </c>
      <c r="K358" s="201">
        <v>0</v>
      </c>
      <c r="L358" s="201">
        <v>0</v>
      </c>
      <c r="M358" s="201">
        <v>18</v>
      </c>
      <c r="N358" s="201">
        <v>0</v>
      </c>
      <c r="O358" s="201">
        <v>0</v>
      </c>
      <c r="P358" s="201">
        <v>0</v>
      </c>
      <c r="Q358" s="201">
        <v>255</v>
      </c>
      <c r="R358" s="201">
        <v>31</v>
      </c>
      <c r="S358" s="201">
        <v>0</v>
      </c>
      <c r="T358" s="201">
        <v>0</v>
      </c>
      <c r="U358" s="201">
        <v>0</v>
      </c>
      <c r="V358" s="201">
        <v>0</v>
      </c>
      <c r="W358" s="201">
        <v>0</v>
      </c>
      <c r="X358" s="201">
        <v>0</v>
      </c>
      <c r="Y358" s="201">
        <v>0</v>
      </c>
      <c r="Z358" s="201">
        <v>0</v>
      </c>
      <c r="AA358" s="61"/>
      <c r="AB358" s="201">
        <v>0</v>
      </c>
      <c r="AC358" s="61"/>
      <c r="AD358" s="201">
        <v>77.8</v>
      </c>
      <c r="AE358" s="61"/>
      <c r="AF358" s="61"/>
      <c r="AG358" s="61"/>
      <c r="AH358" s="61"/>
      <c r="AI358" s="61"/>
      <c r="AJ358" s="61"/>
      <c r="AK358" s="61"/>
      <c r="AL358" s="291">
        <v>20</v>
      </c>
      <c r="AM358" s="201">
        <v>18</v>
      </c>
      <c r="AN358" s="201">
        <v>12</v>
      </c>
      <c r="AO358" s="61"/>
      <c r="AP358" s="61"/>
      <c r="AQ358" s="61"/>
      <c r="AR358" s="61"/>
      <c r="AS358" s="101" t="s">
        <v>248</v>
      </c>
      <c r="AT358" s="206" t="str">
        <f t="shared" si="5"/>
        <v>44653-357</v>
      </c>
    </row>
    <row r="359" spans="1:46" x14ac:dyDescent="0.35">
      <c r="A359" s="204">
        <v>358</v>
      </c>
      <c r="B359" s="14" t="s">
        <v>83</v>
      </c>
      <c r="C359" s="1" t="s">
        <v>152</v>
      </c>
      <c r="D359" s="1" t="s">
        <v>161</v>
      </c>
      <c r="E359" s="12">
        <v>44654</v>
      </c>
      <c r="F359" s="201">
        <v>1.1000000000000001</v>
      </c>
      <c r="G359" s="201">
        <v>0.9</v>
      </c>
      <c r="H359" s="201">
        <v>0</v>
      </c>
      <c r="I359" s="201">
        <v>0</v>
      </c>
      <c r="J359" s="201">
        <v>0</v>
      </c>
      <c r="K359" s="201">
        <v>0</v>
      </c>
      <c r="L359" s="201"/>
      <c r="M359" s="201">
        <v>11.1</v>
      </c>
      <c r="N359" s="201">
        <v>1.2</v>
      </c>
      <c r="O359" s="201">
        <v>0</v>
      </c>
      <c r="P359" s="201">
        <v>1036.7</v>
      </c>
      <c r="Q359" s="201">
        <v>1112.3</v>
      </c>
      <c r="R359" s="201"/>
      <c r="S359" s="201"/>
      <c r="T359" s="201">
        <v>3308.3</v>
      </c>
      <c r="U359" s="201">
        <v>13.8</v>
      </c>
      <c r="V359" s="201"/>
      <c r="W359" s="201"/>
      <c r="X359" s="201"/>
      <c r="Y359" s="201"/>
      <c r="Z359" s="201"/>
      <c r="AA359" s="61"/>
      <c r="AB359" s="201"/>
      <c r="AC359" s="61"/>
      <c r="AD359" s="201">
        <v>6.2</v>
      </c>
      <c r="AE359" s="61"/>
      <c r="AF359" s="61">
        <v>0</v>
      </c>
      <c r="AG359" s="61"/>
      <c r="AH359" s="61"/>
      <c r="AI359" s="61"/>
      <c r="AJ359" s="61"/>
      <c r="AK359" s="61"/>
      <c r="AL359" s="291">
        <v>22</v>
      </c>
      <c r="AM359" s="201">
        <v>21</v>
      </c>
      <c r="AN359" s="201">
        <v>16</v>
      </c>
      <c r="AO359" s="61"/>
      <c r="AP359" s="61"/>
      <c r="AQ359" s="61"/>
      <c r="AR359" s="61"/>
      <c r="AS359" s="101" t="s">
        <v>185</v>
      </c>
      <c r="AT359" s="206" t="str">
        <f t="shared" si="5"/>
        <v>44654-358</v>
      </c>
    </row>
    <row r="360" spans="1:46" x14ac:dyDescent="0.35">
      <c r="A360" s="204">
        <v>359</v>
      </c>
      <c r="B360" s="14" t="s">
        <v>83</v>
      </c>
      <c r="C360" s="1" t="s">
        <v>160</v>
      </c>
      <c r="D360" s="1" t="s">
        <v>161</v>
      </c>
      <c r="E360" s="12">
        <v>44654</v>
      </c>
      <c r="F360" s="201">
        <v>1.4</v>
      </c>
      <c r="G360" s="201">
        <v>1.5</v>
      </c>
      <c r="H360" s="201">
        <v>0</v>
      </c>
      <c r="I360" s="201">
        <v>0</v>
      </c>
      <c r="J360" s="201">
        <v>0</v>
      </c>
      <c r="K360" s="201">
        <v>0</v>
      </c>
      <c r="L360" s="201"/>
      <c r="M360" s="201">
        <v>9</v>
      </c>
      <c r="N360" s="201">
        <v>0.8</v>
      </c>
      <c r="O360" s="201">
        <v>1.3</v>
      </c>
      <c r="P360" s="201">
        <v>1292.3</v>
      </c>
      <c r="Q360" s="201">
        <v>1472.2</v>
      </c>
      <c r="R360" s="201"/>
      <c r="S360" s="201"/>
      <c r="T360" s="201">
        <v>2363</v>
      </c>
      <c r="U360" s="201">
        <v>511.4</v>
      </c>
      <c r="V360" s="201"/>
      <c r="W360" s="201"/>
      <c r="X360" s="201"/>
      <c r="Y360" s="201"/>
      <c r="Z360" s="201"/>
      <c r="AA360" s="61"/>
      <c r="AB360" s="201"/>
      <c r="AC360" s="61"/>
      <c r="AD360" s="201">
        <v>15.1</v>
      </c>
      <c r="AE360" s="61"/>
      <c r="AF360" s="61">
        <v>0</v>
      </c>
      <c r="AG360" s="61"/>
      <c r="AH360" s="61"/>
      <c r="AI360" s="61"/>
      <c r="AJ360" s="61"/>
      <c r="AK360" s="61"/>
      <c r="AL360" s="291">
        <v>23</v>
      </c>
      <c r="AM360" s="201">
        <v>22</v>
      </c>
      <c r="AN360" s="201">
        <v>15</v>
      </c>
      <c r="AO360" s="61"/>
      <c r="AP360" s="61"/>
      <c r="AQ360" s="61"/>
      <c r="AR360" s="61"/>
      <c r="AS360" s="101" t="s">
        <v>184</v>
      </c>
      <c r="AT360" s="206" t="str">
        <f t="shared" si="5"/>
        <v>44654-359</v>
      </c>
    </row>
    <row r="361" spans="1:46" x14ac:dyDescent="0.35">
      <c r="A361" s="204">
        <v>360</v>
      </c>
      <c r="B361" s="14" t="s">
        <v>83</v>
      </c>
      <c r="C361" s="1" t="s">
        <v>160</v>
      </c>
      <c r="D361" s="1" t="s">
        <v>161</v>
      </c>
      <c r="E361" s="12">
        <v>44654</v>
      </c>
      <c r="F361" s="201">
        <v>1.5</v>
      </c>
      <c r="G361" s="201">
        <v>1.6</v>
      </c>
      <c r="H361" s="201">
        <v>0.1</v>
      </c>
      <c r="I361" s="201">
        <v>0</v>
      </c>
      <c r="J361" s="201">
        <v>0</v>
      </c>
      <c r="K361" s="201">
        <v>0</v>
      </c>
      <c r="L361" s="201"/>
      <c r="M361" s="201">
        <v>9.1</v>
      </c>
      <c r="N361" s="201">
        <v>0.9</v>
      </c>
      <c r="O361" s="201">
        <v>0.8</v>
      </c>
      <c r="P361" s="201">
        <v>1297.3</v>
      </c>
      <c r="Q361" s="201">
        <v>1464.7</v>
      </c>
      <c r="R361" s="201"/>
      <c r="S361" s="201"/>
      <c r="T361" s="201">
        <v>2375.5</v>
      </c>
      <c r="U361" s="201">
        <v>517.29999999999995</v>
      </c>
      <c r="V361" s="201"/>
      <c r="W361" s="201"/>
      <c r="X361" s="201"/>
      <c r="Y361" s="201"/>
      <c r="Z361" s="201"/>
      <c r="AA361" s="61"/>
      <c r="AB361" s="201"/>
      <c r="AC361" s="61"/>
      <c r="AD361" s="201">
        <v>15.1</v>
      </c>
      <c r="AE361" s="61"/>
      <c r="AF361" s="61">
        <v>0</v>
      </c>
      <c r="AG361" s="61"/>
      <c r="AH361" s="61"/>
      <c r="AI361" s="61"/>
      <c r="AJ361" s="61"/>
      <c r="AK361" s="61"/>
      <c r="AL361" s="291">
        <v>24</v>
      </c>
      <c r="AM361" s="201">
        <v>22</v>
      </c>
      <c r="AN361" s="201">
        <v>16</v>
      </c>
      <c r="AO361" s="61"/>
      <c r="AP361" s="61"/>
      <c r="AQ361" s="61"/>
      <c r="AR361" s="61"/>
      <c r="AS361" s="101" t="s">
        <v>176</v>
      </c>
      <c r="AT361" s="206" t="str">
        <f t="shared" si="5"/>
        <v>44654-360</v>
      </c>
    </row>
    <row r="362" spans="1:46" x14ac:dyDescent="0.35">
      <c r="A362" s="204">
        <v>361</v>
      </c>
      <c r="B362" s="14" t="s">
        <v>83</v>
      </c>
      <c r="C362" s="1" t="s">
        <v>160</v>
      </c>
      <c r="D362" s="1" t="s">
        <v>161</v>
      </c>
      <c r="E362" s="12">
        <v>44658</v>
      </c>
      <c r="F362" s="201">
        <v>1.8420837649999999</v>
      </c>
      <c r="G362" s="201">
        <v>1.632615803</v>
      </c>
      <c r="H362" s="201">
        <v>0.14438433510000001</v>
      </c>
      <c r="I362" s="201">
        <v>0.35221121350000001</v>
      </c>
      <c r="J362" s="201">
        <v>0</v>
      </c>
      <c r="K362" s="201">
        <v>5.9369673939999999E-2</v>
      </c>
      <c r="L362" s="201"/>
      <c r="M362" s="201">
        <v>5.0800947670000003</v>
      </c>
      <c r="N362" s="201">
        <v>0</v>
      </c>
      <c r="O362" s="201">
        <v>1.7962689860000001</v>
      </c>
      <c r="P362" s="201">
        <v>1165.960761</v>
      </c>
      <c r="Q362" s="201">
        <v>1200.437518</v>
      </c>
      <c r="R362" s="201"/>
      <c r="S362" s="201"/>
      <c r="T362" s="201">
        <v>2372.4360029999998</v>
      </c>
      <c r="U362" s="201">
        <v>481.65374079999998</v>
      </c>
      <c r="V362" s="201"/>
      <c r="W362" s="201"/>
      <c r="X362" s="201"/>
      <c r="Y362" s="201"/>
      <c r="Z362" s="201"/>
      <c r="AA362" s="61"/>
      <c r="AB362" s="201"/>
      <c r="AC362" s="61"/>
      <c r="AD362" s="201">
        <v>15</v>
      </c>
      <c r="AE362" s="61"/>
      <c r="AF362" s="61">
        <v>0</v>
      </c>
      <c r="AG362" s="61"/>
      <c r="AH362" s="61"/>
      <c r="AI362" s="61"/>
      <c r="AJ362" s="61"/>
      <c r="AK362" s="61"/>
      <c r="AL362" s="291">
        <v>23</v>
      </c>
      <c r="AM362" s="201">
        <v>21</v>
      </c>
      <c r="AN362" s="201">
        <v>14</v>
      </c>
      <c r="AO362" s="61"/>
      <c r="AP362" s="61"/>
      <c r="AQ362" s="61"/>
      <c r="AR362" s="61"/>
      <c r="AS362" s="101" t="s">
        <v>191</v>
      </c>
      <c r="AT362" s="206" t="str">
        <f t="shared" si="5"/>
        <v>44658-361</v>
      </c>
    </row>
    <row r="363" spans="1:46" x14ac:dyDescent="0.35">
      <c r="A363" s="204">
        <v>362</v>
      </c>
      <c r="B363" s="14" t="s">
        <v>83</v>
      </c>
      <c r="C363" s="1" t="s">
        <v>152</v>
      </c>
      <c r="D363" s="1" t="s">
        <v>161</v>
      </c>
      <c r="E363" s="12">
        <v>44658</v>
      </c>
      <c r="F363" s="201">
        <v>1.3189833950000001</v>
      </c>
      <c r="G363" s="201">
        <v>1.525305701</v>
      </c>
      <c r="H363" s="201">
        <v>2.5477869199999999E-2</v>
      </c>
      <c r="I363" s="201">
        <v>0</v>
      </c>
      <c r="J363" s="201">
        <v>0</v>
      </c>
      <c r="K363" s="201">
        <v>4.0861690639999997E-2</v>
      </c>
      <c r="L363" s="201"/>
      <c r="M363" s="201">
        <v>14.637653459999999</v>
      </c>
      <c r="N363" s="201">
        <v>1.224300911</v>
      </c>
      <c r="O363" s="201">
        <v>0.2488372439</v>
      </c>
      <c r="P363" s="201">
        <v>1011.340234</v>
      </c>
      <c r="Q363" s="201">
        <v>966.54092820000005</v>
      </c>
      <c r="R363" s="201"/>
      <c r="S363" s="201"/>
      <c r="T363" s="201">
        <v>3433.4720349999998</v>
      </c>
      <c r="U363" s="201">
        <v>10.949879109999999</v>
      </c>
      <c r="V363" s="201"/>
      <c r="W363" s="201"/>
      <c r="X363" s="201"/>
      <c r="Y363" s="201"/>
      <c r="Z363" s="201"/>
      <c r="AA363" s="61"/>
      <c r="AB363" s="201"/>
      <c r="AC363" s="61"/>
      <c r="AD363" s="201">
        <v>6</v>
      </c>
      <c r="AE363" s="61"/>
      <c r="AF363" s="61">
        <v>0</v>
      </c>
      <c r="AG363" s="61"/>
      <c r="AH363" s="61"/>
      <c r="AI363" s="61"/>
      <c r="AJ363" s="61"/>
      <c r="AK363" s="61"/>
      <c r="AL363" s="291">
        <v>23</v>
      </c>
      <c r="AM363" s="201">
        <v>22</v>
      </c>
      <c r="AN363" s="201">
        <v>16</v>
      </c>
      <c r="AO363" s="61"/>
      <c r="AP363" s="61"/>
      <c r="AQ363" s="61"/>
      <c r="AR363" s="61"/>
      <c r="AS363" s="101" t="s">
        <v>172</v>
      </c>
      <c r="AT363" s="206" t="str">
        <f t="shared" si="5"/>
        <v>44658-362</v>
      </c>
    </row>
    <row r="364" spans="1:46" x14ac:dyDescent="0.35">
      <c r="A364" s="204">
        <v>363</v>
      </c>
      <c r="B364" s="14" t="s">
        <v>83</v>
      </c>
      <c r="C364" s="1" t="s">
        <v>160</v>
      </c>
      <c r="D364" s="1" t="s">
        <v>161</v>
      </c>
      <c r="E364" s="12">
        <v>44658</v>
      </c>
      <c r="F364" s="201">
        <v>1.978138738</v>
      </c>
      <c r="G364" s="201">
        <v>1.5537135289999999</v>
      </c>
      <c r="H364" s="201">
        <v>3.3050855740000003E-2</v>
      </c>
      <c r="I364" s="201">
        <v>0.21592629050000001</v>
      </c>
      <c r="J364" s="201">
        <v>0</v>
      </c>
      <c r="K364" s="201">
        <v>1.1050341789999999E-3</v>
      </c>
      <c r="L364" s="201"/>
      <c r="M364" s="201">
        <v>5.1946353829999996</v>
      </c>
      <c r="N364" s="201">
        <v>0</v>
      </c>
      <c r="O364" s="201">
        <v>1.4544864630000001</v>
      </c>
      <c r="P364" s="201">
        <v>1178.786846</v>
      </c>
      <c r="Q364" s="201">
        <v>1178.2198900000001</v>
      </c>
      <c r="R364" s="201"/>
      <c r="S364" s="201"/>
      <c r="T364" s="201">
        <v>2319.6279869999998</v>
      </c>
      <c r="U364" s="201">
        <v>477.86408490000002</v>
      </c>
      <c r="V364" s="201"/>
      <c r="W364" s="201"/>
      <c r="X364" s="201"/>
      <c r="Y364" s="201"/>
      <c r="Z364" s="201"/>
      <c r="AA364" s="61"/>
      <c r="AB364" s="201"/>
      <c r="AC364" s="61"/>
      <c r="AD364" s="201">
        <v>15</v>
      </c>
      <c r="AE364" s="61"/>
      <c r="AF364" s="61">
        <v>0</v>
      </c>
      <c r="AG364" s="61"/>
      <c r="AH364" s="61"/>
      <c r="AI364" s="61"/>
      <c r="AJ364" s="61"/>
      <c r="AK364" s="61"/>
      <c r="AL364" s="291">
        <v>23</v>
      </c>
      <c r="AM364" s="201">
        <v>21</v>
      </c>
      <c r="AN364" s="201">
        <v>13</v>
      </c>
      <c r="AO364" s="61"/>
      <c r="AP364" s="61"/>
      <c r="AQ364" s="61"/>
      <c r="AR364" s="61"/>
      <c r="AS364" s="101" t="s">
        <v>171</v>
      </c>
      <c r="AT364" s="206" t="str">
        <f t="shared" si="5"/>
        <v>44658-363</v>
      </c>
    </row>
    <row r="365" spans="1:46" x14ac:dyDescent="0.35">
      <c r="A365" s="204">
        <v>364</v>
      </c>
      <c r="B365" s="14" t="s">
        <v>83</v>
      </c>
      <c r="C365" s="1" t="s">
        <v>160</v>
      </c>
      <c r="D365" s="1" t="s">
        <v>161</v>
      </c>
      <c r="E365" s="12">
        <v>44659</v>
      </c>
      <c r="F365" s="201">
        <v>1.5</v>
      </c>
      <c r="G365" s="201">
        <v>1.5</v>
      </c>
      <c r="H365" s="201">
        <v>0.1</v>
      </c>
      <c r="I365" s="201">
        <v>0</v>
      </c>
      <c r="J365" s="201">
        <v>0</v>
      </c>
      <c r="K365" s="201">
        <v>0</v>
      </c>
      <c r="L365" s="201"/>
      <c r="M365" s="201">
        <v>4.8</v>
      </c>
      <c r="N365" s="201">
        <v>0.4</v>
      </c>
      <c r="O365" s="201">
        <v>1.9</v>
      </c>
      <c r="P365" s="201">
        <v>1206.7</v>
      </c>
      <c r="Q365" s="201">
        <v>1398.4</v>
      </c>
      <c r="R365" s="201"/>
      <c r="S365" s="201"/>
      <c r="T365" s="201">
        <v>2317.3000000000002</v>
      </c>
      <c r="U365" s="201">
        <v>480.8</v>
      </c>
      <c r="V365" s="201"/>
      <c r="W365" s="201"/>
      <c r="X365" s="201"/>
      <c r="Y365" s="201"/>
      <c r="Z365" s="201"/>
      <c r="AA365" s="61"/>
      <c r="AB365" s="201"/>
      <c r="AC365" s="61"/>
      <c r="AD365" s="201">
        <v>15.2</v>
      </c>
      <c r="AE365" s="61"/>
      <c r="AF365" s="61">
        <v>0</v>
      </c>
      <c r="AG365" s="61"/>
      <c r="AH365" s="61"/>
      <c r="AI365" s="61"/>
      <c r="AJ365" s="61"/>
      <c r="AK365" s="61"/>
      <c r="AL365" s="291">
        <v>23</v>
      </c>
      <c r="AM365" s="201">
        <v>22</v>
      </c>
      <c r="AN365" s="201">
        <v>16</v>
      </c>
      <c r="AO365" s="61"/>
      <c r="AP365" s="61"/>
      <c r="AQ365" s="61"/>
      <c r="AR365" s="61"/>
      <c r="AS365" s="101" t="s">
        <v>173</v>
      </c>
      <c r="AT365" s="206" t="str">
        <f t="shared" si="5"/>
        <v>44659-364</v>
      </c>
    </row>
    <row r="366" spans="1:46" x14ac:dyDescent="0.35">
      <c r="A366" s="204">
        <v>365</v>
      </c>
      <c r="B366" s="14" t="s">
        <v>83</v>
      </c>
      <c r="C366" s="1" t="s">
        <v>160</v>
      </c>
      <c r="D366" s="1" t="s">
        <v>161</v>
      </c>
      <c r="E366" s="12">
        <v>44659</v>
      </c>
      <c r="F366" s="201">
        <v>1.5</v>
      </c>
      <c r="G366" s="201">
        <v>1.3</v>
      </c>
      <c r="H366" s="201">
        <v>0</v>
      </c>
      <c r="I366" s="201">
        <v>0</v>
      </c>
      <c r="J366" s="201">
        <v>0</v>
      </c>
      <c r="K366" s="201">
        <v>0</v>
      </c>
      <c r="L366" s="201"/>
      <c r="M366" s="201">
        <v>4.2</v>
      </c>
      <c r="N366" s="201">
        <v>0.3</v>
      </c>
      <c r="O366" s="201">
        <v>1.5</v>
      </c>
      <c r="P366" s="201">
        <v>1184.5</v>
      </c>
      <c r="Q366" s="201">
        <v>1374</v>
      </c>
      <c r="R366" s="201"/>
      <c r="S366" s="201"/>
      <c r="T366" s="201">
        <v>2276.9</v>
      </c>
      <c r="U366" s="201">
        <v>473.2</v>
      </c>
      <c r="V366" s="201"/>
      <c r="W366" s="201"/>
      <c r="X366" s="201"/>
      <c r="Y366" s="201"/>
      <c r="Z366" s="201"/>
      <c r="AA366" s="61"/>
      <c r="AB366" s="201"/>
      <c r="AC366" s="61"/>
      <c r="AD366" s="201">
        <v>15.3</v>
      </c>
      <c r="AE366" s="61"/>
      <c r="AF366" s="61">
        <v>0</v>
      </c>
      <c r="AG366" s="61"/>
      <c r="AH366" s="61"/>
      <c r="AI366" s="61"/>
      <c r="AJ366" s="61"/>
      <c r="AK366" s="61"/>
      <c r="AL366" s="291">
        <v>23</v>
      </c>
      <c r="AM366" s="201">
        <v>22</v>
      </c>
      <c r="AN366" s="201">
        <v>15</v>
      </c>
      <c r="AO366" s="61"/>
      <c r="AP366" s="61"/>
      <c r="AQ366" s="61"/>
      <c r="AR366" s="61"/>
      <c r="AS366" s="101" t="s">
        <v>174</v>
      </c>
      <c r="AT366" s="206" t="str">
        <f t="shared" si="5"/>
        <v>44659-365</v>
      </c>
    </row>
    <row r="367" spans="1:46" x14ac:dyDescent="0.35">
      <c r="A367" s="204">
        <v>366</v>
      </c>
      <c r="B367" s="14" t="s">
        <v>83</v>
      </c>
      <c r="C367" s="1" t="s">
        <v>198</v>
      </c>
      <c r="D367" s="1" t="s">
        <v>161</v>
      </c>
      <c r="E367" s="12">
        <v>44659</v>
      </c>
      <c r="F367" s="201">
        <v>0.9</v>
      </c>
      <c r="G367" s="201">
        <v>0.8</v>
      </c>
      <c r="H367" s="201">
        <v>0</v>
      </c>
      <c r="I367" s="201">
        <v>0</v>
      </c>
      <c r="J367" s="201">
        <v>0</v>
      </c>
      <c r="K367" s="201">
        <v>0</v>
      </c>
      <c r="L367" s="201"/>
      <c r="M367" s="201">
        <v>8.6999999999999993</v>
      </c>
      <c r="N367" s="201">
        <v>0.4</v>
      </c>
      <c r="O367" s="201">
        <v>0.7</v>
      </c>
      <c r="P367" s="201">
        <v>1015.1</v>
      </c>
      <c r="Q367" s="201">
        <v>1119.4000000000001</v>
      </c>
      <c r="R367" s="201"/>
      <c r="S367" s="201"/>
      <c r="T367" s="201">
        <v>3499.9</v>
      </c>
      <c r="U367" s="201">
        <v>15.8</v>
      </c>
      <c r="V367" s="201"/>
      <c r="W367" s="201"/>
      <c r="X367" s="201"/>
      <c r="Y367" s="201"/>
      <c r="Z367" s="201"/>
      <c r="AA367" s="61"/>
      <c r="AB367" s="201"/>
      <c r="AC367" s="61"/>
      <c r="AD367" s="201">
        <v>11.3</v>
      </c>
      <c r="AE367" s="61"/>
      <c r="AF367" s="61">
        <v>0</v>
      </c>
      <c r="AG367" s="61"/>
      <c r="AH367" s="61"/>
      <c r="AI367" s="61"/>
      <c r="AJ367" s="61"/>
      <c r="AK367" s="61"/>
      <c r="AL367" s="291">
        <v>24</v>
      </c>
      <c r="AM367" s="201">
        <v>22</v>
      </c>
      <c r="AN367" s="201">
        <v>16</v>
      </c>
      <c r="AO367" s="61"/>
      <c r="AP367" s="61"/>
      <c r="AQ367" s="61"/>
      <c r="AR367" s="61"/>
      <c r="AS367" s="101" t="s">
        <v>175</v>
      </c>
      <c r="AT367" s="206" t="str">
        <f t="shared" si="5"/>
        <v>44659-366</v>
      </c>
    </row>
    <row r="368" spans="1:46" x14ac:dyDescent="0.35">
      <c r="A368" s="204">
        <v>367</v>
      </c>
      <c r="B368" s="14" t="s">
        <v>83</v>
      </c>
      <c r="C368" s="1" t="s">
        <v>160</v>
      </c>
      <c r="D368" s="1" t="s">
        <v>161</v>
      </c>
      <c r="E368" s="12">
        <v>44660</v>
      </c>
      <c r="F368" s="201">
        <v>1.4</v>
      </c>
      <c r="G368" s="201">
        <v>1.3</v>
      </c>
      <c r="H368" s="201">
        <v>0</v>
      </c>
      <c r="I368" s="201">
        <v>0</v>
      </c>
      <c r="J368" s="201">
        <v>0</v>
      </c>
      <c r="K368" s="201">
        <v>0</v>
      </c>
      <c r="L368" s="201"/>
      <c r="M368" s="201">
        <v>4.3</v>
      </c>
      <c r="N368" s="201">
        <v>0.3</v>
      </c>
      <c r="O368" s="201">
        <v>1.7</v>
      </c>
      <c r="P368" s="201">
        <v>1199.5999999999999</v>
      </c>
      <c r="Q368" s="201">
        <v>1402.5</v>
      </c>
      <c r="R368" s="201"/>
      <c r="S368" s="201"/>
      <c r="T368" s="201">
        <v>2315.1</v>
      </c>
      <c r="U368" s="201">
        <v>478.5</v>
      </c>
      <c r="V368" s="201"/>
      <c r="W368" s="201"/>
      <c r="X368" s="201"/>
      <c r="Y368" s="201"/>
      <c r="Z368" s="201"/>
      <c r="AA368" s="61"/>
      <c r="AB368" s="201"/>
      <c r="AC368" s="61"/>
      <c r="AD368" s="201">
        <v>15.3</v>
      </c>
      <c r="AE368" s="61"/>
      <c r="AF368" s="61">
        <v>0</v>
      </c>
      <c r="AG368" s="61"/>
      <c r="AH368" s="61"/>
      <c r="AI368" s="61"/>
      <c r="AJ368" s="61"/>
      <c r="AK368" s="61"/>
      <c r="AL368" s="291">
        <v>23</v>
      </c>
      <c r="AM368" s="201">
        <v>22</v>
      </c>
      <c r="AN368" s="201">
        <v>15</v>
      </c>
      <c r="AO368" s="61"/>
      <c r="AP368" s="61"/>
      <c r="AQ368" s="61"/>
      <c r="AR368" s="61"/>
      <c r="AS368" s="101" t="s">
        <v>185</v>
      </c>
      <c r="AT368" s="206" t="str">
        <f t="shared" si="5"/>
        <v>44660-367</v>
      </c>
    </row>
    <row r="369" spans="1:46" x14ac:dyDescent="0.35">
      <c r="A369" s="204">
        <v>368</v>
      </c>
      <c r="B369" s="14" t="s">
        <v>83</v>
      </c>
      <c r="C369" s="1" t="s">
        <v>160</v>
      </c>
      <c r="D369" s="1" t="s">
        <v>161</v>
      </c>
      <c r="E369" s="12">
        <v>44660</v>
      </c>
      <c r="F369" s="201">
        <v>1.5</v>
      </c>
      <c r="G369" s="201">
        <v>1.4</v>
      </c>
      <c r="H369" s="201">
        <v>0</v>
      </c>
      <c r="I369" s="201">
        <v>0</v>
      </c>
      <c r="J369" s="201">
        <v>0</v>
      </c>
      <c r="K369" s="201">
        <v>0</v>
      </c>
      <c r="L369" s="201"/>
      <c r="M369" s="201">
        <v>4.8</v>
      </c>
      <c r="N369" s="201">
        <v>0.5</v>
      </c>
      <c r="O369" s="201">
        <v>1.8</v>
      </c>
      <c r="P369" s="201">
        <v>1238</v>
      </c>
      <c r="Q369" s="201">
        <v>1419.8</v>
      </c>
      <c r="R369" s="201"/>
      <c r="S369" s="201"/>
      <c r="T369" s="201">
        <v>2386.1999999999998</v>
      </c>
      <c r="U369" s="201">
        <v>490.8</v>
      </c>
      <c r="V369" s="201"/>
      <c r="W369" s="201"/>
      <c r="X369" s="201"/>
      <c r="Y369" s="201"/>
      <c r="Z369" s="201"/>
      <c r="AA369" s="61"/>
      <c r="AB369" s="201"/>
      <c r="AC369" s="61"/>
      <c r="AD369" s="201">
        <v>15.2</v>
      </c>
      <c r="AE369" s="61"/>
      <c r="AF369" s="61">
        <v>0</v>
      </c>
      <c r="AG369" s="61"/>
      <c r="AH369" s="61"/>
      <c r="AI369" s="61"/>
      <c r="AJ369" s="61"/>
      <c r="AK369" s="61"/>
      <c r="AL369" s="291">
        <v>24</v>
      </c>
      <c r="AM369" s="201">
        <v>22</v>
      </c>
      <c r="AN369" s="201">
        <v>16</v>
      </c>
      <c r="AO369" s="61"/>
      <c r="AP369" s="61"/>
      <c r="AQ369" s="61"/>
      <c r="AR369" s="61"/>
      <c r="AS369" s="101" t="s">
        <v>176</v>
      </c>
      <c r="AT369" s="206" t="str">
        <f t="shared" si="5"/>
        <v>44660-368</v>
      </c>
    </row>
    <row r="370" spans="1:46" x14ac:dyDescent="0.35">
      <c r="A370" s="204">
        <v>369</v>
      </c>
      <c r="B370" s="14" t="s">
        <v>83</v>
      </c>
      <c r="C370" s="1" t="s">
        <v>198</v>
      </c>
      <c r="D370" s="1" t="s">
        <v>161</v>
      </c>
      <c r="E370" s="12">
        <v>44660</v>
      </c>
      <c r="F370" s="201">
        <v>1.2</v>
      </c>
      <c r="G370" s="201">
        <v>0.9</v>
      </c>
      <c r="H370" s="201">
        <v>0</v>
      </c>
      <c r="I370" s="201">
        <v>0</v>
      </c>
      <c r="J370" s="201">
        <v>0</v>
      </c>
      <c r="K370" s="201">
        <v>0</v>
      </c>
      <c r="L370" s="201"/>
      <c r="M370" s="201">
        <v>7.1</v>
      </c>
      <c r="N370" s="201">
        <v>1.3</v>
      </c>
      <c r="O370" s="201">
        <v>1</v>
      </c>
      <c r="P370" s="201">
        <v>1108.2</v>
      </c>
      <c r="Q370" s="201">
        <v>1182.3</v>
      </c>
      <c r="R370" s="201"/>
      <c r="S370" s="201"/>
      <c r="T370" s="201">
        <v>3426.2</v>
      </c>
      <c r="U370" s="201">
        <v>14.6</v>
      </c>
      <c r="V370" s="201"/>
      <c r="W370" s="201"/>
      <c r="X370" s="201"/>
      <c r="Y370" s="201"/>
      <c r="Z370" s="201"/>
      <c r="AA370" s="61"/>
      <c r="AB370" s="201"/>
      <c r="AC370" s="61"/>
      <c r="AD370" s="201">
        <v>11.4</v>
      </c>
      <c r="AE370" s="61"/>
      <c r="AF370" s="61">
        <v>0</v>
      </c>
      <c r="AG370" s="61"/>
      <c r="AH370" s="61"/>
      <c r="AI370" s="61"/>
      <c r="AJ370" s="61"/>
      <c r="AK370" s="61"/>
      <c r="AL370" s="291">
        <v>23</v>
      </c>
      <c r="AM370" s="201">
        <v>22</v>
      </c>
      <c r="AN370" s="201">
        <v>13</v>
      </c>
      <c r="AO370" s="61"/>
      <c r="AP370" s="61"/>
      <c r="AQ370" s="61"/>
      <c r="AR370" s="61"/>
      <c r="AS370" s="101" t="s">
        <v>216</v>
      </c>
      <c r="AT370" s="206" t="str">
        <f t="shared" si="5"/>
        <v>44660-369</v>
      </c>
    </row>
    <row r="371" spans="1:46" x14ac:dyDescent="0.35">
      <c r="A371" s="204">
        <v>370</v>
      </c>
      <c r="B371" s="14" t="s">
        <v>83</v>
      </c>
      <c r="C371" s="1" t="s">
        <v>152</v>
      </c>
      <c r="D371" s="1" t="s">
        <v>161</v>
      </c>
      <c r="E371" s="12">
        <v>44660</v>
      </c>
      <c r="F371" s="201">
        <v>1.6</v>
      </c>
      <c r="G371" s="201">
        <v>0.9</v>
      </c>
      <c r="H371" s="201">
        <v>0.1</v>
      </c>
      <c r="I371" s="201">
        <v>0</v>
      </c>
      <c r="J371" s="201">
        <v>0</v>
      </c>
      <c r="K371" s="201">
        <v>0</v>
      </c>
      <c r="L371" s="201"/>
      <c r="M371" s="201">
        <v>10.9</v>
      </c>
      <c r="N371" s="201">
        <v>1.5</v>
      </c>
      <c r="O371" s="201">
        <v>0.4</v>
      </c>
      <c r="P371" s="201">
        <v>1057.0999999999999</v>
      </c>
      <c r="Q371" s="201">
        <v>1131.9000000000001</v>
      </c>
      <c r="R371" s="201"/>
      <c r="S371" s="201"/>
      <c r="T371" s="201">
        <v>3575.5</v>
      </c>
      <c r="U371" s="201">
        <v>13.4</v>
      </c>
      <c r="V371" s="201"/>
      <c r="W371" s="201"/>
      <c r="X371" s="201"/>
      <c r="Y371" s="201"/>
      <c r="Z371" s="201"/>
      <c r="AA371" s="61"/>
      <c r="AB371" s="201"/>
      <c r="AC371" s="61"/>
      <c r="AD371" s="201">
        <v>6.2</v>
      </c>
      <c r="AE371" s="61"/>
      <c r="AF371" s="61">
        <v>0</v>
      </c>
      <c r="AG371" s="61"/>
      <c r="AH371" s="61"/>
      <c r="AI371" s="61"/>
      <c r="AJ371" s="61"/>
      <c r="AK371" s="61"/>
      <c r="AL371" s="291">
        <v>23</v>
      </c>
      <c r="AM371" s="201">
        <v>22</v>
      </c>
      <c r="AN371" s="201">
        <v>15</v>
      </c>
      <c r="AO371" s="61"/>
      <c r="AP371" s="61"/>
      <c r="AQ371" s="61"/>
      <c r="AR371" s="61"/>
      <c r="AS371" s="101" t="s">
        <v>178</v>
      </c>
      <c r="AT371" s="206" t="str">
        <f t="shared" si="5"/>
        <v>44660-370</v>
      </c>
    </row>
    <row r="372" spans="1:46" x14ac:dyDescent="0.35">
      <c r="A372" s="204">
        <v>371</v>
      </c>
      <c r="B372" s="14" t="s">
        <v>83</v>
      </c>
      <c r="C372" s="1" t="s">
        <v>152</v>
      </c>
      <c r="D372" s="1" t="s">
        <v>161</v>
      </c>
      <c r="E372" s="12">
        <v>44660</v>
      </c>
      <c r="F372" s="201">
        <v>1</v>
      </c>
      <c r="G372" s="201">
        <v>0.8</v>
      </c>
      <c r="H372" s="201">
        <v>0.1</v>
      </c>
      <c r="I372" s="201">
        <v>0</v>
      </c>
      <c r="J372" s="201">
        <v>0</v>
      </c>
      <c r="K372" s="201">
        <v>0</v>
      </c>
      <c r="L372" s="201"/>
      <c r="M372" s="201">
        <v>10.6</v>
      </c>
      <c r="N372" s="201">
        <v>1.3</v>
      </c>
      <c r="O372" s="201">
        <v>0.6</v>
      </c>
      <c r="P372" s="201">
        <v>1040.5</v>
      </c>
      <c r="Q372" s="201">
        <v>1124.0999999999999</v>
      </c>
      <c r="R372" s="201"/>
      <c r="S372" s="201"/>
      <c r="T372" s="201">
        <v>3578.5</v>
      </c>
      <c r="U372" s="201">
        <v>13</v>
      </c>
      <c r="V372" s="201"/>
      <c r="W372" s="201"/>
      <c r="X372" s="201"/>
      <c r="Y372" s="201"/>
      <c r="Z372" s="201"/>
      <c r="AA372" s="61"/>
      <c r="AB372" s="201"/>
      <c r="AC372" s="61"/>
      <c r="AD372" s="201">
        <v>6.2</v>
      </c>
      <c r="AE372" s="61"/>
      <c r="AF372" s="61">
        <v>0</v>
      </c>
      <c r="AG372" s="61"/>
      <c r="AH372" s="61"/>
      <c r="AI372" s="61"/>
      <c r="AJ372" s="61"/>
      <c r="AK372" s="61"/>
      <c r="AL372" s="291">
        <v>23</v>
      </c>
      <c r="AM372" s="201">
        <v>22</v>
      </c>
      <c r="AN372" s="201">
        <v>15</v>
      </c>
      <c r="AO372" s="61"/>
      <c r="AP372" s="61"/>
      <c r="AQ372" s="61"/>
      <c r="AR372" s="61"/>
      <c r="AS372" s="101" t="s">
        <v>179</v>
      </c>
      <c r="AT372" s="206" t="str">
        <f t="shared" si="5"/>
        <v>44660-371</v>
      </c>
    </row>
    <row r="373" spans="1:46" x14ac:dyDescent="0.35">
      <c r="A373" s="204">
        <v>372</v>
      </c>
      <c r="B373" s="14" t="s">
        <v>83</v>
      </c>
      <c r="C373" s="1" t="s">
        <v>152</v>
      </c>
      <c r="D373" s="1" t="s">
        <v>161</v>
      </c>
      <c r="E373" s="12">
        <v>44660</v>
      </c>
      <c r="F373" s="201">
        <v>1</v>
      </c>
      <c r="G373" s="201">
        <v>0.7</v>
      </c>
      <c r="H373" s="201">
        <v>0.2</v>
      </c>
      <c r="I373" s="201">
        <v>0</v>
      </c>
      <c r="J373" s="201">
        <v>0</v>
      </c>
      <c r="K373" s="201">
        <v>0</v>
      </c>
      <c r="L373" s="201"/>
      <c r="M373" s="201">
        <v>10.9</v>
      </c>
      <c r="N373" s="201">
        <v>1.3</v>
      </c>
      <c r="O373" s="201">
        <v>0.7</v>
      </c>
      <c r="P373" s="201">
        <v>1022.9</v>
      </c>
      <c r="Q373" s="201">
        <v>1123.3</v>
      </c>
      <c r="R373" s="201"/>
      <c r="S373" s="201"/>
      <c r="T373" s="201">
        <v>3522.7</v>
      </c>
      <c r="U373" s="201">
        <v>12.8</v>
      </c>
      <c r="V373" s="201"/>
      <c r="W373" s="201"/>
      <c r="X373" s="201"/>
      <c r="Y373" s="201"/>
      <c r="Z373" s="201"/>
      <c r="AA373" s="61"/>
      <c r="AB373" s="201"/>
      <c r="AC373" s="61"/>
      <c r="AD373" s="201">
        <v>6.21</v>
      </c>
      <c r="AE373" s="61"/>
      <c r="AF373" s="61">
        <v>0</v>
      </c>
      <c r="AG373" s="61"/>
      <c r="AH373" s="61"/>
      <c r="AI373" s="61"/>
      <c r="AJ373" s="61"/>
      <c r="AK373" s="61"/>
      <c r="AL373" s="291">
        <v>23</v>
      </c>
      <c r="AM373" s="201">
        <v>22</v>
      </c>
      <c r="AN373" s="201">
        <v>16</v>
      </c>
      <c r="AO373" s="61"/>
      <c r="AP373" s="61"/>
      <c r="AQ373" s="61"/>
      <c r="AR373" s="61"/>
      <c r="AS373" s="101" t="s">
        <v>180</v>
      </c>
      <c r="AT373" s="206" t="str">
        <f t="shared" si="5"/>
        <v>44660-372</v>
      </c>
    </row>
    <row r="374" spans="1:46" x14ac:dyDescent="0.35">
      <c r="A374" s="204">
        <v>373</v>
      </c>
      <c r="B374" s="14" t="s">
        <v>83</v>
      </c>
      <c r="C374" s="1" t="s">
        <v>152</v>
      </c>
      <c r="D374" s="1" t="s">
        <v>161</v>
      </c>
      <c r="E374" s="12">
        <v>44661</v>
      </c>
      <c r="F374" s="201">
        <v>1.3</v>
      </c>
      <c r="G374" s="201">
        <v>0.8</v>
      </c>
      <c r="H374" s="201">
        <v>0.1</v>
      </c>
      <c r="I374" s="201">
        <v>0</v>
      </c>
      <c r="J374" s="201">
        <v>0</v>
      </c>
      <c r="K374" s="201">
        <v>0</v>
      </c>
      <c r="L374" s="201"/>
      <c r="M374" s="201">
        <v>9</v>
      </c>
      <c r="N374" s="201">
        <v>1.7</v>
      </c>
      <c r="O374" s="201">
        <v>0.5</v>
      </c>
      <c r="P374" s="201">
        <v>1161.2</v>
      </c>
      <c r="Q374" s="201">
        <v>1230.9000000000001</v>
      </c>
      <c r="R374" s="201"/>
      <c r="S374" s="201"/>
      <c r="T374" s="201">
        <v>3383.6</v>
      </c>
      <c r="U374" s="201">
        <v>13.7</v>
      </c>
      <c r="V374" s="201"/>
      <c r="W374" s="201"/>
      <c r="X374" s="201"/>
      <c r="Y374" s="201"/>
      <c r="Z374" s="201"/>
      <c r="AA374" s="61"/>
      <c r="AB374" s="201"/>
      <c r="AC374" s="61"/>
      <c r="AD374" s="201">
        <v>6.2</v>
      </c>
      <c r="AE374" s="61"/>
      <c r="AF374" s="61">
        <v>0</v>
      </c>
      <c r="AG374" s="61"/>
      <c r="AH374" s="61"/>
      <c r="AI374" s="61"/>
      <c r="AJ374" s="61"/>
      <c r="AK374" s="61"/>
      <c r="AL374" s="291">
        <v>22</v>
      </c>
      <c r="AM374" s="201">
        <v>21</v>
      </c>
      <c r="AN374" s="201">
        <v>14</v>
      </c>
      <c r="AO374" s="61"/>
      <c r="AP374" s="61"/>
      <c r="AQ374" s="61"/>
      <c r="AR374" s="61"/>
      <c r="AS374" s="101" t="s">
        <v>184</v>
      </c>
      <c r="AT374" s="206" t="str">
        <f t="shared" si="5"/>
        <v>44661-373</v>
      </c>
    </row>
    <row r="375" spans="1:46" x14ac:dyDescent="0.35">
      <c r="A375" s="204">
        <v>374</v>
      </c>
      <c r="B375" s="14" t="s">
        <v>83</v>
      </c>
      <c r="C375" s="1" t="s">
        <v>152</v>
      </c>
      <c r="D375" s="1" t="s">
        <v>161</v>
      </c>
      <c r="E375" s="12">
        <v>44661</v>
      </c>
      <c r="F375" s="201">
        <v>1.2</v>
      </c>
      <c r="G375" s="201">
        <v>0.8</v>
      </c>
      <c r="H375" s="201">
        <v>0.1</v>
      </c>
      <c r="I375" s="201">
        <v>0</v>
      </c>
      <c r="J375" s="201">
        <v>0</v>
      </c>
      <c r="K375" s="201">
        <v>0</v>
      </c>
      <c r="L375" s="201"/>
      <c r="M375" s="201">
        <v>9.1999999999999993</v>
      </c>
      <c r="N375" s="201">
        <v>1.7</v>
      </c>
      <c r="O375" s="201">
        <v>0.2</v>
      </c>
      <c r="P375" s="201">
        <v>1127.2</v>
      </c>
      <c r="Q375" s="201">
        <v>1205.4000000000001</v>
      </c>
      <c r="R375" s="201"/>
      <c r="S375" s="201"/>
      <c r="T375" s="201">
        <v>3405.7</v>
      </c>
      <c r="U375" s="201">
        <v>13.8</v>
      </c>
      <c r="V375" s="201"/>
      <c r="W375" s="201"/>
      <c r="X375" s="201"/>
      <c r="Y375" s="201"/>
      <c r="Z375" s="201"/>
      <c r="AA375" s="61"/>
      <c r="AB375" s="201"/>
      <c r="AC375" s="61"/>
      <c r="AD375" s="201">
        <v>6.2</v>
      </c>
      <c r="AE375" s="61"/>
      <c r="AF375" s="61">
        <v>0</v>
      </c>
      <c r="AG375" s="61"/>
      <c r="AH375" s="61"/>
      <c r="AI375" s="61"/>
      <c r="AJ375" s="61"/>
      <c r="AK375" s="61"/>
      <c r="AL375" s="291">
        <v>22</v>
      </c>
      <c r="AM375" s="201">
        <v>21</v>
      </c>
      <c r="AN375" s="201">
        <v>15</v>
      </c>
      <c r="AO375" s="61"/>
      <c r="AP375" s="61"/>
      <c r="AQ375" s="61"/>
      <c r="AR375" s="61"/>
      <c r="AS375" s="101" t="s">
        <v>177</v>
      </c>
      <c r="AT375" s="206" t="str">
        <f t="shared" si="5"/>
        <v>44661-374</v>
      </c>
    </row>
    <row r="376" spans="1:46" x14ac:dyDescent="0.35">
      <c r="A376" s="204">
        <v>375</v>
      </c>
      <c r="B376" s="14" t="s">
        <v>83</v>
      </c>
      <c r="C376" s="1" t="s">
        <v>152</v>
      </c>
      <c r="D376" s="1" t="s">
        <v>161</v>
      </c>
      <c r="E376" s="12">
        <v>44666</v>
      </c>
      <c r="F376" s="201">
        <v>1.3</v>
      </c>
      <c r="G376" s="201">
        <v>1.1000000000000001</v>
      </c>
      <c r="H376" s="201">
        <v>0</v>
      </c>
      <c r="I376" s="201">
        <v>0</v>
      </c>
      <c r="J376" s="201">
        <v>0</v>
      </c>
      <c r="K376" s="201">
        <v>0</v>
      </c>
      <c r="L376" s="201"/>
      <c r="M376" s="201">
        <v>9.5</v>
      </c>
      <c r="N376" s="201">
        <v>1.1000000000000001</v>
      </c>
      <c r="O376" s="201">
        <v>0</v>
      </c>
      <c r="P376" s="201">
        <v>1095.5999999999999</v>
      </c>
      <c r="Q376" s="201">
        <v>1155.5999999999999</v>
      </c>
      <c r="R376" s="201"/>
      <c r="S376" s="201"/>
      <c r="T376" s="201">
        <v>3678.3</v>
      </c>
      <c r="U376" s="201">
        <v>12.3</v>
      </c>
      <c r="V376" s="201"/>
      <c r="W376" s="201"/>
      <c r="X376" s="201"/>
      <c r="Y376" s="201"/>
      <c r="Z376" s="201"/>
      <c r="AA376" s="61"/>
      <c r="AB376" s="201"/>
      <c r="AC376" s="61"/>
      <c r="AD376" s="201">
        <v>6.4</v>
      </c>
      <c r="AE376" s="61"/>
      <c r="AF376" s="61">
        <v>0</v>
      </c>
      <c r="AG376" s="61"/>
      <c r="AH376" s="61"/>
      <c r="AI376" s="61"/>
      <c r="AJ376" s="61"/>
      <c r="AK376" s="61"/>
      <c r="AL376" s="291">
        <v>23</v>
      </c>
      <c r="AM376" s="201">
        <v>22</v>
      </c>
      <c r="AN376" s="201">
        <v>15</v>
      </c>
      <c r="AO376" s="61"/>
      <c r="AP376" s="61"/>
      <c r="AQ376" s="61"/>
      <c r="AR376" s="61"/>
      <c r="AS376" s="101" t="s">
        <v>178</v>
      </c>
      <c r="AT376" s="206" t="str">
        <f t="shared" si="5"/>
        <v>44666-375</v>
      </c>
    </row>
    <row r="377" spans="1:46" x14ac:dyDescent="0.35">
      <c r="A377" s="204">
        <v>376</v>
      </c>
      <c r="B377" s="14" t="s">
        <v>83</v>
      </c>
      <c r="C377" s="1" t="s">
        <v>152</v>
      </c>
      <c r="D377" s="1" t="s">
        <v>161</v>
      </c>
      <c r="E377" s="12">
        <v>44666</v>
      </c>
      <c r="F377" s="201">
        <v>1.5</v>
      </c>
      <c r="G377" s="201">
        <v>1.1000000000000001</v>
      </c>
      <c r="H377" s="201">
        <v>0.3</v>
      </c>
      <c r="I377" s="201">
        <v>0</v>
      </c>
      <c r="J377" s="201">
        <v>0</v>
      </c>
      <c r="K377" s="201">
        <v>0</v>
      </c>
      <c r="L377" s="201"/>
      <c r="M377" s="201">
        <v>9.4</v>
      </c>
      <c r="N377" s="201">
        <v>0.7</v>
      </c>
      <c r="O377" s="201">
        <v>0.1</v>
      </c>
      <c r="P377" s="201">
        <v>1033.5</v>
      </c>
      <c r="Q377" s="201">
        <v>1106.9000000000001</v>
      </c>
      <c r="R377" s="201"/>
      <c r="S377" s="201"/>
      <c r="T377" s="201">
        <v>3564.1</v>
      </c>
      <c r="U377" s="201">
        <v>12.1</v>
      </c>
      <c r="V377" s="201"/>
      <c r="W377" s="201"/>
      <c r="X377" s="201"/>
      <c r="Y377" s="201"/>
      <c r="Z377" s="201"/>
      <c r="AA377" s="61"/>
      <c r="AB377" s="201"/>
      <c r="AC377" s="61"/>
      <c r="AD377" s="201">
        <v>6.3</v>
      </c>
      <c r="AE377" s="61"/>
      <c r="AF377" s="61">
        <v>0</v>
      </c>
      <c r="AG377" s="61"/>
      <c r="AH377" s="61"/>
      <c r="AI377" s="61"/>
      <c r="AJ377" s="61"/>
      <c r="AK377" s="61"/>
      <c r="AL377" s="291">
        <v>23</v>
      </c>
      <c r="AM377" s="201">
        <v>22</v>
      </c>
      <c r="AN377" s="201">
        <v>15</v>
      </c>
      <c r="AO377" s="61"/>
      <c r="AP377" s="61"/>
      <c r="AQ377" s="61"/>
      <c r="AR377" s="61"/>
      <c r="AS377" s="101" t="s">
        <v>179</v>
      </c>
      <c r="AT377" s="206" t="str">
        <f t="shared" si="5"/>
        <v>44666-376</v>
      </c>
    </row>
    <row r="378" spans="1:46" x14ac:dyDescent="0.35">
      <c r="A378" s="204">
        <v>377</v>
      </c>
      <c r="B378" s="14" t="s">
        <v>83</v>
      </c>
      <c r="C378" s="1" t="s">
        <v>152</v>
      </c>
      <c r="D378" s="1" t="s">
        <v>161</v>
      </c>
      <c r="E378" s="12">
        <v>44666</v>
      </c>
      <c r="F378" s="201">
        <v>1.1000000000000001</v>
      </c>
      <c r="G378" s="201">
        <v>0.9</v>
      </c>
      <c r="H378" s="201">
        <v>0</v>
      </c>
      <c r="I378" s="201">
        <v>0</v>
      </c>
      <c r="J378" s="201">
        <v>0</v>
      </c>
      <c r="K378" s="201">
        <v>0</v>
      </c>
      <c r="L378" s="201"/>
      <c r="M378" s="201">
        <v>8.8000000000000007</v>
      </c>
      <c r="N378" s="201">
        <v>0.6</v>
      </c>
      <c r="O378" s="201">
        <v>0.4</v>
      </c>
      <c r="P378" s="201">
        <v>1037</v>
      </c>
      <c r="Q378" s="201">
        <v>1124.7</v>
      </c>
      <c r="R378" s="201"/>
      <c r="S378" s="201"/>
      <c r="T378" s="201">
        <v>3562.8</v>
      </c>
      <c r="U378" s="201">
        <v>11.7</v>
      </c>
      <c r="V378" s="201"/>
      <c r="W378" s="201"/>
      <c r="X378" s="201"/>
      <c r="Y378" s="201"/>
      <c r="Z378" s="201"/>
      <c r="AA378" s="61"/>
      <c r="AB378" s="201"/>
      <c r="AC378" s="61"/>
      <c r="AD378" s="201">
        <v>6.4</v>
      </c>
      <c r="AE378" s="61"/>
      <c r="AF378" s="61">
        <v>0</v>
      </c>
      <c r="AG378" s="61"/>
      <c r="AH378" s="61"/>
      <c r="AI378" s="61"/>
      <c r="AJ378" s="61"/>
      <c r="AK378" s="61"/>
      <c r="AL378" s="291">
        <v>23</v>
      </c>
      <c r="AM378" s="201">
        <v>22</v>
      </c>
      <c r="AN378" s="201">
        <v>15</v>
      </c>
      <c r="AO378" s="61"/>
      <c r="AP378" s="61"/>
      <c r="AQ378" s="61"/>
      <c r="AR378" s="61"/>
      <c r="AS378" s="101" t="s">
        <v>180</v>
      </c>
      <c r="AT378" s="206" t="str">
        <f t="shared" si="5"/>
        <v>44666-377</v>
      </c>
    </row>
    <row r="379" spans="1:46" x14ac:dyDescent="0.35">
      <c r="A379" s="204">
        <v>378</v>
      </c>
      <c r="B379" s="14" t="s">
        <v>83</v>
      </c>
      <c r="C379" s="1" t="s">
        <v>152</v>
      </c>
      <c r="D379" s="1" t="s">
        <v>161</v>
      </c>
      <c r="E379" s="12">
        <v>44666</v>
      </c>
      <c r="F379" s="201">
        <v>1.1000000000000001</v>
      </c>
      <c r="G379" s="201">
        <v>0.8</v>
      </c>
      <c r="H379" s="201">
        <v>0</v>
      </c>
      <c r="I379" s="201">
        <v>0</v>
      </c>
      <c r="J379" s="201">
        <v>0</v>
      </c>
      <c r="K379" s="201">
        <v>0</v>
      </c>
      <c r="L379" s="201"/>
      <c r="M379" s="201">
        <v>8.5</v>
      </c>
      <c r="N379" s="201">
        <v>0.5</v>
      </c>
      <c r="O379" s="201">
        <v>0.2</v>
      </c>
      <c r="P379" s="201">
        <v>1074.3</v>
      </c>
      <c r="Q379" s="201">
        <v>1157.0999999999999</v>
      </c>
      <c r="R379" s="201"/>
      <c r="S379" s="201"/>
      <c r="T379" s="201">
        <v>3587.3</v>
      </c>
      <c r="U379" s="201">
        <v>12.4</v>
      </c>
      <c r="V379" s="201"/>
      <c r="W379" s="201"/>
      <c r="X379" s="201"/>
      <c r="Y379" s="201"/>
      <c r="Z379" s="201"/>
      <c r="AA379" s="61"/>
      <c r="AB379" s="201"/>
      <c r="AC379" s="61"/>
      <c r="AD379" s="201">
        <v>6.3</v>
      </c>
      <c r="AE379" s="61"/>
      <c r="AF379" s="61">
        <v>0</v>
      </c>
      <c r="AG379" s="61"/>
      <c r="AH379" s="61"/>
      <c r="AI379" s="61"/>
      <c r="AJ379" s="61"/>
      <c r="AK379" s="61"/>
      <c r="AL379" s="291">
        <v>23</v>
      </c>
      <c r="AM379" s="201">
        <v>22</v>
      </c>
      <c r="AN379" s="201">
        <v>14</v>
      </c>
      <c r="AO379" s="61"/>
      <c r="AP379" s="61"/>
      <c r="AQ379" s="61"/>
      <c r="AR379" s="61"/>
      <c r="AS379" s="101" t="s">
        <v>177</v>
      </c>
      <c r="AT379" s="206" t="str">
        <f t="shared" si="5"/>
        <v>44666-378</v>
      </c>
    </row>
    <row r="380" spans="1:46" x14ac:dyDescent="0.35">
      <c r="A380" s="204">
        <v>379</v>
      </c>
      <c r="B380" s="14" t="s">
        <v>83</v>
      </c>
      <c r="C380" s="1" t="s">
        <v>152</v>
      </c>
      <c r="D380" s="1" t="s">
        <v>161</v>
      </c>
      <c r="E380" s="12">
        <v>44666</v>
      </c>
      <c r="F380" s="201">
        <v>1.3</v>
      </c>
      <c r="G380" s="201">
        <v>0.7</v>
      </c>
      <c r="H380" s="201">
        <v>0</v>
      </c>
      <c r="I380" s="201">
        <v>0</v>
      </c>
      <c r="J380" s="201">
        <v>0</v>
      </c>
      <c r="K380" s="201">
        <v>0</v>
      </c>
      <c r="L380" s="201"/>
      <c r="M380" s="201">
        <v>4.9000000000000004</v>
      </c>
      <c r="N380" s="201">
        <v>0.9</v>
      </c>
      <c r="O380" s="201">
        <v>0.5</v>
      </c>
      <c r="P380" s="201">
        <v>1149.0999999999999</v>
      </c>
      <c r="Q380" s="201">
        <v>1209.0999999999999</v>
      </c>
      <c r="R380" s="201"/>
      <c r="S380" s="201"/>
      <c r="T380" s="201">
        <v>3421.8</v>
      </c>
      <c r="U380" s="201">
        <v>13.2</v>
      </c>
      <c r="V380" s="201"/>
      <c r="W380" s="201"/>
      <c r="X380" s="201"/>
      <c r="Y380" s="201"/>
      <c r="Z380" s="201"/>
      <c r="AA380" s="61"/>
      <c r="AB380" s="201"/>
      <c r="AC380" s="61"/>
      <c r="AD380" s="201">
        <v>6.4</v>
      </c>
      <c r="AE380" s="61"/>
      <c r="AF380" s="61">
        <v>0</v>
      </c>
      <c r="AG380" s="61"/>
      <c r="AH380" s="61"/>
      <c r="AI380" s="61"/>
      <c r="AJ380" s="61"/>
      <c r="AK380" s="61"/>
      <c r="AL380" s="291">
        <v>22</v>
      </c>
      <c r="AM380" s="201">
        <v>21</v>
      </c>
      <c r="AN380" s="201">
        <v>13</v>
      </c>
      <c r="AO380" s="61"/>
      <c r="AP380" s="61"/>
      <c r="AQ380" s="61"/>
      <c r="AR380" s="61"/>
      <c r="AS380" s="101" t="s">
        <v>184</v>
      </c>
      <c r="AT380" s="206" t="str">
        <f t="shared" si="5"/>
        <v>44666-379</v>
      </c>
    </row>
    <row r="381" spans="1:46" x14ac:dyDescent="0.35">
      <c r="A381" s="204">
        <v>380</v>
      </c>
      <c r="B381" s="14" t="s">
        <v>83</v>
      </c>
      <c r="C381" s="1" t="s">
        <v>160</v>
      </c>
      <c r="D381" s="1" t="s">
        <v>161</v>
      </c>
      <c r="E381" s="12">
        <v>44667</v>
      </c>
      <c r="F381" s="201">
        <v>1.7</v>
      </c>
      <c r="G381" s="201">
        <v>1.4</v>
      </c>
      <c r="H381" s="201">
        <v>0.4</v>
      </c>
      <c r="I381" s="201">
        <v>0</v>
      </c>
      <c r="J381" s="201">
        <v>0</v>
      </c>
      <c r="K381" s="201">
        <v>0</v>
      </c>
      <c r="L381" s="201"/>
      <c r="M381" s="201">
        <v>8.4</v>
      </c>
      <c r="N381" s="201">
        <v>1.4</v>
      </c>
      <c r="O381" s="201">
        <v>2.4</v>
      </c>
      <c r="P381" s="201">
        <v>1255.9000000000001</v>
      </c>
      <c r="Q381" s="201">
        <v>1346.8</v>
      </c>
      <c r="R381" s="201"/>
      <c r="S381" s="201"/>
      <c r="T381" s="201">
        <v>2380.1999999999998</v>
      </c>
      <c r="U381" s="201">
        <v>501.6</v>
      </c>
      <c r="V381" s="201"/>
      <c r="W381" s="201"/>
      <c r="X381" s="201"/>
      <c r="Y381" s="201"/>
      <c r="Z381" s="201"/>
      <c r="AA381" s="61"/>
      <c r="AB381" s="201"/>
      <c r="AC381" s="61"/>
      <c r="AD381" s="201">
        <v>15.3</v>
      </c>
      <c r="AE381" s="61"/>
      <c r="AF381" s="61">
        <v>0</v>
      </c>
      <c r="AG381" s="61"/>
      <c r="AH381" s="61"/>
      <c r="AI381" s="61"/>
      <c r="AJ381" s="61"/>
      <c r="AK381" s="61"/>
      <c r="AL381" s="291">
        <v>23</v>
      </c>
      <c r="AM381" s="201">
        <v>22</v>
      </c>
      <c r="AN381" s="201">
        <v>15</v>
      </c>
      <c r="AO381" s="61"/>
      <c r="AP381" s="61"/>
      <c r="AQ381" s="61"/>
      <c r="AR381" s="61"/>
      <c r="AS381" s="101" t="s">
        <v>249</v>
      </c>
      <c r="AT381" s="206" t="str">
        <f t="shared" si="5"/>
        <v>44667-380</v>
      </c>
    </row>
    <row r="382" spans="1:46" x14ac:dyDescent="0.35">
      <c r="A382" s="204">
        <v>381</v>
      </c>
      <c r="B382" s="14" t="s">
        <v>83</v>
      </c>
      <c r="C382" s="1" t="s">
        <v>198</v>
      </c>
      <c r="D382" s="1" t="s">
        <v>161</v>
      </c>
      <c r="E382" s="12">
        <v>44667</v>
      </c>
      <c r="F382" s="201">
        <v>1.2</v>
      </c>
      <c r="G382" s="201">
        <v>1</v>
      </c>
      <c r="H382" s="201">
        <v>0</v>
      </c>
      <c r="I382" s="201">
        <v>0.2</v>
      </c>
      <c r="J382" s="201">
        <v>0</v>
      </c>
      <c r="K382" s="201">
        <v>0</v>
      </c>
      <c r="L382" s="201"/>
      <c r="M382" s="201">
        <v>14.3</v>
      </c>
      <c r="N382" s="201">
        <v>1.5</v>
      </c>
      <c r="O382" s="201">
        <v>0.8</v>
      </c>
      <c r="P382" s="201">
        <v>1051.0999999999999</v>
      </c>
      <c r="Q382" s="201">
        <v>1089.5999999999999</v>
      </c>
      <c r="R382" s="201"/>
      <c r="S382" s="201"/>
      <c r="T382" s="201">
        <v>3574.8</v>
      </c>
      <c r="U382" s="201">
        <v>14.3</v>
      </c>
      <c r="V382" s="201"/>
      <c r="W382" s="201"/>
      <c r="X382" s="201"/>
      <c r="Y382" s="201"/>
      <c r="Z382" s="201"/>
      <c r="AA382" s="61"/>
      <c r="AB382" s="201"/>
      <c r="AC382" s="61"/>
      <c r="AD382" s="201">
        <v>11.4</v>
      </c>
      <c r="AE382" s="61"/>
      <c r="AF382" s="61">
        <v>0</v>
      </c>
      <c r="AG382" s="61"/>
      <c r="AH382" s="61"/>
      <c r="AI382" s="61"/>
      <c r="AJ382" s="61"/>
      <c r="AK382" s="61"/>
      <c r="AL382" s="291">
        <v>24</v>
      </c>
      <c r="AM382" s="201">
        <v>22</v>
      </c>
      <c r="AN382" s="201">
        <v>15</v>
      </c>
      <c r="AO382" s="61"/>
      <c r="AP382" s="61"/>
      <c r="AQ382" s="61"/>
      <c r="AR382" s="61"/>
      <c r="AS382" s="101" t="s">
        <v>250</v>
      </c>
      <c r="AT382" s="206" t="str">
        <f t="shared" si="5"/>
        <v>44667-381</v>
      </c>
    </row>
    <row r="383" spans="1:46" x14ac:dyDescent="0.35">
      <c r="A383" s="204">
        <v>382</v>
      </c>
      <c r="B383" s="14" t="s">
        <v>83</v>
      </c>
      <c r="C383" s="1" t="s">
        <v>155</v>
      </c>
      <c r="D383" s="1" t="s">
        <v>161</v>
      </c>
      <c r="E383" s="12">
        <v>44667</v>
      </c>
      <c r="F383" s="201">
        <v>1.2</v>
      </c>
      <c r="G383" s="201">
        <v>1</v>
      </c>
      <c r="H383" s="201">
        <v>0.1</v>
      </c>
      <c r="I383" s="201">
        <v>0</v>
      </c>
      <c r="J383" s="201">
        <v>0</v>
      </c>
      <c r="K383" s="201">
        <v>0</v>
      </c>
      <c r="L383" s="201"/>
      <c r="M383" s="201">
        <v>14.1</v>
      </c>
      <c r="N383" s="201">
        <v>1.5</v>
      </c>
      <c r="O383" s="201">
        <v>0.9</v>
      </c>
      <c r="P383" s="201">
        <v>1067.0999999999999</v>
      </c>
      <c r="Q383" s="201">
        <v>1116.5999999999999</v>
      </c>
      <c r="R383" s="201"/>
      <c r="S383" s="201"/>
      <c r="T383" s="201">
        <v>3636</v>
      </c>
      <c r="U383" s="201">
        <v>13.8</v>
      </c>
      <c r="V383" s="201"/>
      <c r="W383" s="201"/>
      <c r="X383" s="201"/>
      <c r="Y383" s="201"/>
      <c r="Z383" s="201"/>
      <c r="AA383" s="61"/>
      <c r="AB383" s="201"/>
      <c r="AC383" s="61"/>
      <c r="AD383" s="201">
        <v>25.1</v>
      </c>
      <c r="AE383" s="61"/>
      <c r="AF383" s="61">
        <v>0</v>
      </c>
      <c r="AG383" s="61"/>
      <c r="AH383" s="61"/>
      <c r="AI383" s="61"/>
      <c r="AJ383" s="61"/>
      <c r="AK383" s="61"/>
      <c r="AL383" s="291">
        <v>22</v>
      </c>
      <c r="AM383" s="201">
        <v>20</v>
      </c>
      <c r="AN383" s="201">
        <v>14</v>
      </c>
      <c r="AO383" s="61"/>
      <c r="AP383" s="61"/>
      <c r="AQ383" s="61"/>
      <c r="AR383" s="61"/>
      <c r="AS383" s="101" t="s">
        <v>251</v>
      </c>
      <c r="AT383" s="206" t="str">
        <f t="shared" si="5"/>
        <v>44667-382</v>
      </c>
    </row>
    <row r="384" spans="1:46" x14ac:dyDescent="0.35">
      <c r="A384" s="204">
        <v>383</v>
      </c>
      <c r="B384" s="14" t="s">
        <v>83</v>
      </c>
      <c r="C384" s="1" t="s">
        <v>160</v>
      </c>
      <c r="D384" s="1" t="s">
        <v>161</v>
      </c>
      <c r="E384" s="12">
        <v>44668</v>
      </c>
      <c r="F384" s="201">
        <v>1.6</v>
      </c>
      <c r="G384" s="201">
        <v>1.5</v>
      </c>
      <c r="H384" s="201">
        <v>0</v>
      </c>
      <c r="I384" s="201">
        <v>0</v>
      </c>
      <c r="J384" s="201">
        <v>0</v>
      </c>
      <c r="K384" s="201">
        <v>0</v>
      </c>
      <c r="L384" s="201"/>
      <c r="M384" s="201">
        <v>9.1</v>
      </c>
      <c r="N384" s="201">
        <v>1.4</v>
      </c>
      <c r="O384" s="201">
        <v>1.9</v>
      </c>
      <c r="P384" s="201">
        <v>1271.4000000000001</v>
      </c>
      <c r="Q384" s="201">
        <v>1400.7</v>
      </c>
      <c r="R384" s="201"/>
      <c r="S384" s="201"/>
      <c r="T384" s="201">
        <v>2421</v>
      </c>
      <c r="U384" s="201">
        <v>506.5</v>
      </c>
      <c r="V384" s="201"/>
      <c r="W384" s="201"/>
      <c r="X384" s="201"/>
      <c r="Y384" s="201"/>
      <c r="Z384" s="201"/>
      <c r="AA384" s="61"/>
      <c r="AB384" s="201"/>
      <c r="AC384" s="61"/>
      <c r="AD384" s="201">
        <v>15.3</v>
      </c>
      <c r="AE384" s="61"/>
      <c r="AF384" s="61">
        <v>0</v>
      </c>
      <c r="AG384" s="61"/>
      <c r="AH384" s="61"/>
      <c r="AI384" s="61"/>
      <c r="AJ384" s="61"/>
      <c r="AK384" s="61"/>
      <c r="AL384" s="291">
        <v>23</v>
      </c>
      <c r="AM384" s="201">
        <v>22</v>
      </c>
      <c r="AN384" s="201">
        <v>15</v>
      </c>
      <c r="AO384" s="61"/>
      <c r="AP384" s="61"/>
      <c r="AQ384" s="61"/>
      <c r="AR384" s="61"/>
      <c r="AS384" s="101" t="s">
        <v>185</v>
      </c>
      <c r="AT384" s="206" t="str">
        <f t="shared" si="5"/>
        <v>44668-383</v>
      </c>
    </row>
    <row r="385" spans="1:46" x14ac:dyDescent="0.35">
      <c r="A385" s="204">
        <v>384</v>
      </c>
      <c r="B385" s="14" t="s">
        <v>83</v>
      </c>
      <c r="C385" s="1" t="s">
        <v>198</v>
      </c>
      <c r="D385" s="1" t="s">
        <v>161</v>
      </c>
      <c r="E385" s="12">
        <v>44668</v>
      </c>
      <c r="F385" s="201">
        <v>1.2</v>
      </c>
      <c r="G385" s="201">
        <v>0.8</v>
      </c>
      <c r="H385" s="201">
        <v>0</v>
      </c>
      <c r="I385" s="201">
        <v>0.1</v>
      </c>
      <c r="J385" s="201">
        <v>0</v>
      </c>
      <c r="K385" s="201">
        <v>0</v>
      </c>
      <c r="L385" s="201"/>
      <c r="M385" s="201">
        <v>11.1</v>
      </c>
      <c r="N385" s="201">
        <v>1.9</v>
      </c>
      <c r="O385" s="201">
        <v>0.8</v>
      </c>
      <c r="P385" s="201">
        <v>1112.0999999999999</v>
      </c>
      <c r="Q385" s="201">
        <v>1151.4000000000001</v>
      </c>
      <c r="R385" s="201"/>
      <c r="S385" s="201"/>
      <c r="T385" s="201">
        <v>3468.8</v>
      </c>
      <c r="U385" s="201">
        <v>14.5</v>
      </c>
      <c r="V385" s="201"/>
      <c r="W385" s="201"/>
      <c r="X385" s="201"/>
      <c r="Y385" s="201"/>
      <c r="Z385" s="201"/>
      <c r="AA385" s="61"/>
      <c r="AB385" s="201"/>
      <c r="AC385" s="61"/>
      <c r="AD385" s="201">
        <v>11.4</v>
      </c>
      <c r="AE385" s="61"/>
      <c r="AF385" s="61">
        <v>0</v>
      </c>
      <c r="AG385" s="61"/>
      <c r="AH385" s="61"/>
      <c r="AI385" s="61"/>
      <c r="AJ385" s="61"/>
      <c r="AK385" s="61"/>
      <c r="AL385" s="291">
        <v>23</v>
      </c>
      <c r="AM385" s="201">
        <v>22</v>
      </c>
      <c r="AN385" s="201">
        <v>14</v>
      </c>
      <c r="AO385" s="61"/>
      <c r="AP385" s="61"/>
      <c r="AQ385" s="61"/>
      <c r="AR385" s="61"/>
      <c r="AS385" s="101" t="s">
        <v>252</v>
      </c>
      <c r="AT385" s="206" t="str">
        <f t="shared" si="5"/>
        <v>44668-384</v>
      </c>
    </row>
    <row r="386" spans="1:46" x14ac:dyDescent="0.35">
      <c r="A386" s="204">
        <v>385</v>
      </c>
      <c r="B386" s="14" t="s">
        <v>83</v>
      </c>
      <c r="C386" s="1" t="s">
        <v>155</v>
      </c>
      <c r="D386" s="1" t="s">
        <v>161</v>
      </c>
      <c r="E386" s="12">
        <v>44668</v>
      </c>
      <c r="F386" s="201">
        <v>1.4</v>
      </c>
      <c r="G386" s="201">
        <v>0.9</v>
      </c>
      <c r="H386" s="201">
        <v>0</v>
      </c>
      <c r="I386" s="201">
        <v>0.2</v>
      </c>
      <c r="J386" s="201">
        <v>0</v>
      </c>
      <c r="K386" s="201">
        <v>0</v>
      </c>
      <c r="L386" s="201"/>
      <c r="M386" s="201">
        <v>11.5</v>
      </c>
      <c r="N386" s="201">
        <v>2.2000000000000002</v>
      </c>
      <c r="O386" s="201">
        <v>0.4</v>
      </c>
      <c r="P386" s="201">
        <v>1193.8</v>
      </c>
      <c r="Q386" s="201">
        <v>1243.2</v>
      </c>
      <c r="R386" s="201"/>
      <c r="S386" s="201"/>
      <c r="T386" s="201">
        <v>3370.1</v>
      </c>
      <c r="U386" s="201">
        <v>17.2</v>
      </c>
      <c r="V386" s="201"/>
      <c r="W386" s="201"/>
      <c r="X386" s="201"/>
      <c r="Y386" s="201"/>
      <c r="Z386" s="201"/>
      <c r="AA386" s="61"/>
      <c r="AB386" s="201"/>
      <c r="AC386" s="61"/>
      <c r="AD386" s="201">
        <v>25.2</v>
      </c>
      <c r="AE386" s="61"/>
      <c r="AF386" s="61">
        <v>0</v>
      </c>
      <c r="AG386" s="61"/>
      <c r="AH386" s="61"/>
      <c r="AI386" s="61"/>
      <c r="AJ386" s="61"/>
      <c r="AK386" s="61"/>
      <c r="AL386" s="291">
        <v>22</v>
      </c>
      <c r="AM386" s="201">
        <v>20</v>
      </c>
      <c r="AN386" s="201">
        <v>14</v>
      </c>
      <c r="AO386" s="61"/>
      <c r="AP386" s="61"/>
      <c r="AQ386" s="61"/>
      <c r="AR386" s="61"/>
      <c r="AS386" s="101" t="s">
        <v>215</v>
      </c>
      <c r="AT386" s="206" t="str">
        <f t="shared" ref="AT386:AT449" si="6">CONCATENATE(E386,"-",A386)</f>
        <v>44668-385</v>
      </c>
    </row>
    <row r="387" spans="1:46" x14ac:dyDescent="0.35">
      <c r="A387" s="204">
        <v>386</v>
      </c>
      <c r="B387" s="14" t="s">
        <v>83</v>
      </c>
      <c r="C387" s="1" t="s">
        <v>152</v>
      </c>
      <c r="D387" s="1" t="s">
        <v>161</v>
      </c>
      <c r="E387" s="12">
        <v>44672</v>
      </c>
      <c r="F387" s="201">
        <v>1.3</v>
      </c>
      <c r="G387" s="201">
        <v>0.8</v>
      </c>
      <c r="H387" s="201">
        <v>0.1</v>
      </c>
      <c r="I387" s="201">
        <v>0</v>
      </c>
      <c r="J387" s="201">
        <v>0.2</v>
      </c>
      <c r="K387" s="201">
        <v>0</v>
      </c>
      <c r="L387" s="201"/>
      <c r="M387" s="201">
        <v>10.199999999999999</v>
      </c>
      <c r="N387" s="201">
        <v>1.3</v>
      </c>
      <c r="O387" s="201">
        <v>1</v>
      </c>
      <c r="P387" s="201">
        <v>1030.5999999999999</v>
      </c>
      <c r="Q387" s="201">
        <v>1082.3</v>
      </c>
      <c r="R387" s="201"/>
      <c r="S387" s="201"/>
      <c r="T387" s="201">
        <v>3472</v>
      </c>
      <c r="U387" s="201">
        <v>13.7</v>
      </c>
      <c r="V387" s="201"/>
      <c r="W387" s="201"/>
      <c r="X387" s="201"/>
      <c r="Y387" s="201"/>
      <c r="Z387" s="201"/>
      <c r="AA387" s="61"/>
      <c r="AB387" s="201"/>
      <c r="AC387" s="61"/>
      <c r="AD387" s="201">
        <v>6.4</v>
      </c>
      <c r="AE387" s="61"/>
      <c r="AF387" s="61">
        <v>0</v>
      </c>
      <c r="AG387" s="61"/>
      <c r="AH387" s="61"/>
      <c r="AI387" s="61"/>
      <c r="AJ387" s="61"/>
      <c r="AK387" s="61"/>
      <c r="AL387" s="291">
        <v>23</v>
      </c>
      <c r="AM387" s="201">
        <v>22</v>
      </c>
      <c r="AN387" s="201">
        <v>14</v>
      </c>
      <c r="AO387" s="61"/>
      <c r="AP387" s="61"/>
      <c r="AQ387" s="61"/>
      <c r="AR387" s="61"/>
      <c r="AS387" s="101" t="s">
        <v>178</v>
      </c>
      <c r="AT387" s="206" t="str">
        <f t="shared" si="6"/>
        <v>44672-386</v>
      </c>
    </row>
    <row r="388" spans="1:46" x14ac:dyDescent="0.35">
      <c r="A388" s="204">
        <v>387</v>
      </c>
      <c r="B388" s="14" t="s">
        <v>83</v>
      </c>
      <c r="C388" s="1" t="s">
        <v>160</v>
      </c>
      <c r="D388" s="1" t="s">
        <v>161</v>
      </c>
      <c r="E388" s="12">
        <v>44672</v>
      </c>
      <c r="F388" s="201">
        <v>1.8</v>
      </c>
      <c r="G388" s="201">
        <v>1.2</v>
      </c>
      <c r="H388" s="201">
        <v>0.1</v>
      </c>
      <c r="I388" s="201">
        <v>0</v>
      </c>
      <c r="J388" s="201">
        <v>0</v>
      </c>
      <c r="K388" s="201">
        <v>0</v>
      </c>
      <c r="L388" s="201"/>
      <c r="M388" s="201">
        <v>4.7</v>
      </c>
      <c r="N388" s="201">
        <v>0.8</v>
      </c>
      <c r="O388" s="201">
        <v>2.1</v>
      </c>
      <c r="P388" s="201">
        <v>1184.4000000000001</v>
      </c>
      <c r="Q388" s="201">
        <v>1326.9</v>
      </c>
      <c r="R388" s="201"/>
      <c r="S388" s="201"/>
      <c r="T388" s="201">
        <v>2225.5</v>
      </c>
      <c r="U388" s="201">
        <v>468.8</v>
      </c>
      <c r="V388" s="201"/>
      <c r="W388" s="201"/>
      <c r="X388" s="201"/>
      <c r="Y388" s="201"/>
      <c r="Z388" s="201"/>
      <c r="AA388" s="61"/>
      <c r="AB388" s="201"/>
      <c r="AC388" s="61"/>
      <c r="AD388" s="201">
        <v>15.3</v>
      </c>
      <c r="AE388" s="61"/>
      <c r="AF388" s="61">
        <v>0</v>
      </c>
      <c r="AG388" s="61"/>
      <c r="AH388" s="61"/>
      <c r="AI388" s="61"/>
      <c r="AJ388" s="61"/>
      <c r="AK388" s="61"/>
      <c r="AL388" s="291">
        <v>24</v>
      </c>
      <c r="AM388" s="201">
        <v>23</v>
      </c>
      <c r="AN388" s="201">
        <v>16</v>
      </c>
      <c r="AO388" s="61"/>
      <c r="AP388" s="61"/>
      <c r="AQ388" s="61"/>
      <c r="AR388" s="61"/>
      <c r="AS388" s="101" t="s">
        <v>179</v>
      </c>
      <c r="AT388" s="206" t="str">
        <f t="shared" si="6"/>
        <v>44672-387</v>
      </c>
    </row>
    <row r="389" spans="1:46" x14ac:dyDescent="0.35">
      <c r="A389" s="204">
        <v>388</v>
      </c>
      <c r="B389" s="14" t="s">
        <v>83</v>
      </c>
      <c r="C389" s="1" t="s">
        <v>152</v>
      </c>
      <c r="D389" s="1" t="s">
        <v>161</v>
      </c>
      <c r="E389" s="12">
        <v>44672</v>
      </c>
      <c r="F389" s="201">
        <v>1.1000000000000001</v>
      </c>
      <c r="G389" s="201">
        <v>0.7</v>
      </c>
      <c r="H389" s="201">
        <v>0.1</v>
      </c>
      <c r="I389" s="201">
        <v>0</v>
      </c>
      <c r="J389" s="201">
        <v>0</v>
      </c>
      <c r="K389" s="201">
        <v>0</v>
      </c>
      <c r="L389" s="201"/>
      <c r="M389" s="201">
        <v>8.8000000000000007</v>
      </c>
      <c r="N389" s="201">
        <v>1.2</v>
      </c>
      <c r="O389" s="201">
        <v>0.5</v>
      </c>
      <c r="P389" s="201">
        <v>1064.0999999999999</v>
      </c>
      <c r="Q389" s="201">
        <v>1121.5999999999999</v>
      </c>
      <c r="R389" s="201"/>
      <c r="S389" s="201"/>
      <c r="T389" s="201">
        <v>3448.1</v>
      </c>
      <c r="U389" s="201">
        <v>14.4</v>
      </c>
      <c r="V389" s="201"/>
      <c r="W389" s="201"/>
      <c r="X389" s="201"/>
      <c r="Y389" s="201"/>
      <c r="Z389" s="201"/>
      <c r="AA389" s="61"/>
      <c r="AB389" s="201"/>
      <c r="AC389" s="61"/>
      <c r="AD389" s="201">
        <v>6.3</v>
      </c>
      <c r="AE389" s="61"/>
      <c r="AF389" s="61">
        <v>0</v>
      </c>
      <c r="AG389" s="61"/>
      <c r="AH389" s="61"/>
      <c r="AI389" s="61"/>
      <c r="AJ389" s="61"/>
      <c r="AK389" s="61"/>
      <c r="AL389" s="291">
        <v>23</v>
      </c>
      <c r="AM389" s="201">
        <v>22</v>
      </c>
      <c r="AN389" s="201">
        <v>15</v>
      </c>
      <c r="AO389" s="61"/>
      <c r="AP389" s="61"/>
      <c r="AQ389" s="61"/>
      <c r="AR389" s="61"/>
      <c r="AS389" s="101" t="s">
        <v>184</v>
      </c>
      <c r="AT389" s="206" t="str">
        <f t="shared" si="6"/>
        <v>44672-388</v>
      </c>
    </row>
    <row r="390" spans="1:46" x14ac:dyDescent="0.35">
      <c r="A390" s="204">
        <v>389</v>
      </c>
      <c r="B390" s="14" t="s">
        <v>83</v>
      </c>
      <c r="C390" s="1" t="s">
        <v>160</v>
      </c>
      <c r="D390" s="1" t="s">
        <v>161</v>
      </c>
      <c r="E390" s="12">
        <v>44672</v>
      </c>
      <c r="F390" s="201">
        <v>1.7</v>
      </c>
      <c r="G390" s="201">
        <v>1.3</v>
      </c>
      <c r="H390" s="201">
        <v>0.1</v>
      </c>
      <c r="I390" s="201">
        <v>0</v>
      </c>
      <c r="J390" s="201">
        <v>0</v>
      </c>
      <c r="K390" s="201">
        <v>0</v>
      </c>
      <c r="L390" s="201"/>
      <c r="M390" s="201">
        <v>5.4</v>
      </c>
      <c r="N390" s="201">
        <v>0.9</v>
      </c>
      <c r="O390" s="201">
        <v>2.1</v>
      </c>
      <c r="P390" s="201">
        <v>1263.4000000000001</v>
      </c>
      <c r="Q390" s="201">
        <v>1409.9</v>
      </c>
      <c r="R390" s="201"/>
      <c r="S390" s="201"/>
      <c r="T390" s="201">
        <v>2367.6999999999998</v>
      </c>
      <c r="U390" s="201">
        <v>494.4</v>
      </c>
      <c r="V390" s="201"/>
      <c r="W390" s="201"/>
      <c r="X390" s="201"/>
      <c r="Y390" s="201"/>
      <c r="Z390" s="201"/>
      <c r="AA390" s="61"/>
      <c r="AB390" s="201"/>
      <c r="AC390" s="61"/>
      <c r="AD390" s="201">
        <v>15.1</v>
      </c>
      <c r="AE390" s="61"/>
      <c r="AF390" s="61">
        <v>0</v>
      </c>
      <c r="AG390" s="61"/>
      <c r="AH390" s="61"/>
      <c r="AI390" s="61"/>
      <c r="AJ390" s="61"/>
      <c r="AK390" s="61"/>
      <c r="AL390" s="291">
        <v>23</v>
      </c>
      <c r="AM390" s="201">
        <v>22</v>
      </c>
      <c r="AN390" s="201">
        <v>15</v>
      </c>
      <c r="AO390" s="61"/>
      <c r="AP390" s="61"/>
      <c r="AQ390" s="61"/>
      <c r="AR390" s="61"/>
      <c r="AS390" s="101" t="s">
        <v>176</v>
      </c>
      <c r="AT390" s="206" t="str">
        <f t="shared" si="6"/>
        <v>44672-389</v>
      </c>
    </row>
    <row r="391" spans="1:46" x14ac:dyDescent="0.35">
      <c r="A391" s="204">
        <v>390</v>
      </c>
      <c r="B391" s="14" t="s">
        <v>83</v>
      </c>
      <c r="C391" s="1" t="s">
        <v>152</v>
      </c>
      <c r="D391" s="1" t="s">
        <v>161</v>
      </c>
      <c r="E391" s="12">
        <v>44676</v>
      </c>
      <c r="F391" s="201">
        <v>1.3</v>
      </c>
      <c r="G391" s="201">
        <v>1.3</v>
      </c>
      <c r="H391" s="201">
        <v>0</v>
      </c>
      <c r="I391" s="201">
        <v>0</v>
      </c>
      <c r="J391" s="201">
        <v>0</v>
      </c>
      <c r="K391" s="201">
        <v>0</v>
      </c>
      <c r="L391" s="201"/>
      <c r="M391" s="201">
        <v>8.1999999999999993</v>
      </c>
      <c r="N391" s="201">
        <v>1.1000000000000001</v>
      </c>
      <c r="O391" s="201">
        <v>0.1</v>
      </c>
      <c r="P391" s="201">
        <v>949.7</v>
      </c>
      <c r="Q391" s="201">
        <v>1012.8</v>
      </c>
      <c r="R391" s="201"/>
      <c r="S391" s="201"/>
      <c r="T391" s="201">
        <v>3189.5</v>
      </c>
      <c r="U391" s="201">
        <v>9.6999999999999993</v>
      </c>
      <c r="V391" s="201"/>
      <c r="W391" s="201"/>
      <c r="X391" s="201"/>
      <c r="Y391" s="201"/>
      <c r="Z391" s="201"/>
      <c r="AA391" s="61"/>
      <c r="AB391" s="201"/>
      <c r="AC391" s="61"/>
      <c r="AD391" s="201">
        <v>6.2</v>
      </c>
      <c r="AE391" s="61"/>
      <c r="AF391" s="61">
        <v>0</v>
      </c>
      <c r="AG391" s="61"/>
      <c r="AH391" s="61"/>
      <c r="AI391" s="61"/>
      <c r="AJ391" s="61"/>
      <c r="AK391" s="61"/>
      <c r="AL391" s="291">
        <v>22</v>
      </c>
      <c r="AM391" s="201">
        <v>20</v>
      </c>
      <c r="AN391" s="201">
        <v>16</v>
      </c>
      <c r="AO391" s="61"/>
      <c r="AP391" s="61"/>
      <c r="AQ391" s="61"/>
      <c r="AR391" s="61"/>
      <c r="AS391" s="101" t="s">
        <v>249</v>
      </c>
      <c r="AT391" s="206" t="str">
        <f t="shared" si="6"/>
        <v>44676-390</v>
      </c>
    </row>
    <row r="392" spans="1:46" x14ac:dyDescent="0.35">
      <c r="A392" s="204">
        <v>391</v>
      </c>
      <c r="B392" s="14" t="s">
        <v>83</v>
      </c>
      <c r="C392" s="1" t="s">
        <v>152</v>
      </c>
      <c r="D392" s="1" t="s">
        <v>161</v>
      </c>
      <c r="E392" s="12">
        <v>44676</v>
      </c>
      <c r="F392" s="201">
        <v>1.1000000000000001</v>
      </c>
      <c r="G392" s="201">
        <v>1.3</v>
      </c>
      <c r="H392" s="201">
        <v>0</v>
      </c>
      <c r="I392" s="201">
        <v>0.1</v>
      </c>
      <c r="J392" s="201">
        <v>0</v>
      </c>
      <c r="K392" s="201">
        <v>0</v>
      </c>
      <c r="L392" s="201"/>
      <c r="M392" s="201">
        <v>7.6</v>
      </c>
      <c r="N392" s="201">
        <v>0.9</v>
      </c>
      <c r="O392" s="201">
        <v>0</v>
      </c>
      <c r="P392" s="201">
        <v>939</v>
      </c>
      <c r="Q392" s="201">
        <v>1001.8</v>
      </c>
      <c r="R392" s="201"/>
      <c r="S392" s="201"/>
      <c r="T392" s="201">
        <v>3133</v>
      </c>
      <c r="U392" s="201">
        <v>9.5</v>
      </c>
      <c r="V392" s="201"/>
      <c r="W392" s="201"/>
      <c r="X392" s="201"/>
      <c r="Y392" s="201"/>
      <c r="Z392" s="201"/>
      <c r="AA392" s="61"/>
      <c r="AB392" s="201"/>
      <c r="AC392" s="61"/>
      <c r="AD392" s="201">
        <v>6.1</v>
      </c>
      <c r="AE392" s="61"/>
      <c r="AF392" s="61">
        <v>0</v>
      </c>
      <c r="AG392" s="61"/>
      <c r="AH392" s="61"/>
      <c r="AI392" s="61"/>
      <c r="AJ392" s="61"/>
      <c r="AK392" s="61"/>
      <c r="AL392" s="291">
        <v>22</v>
      </c>
      <c r="AM392" s="201">
        <v>21</v>
      </c>
      <c r="AN392" s="201">
        <v>16</v>
      </c>
      <c r="AO392" s="61"/>
      <c r="AP392" s="61"/>
      <c r="AQ392" s="61"/>
      <c r="AR392" s="61"/>
      <c r="AS392" s="101" t="s">
        <v>250</v>
      </c>
      <c r="AT392" s="206" t="str">
        <f t="shared" si="6"/>
        <v>44676-391</v>
      </c>
    </row>
    <row r="393" spans="1:46" x14ac:dyDescent="0.35">
      <c r="A393" s="204">
        <v>392</v>
      </c>
      <c r="B393" s="14" t="s">
        <v>83</v>
      </c>
      <c r="C393" s="1" t="s">
        <v>152</v>
      </c>
      <c r="D393" s="1" t="s">
        <v>161</v>
      </c>
      <c r="E393" s="12">
        <v>44676</v>
      </c>
      <c r="F393" s="201">
        <v>1.1000000000000001</v>
      </c>
      <c r="G393" s="201">
        <v>1.4</v>
      </c>
      <c r="H393" s="201">
        <v>0</v>
      </c>
      <c r="I393" s="201">
        <v>0</v>
      </c>
      <c r="J393" s="201">
        <v>0</v>
      </c>
      <c r="K393" s="201">
        <v>0</v>
      </c>
      <c r="L393" s="201"/>
      <c r="M393" s="201">
        <v>7.3</v>
      </c>
      <c r="N393" s="201">
        <v>0.9</v>
      </c>
      <c r="O393" s="201">
        <v>0</v>
      </c>
      <c r="P393" s="201">
        <v>927.7</v>
      </c>
      <c r="Q393" s="201">
        <v>993</v>
      </c>
      <c r="R393" s="201"/>
      <c r="S393" s="201"/>
      <c r="T393" s="201">
        <v>3111.8</v>
      </c>
      <c r="U393" s="201">
        <v>9.4</v>
      </c>
      <c r="V393" s="201"/>
      <c r="W393" s="201"/>
      <c r="X393" s="201"/>
      <c r="Y393" s="201"/>
      <c r="Z393" s="201"/>
      <c r="AA393" s="61"/>
      <c r="AB393" s="201"/>
      <c r="AC393" s="61"/>
      <c r="AD393" s="201">
        <v>6.1</v>
      </c>
      <c r="AE393" s="61"/>
      <c r="AF393" s="61">
        <v>0</v>
      </c>
      <c r="AG393" s="61"/>
      <c r="AH393" s="61"/>
      <c r="AI393" s="61"/>
      <c r="AJ393" s="61"/>
      <c r="AK393" s="61"/>
      <c r="AL393" s="291">
        <v>22</v>
      </c>
      <c r="AM393" s="201">
        <v>21</v>
      </c>
      <c r="AN393" s="201">
        <v>16</v>
      </c>
      <c r="AO393" s="61"/>
      <c r="AP393" s="61"/>
      <c r="AQ393" s="61"/>
      <c r="AR393" s="61"/>
      <c r="AS393" s="101" t="s">
        <v>251</v>
      </c>
      <c r="AT393" s="206" t="str">
        <f t="shared" si="6"/>
        <v>44676-392</v>
      </c>
    </row>
    <row r="394" spans="1:46" x14ac:dyDescent="0.35">
      <c r="A394" s="204">
        <v>393</v>
      </c>
      <c r="B394" s="14" t="s">
        <v>83</v>
      </c>
      <c r="C394" s="1" t="s">
        <v>152</v>
      </c>
      <c r="D394" s="1" t="s">
        <v>161</v>
      </c>
      <c r="E394" s="12">
        <v>44676</v>
      </c>
      <c r="F394" s="201">
        <v>1.4</v>
      </c>
      <c r="G394" s="201">
        <v>0.9</v>
      </c>
      <c r="H394" s="201">
        <v>0.1</v>
      </c>
      <c r="I394" s="201">
        <v>0</v>
      </c>
      <c r="J394" s="201">
        <v>0</v>
      </c>
      <c r="K394" s="201">
        <v>0</v>
      </c>
      <c r="L394" s="201"/>
      <c r="M394" s="201">
        <v>10.1</v>
      </c>
      <c r="N394" s="201">
        <v>0.9</v>
      </c>
      <c r="O394" s="201">
        <v>0.3</v>
      </c>
      <c r="P394" s="201">
        <v>934.5</v>
      </c>
      <c r="Q394" s="201">
        <v>1021.5</v>
      </c>
      <c r="R394" s="201"/>
      <c r="S394" s="201"/>
      <c r="T394" s="201">
        <v>3075.4</v>
      </c>
      <c r="U394" s="201">
        <v>12.2</v>
      </c>
      <c r="V394" s="201"/>
      <c r="W394" s="201"/>
      <c r="X394" s="201"/>
      <c r="Y394" s="201"/>
      <c r="Z394" s="201"/>
      <c r="AA394" s="61"/>
      <c r="AB394" s="201"/>
      <c r="AC394" s="61"/>
      <c r="AD394" s="201">
        <v>6.1</v>
      </c>
      <c r="AE394" s="61"/>
      <c r="AF394" s="61">
        <v>0</v>
      </c>
      <c r="AG394" s="61"/>
      <c r="AH394" s="61"/>
      <c r="AI394" s="61"/>
      <c r="AJ394" s="61"/>
      <c r="AK394" s="61"/>
      <c r="AL394" s="291">
        <v>23</v>
      </c>
      <c r="AM394" s="201">
        <v>22</v>
      </c>
      <c r="AN394" s="201">
        <v>15</v>
      </c>
      <c r="AO394" s="61"/>
      <c r="AP394" s="61"/>
      <c r="AQ394" s="61"/>
      <c r="AR394" s="61"/>
      <c r="AS394" s="101" t="s">
        <v>184</v>
      </c>
      <c r="AT394" s="206" t="str">
        <f t="shared" si="6"/>
        <v>44676-393</v>
      </c>
    </row>
    <row r="395" spans="1:46" x14ac:dyDescent="0.35">
      <c r="A395" s="204">
        <v>394</v>
      </c>
      <c r="B395" s="14" t="s">
        <v>73</v>
      </c>
      <c r="C395" s="1" t="s">
        <v>245</v>
      </c>
      <c r="D395" s="1" t="s">
        <v>150</v>
      </c>
      <c r="E395" s="12">
        <v>44677</v>
      </c>
      <c r="F395" s="201">
        <v>0</v>
      </c>
      <c r="G395" s="201">
        <v>0</v>
      </c>
      <c r="H395" s="201">
        <v>0</v>
      </c>
      <c r="I395" s="201">
        <v>0</v>
      </c>
      <c r="J395" s="201">
        <v>0</v>
      </c>
      <c r="K395" s="201">
        <v>0</v>
      </c>
      <c r="L395" s="201">
        <v>0</v>
      </c>
      <c r="M395" s="201">
        <v>26</v>
      </c>
      <c r="N395" s="201">
        <v>0</v>
      </c>
      <c r="O395" s="201">
        <v>0</v>
      </c>
      <c r="P395" s="201">
        <v>1</v>
      </c>
      <c r="Q395" s="201">
        <v>554</v>
      </c>
      <c r="R395" s="201">
        <v>0</v>
      </c>
      <c r="S395" s="201">
        <v>0</v>
      </c>
      <c r="T395" s="201">
        <v>0</v>
      </c>
      <c r="U395" s="201">
        <v>0</v>
      </c>
      <c r="V395" s="201">
        <v>0</v>
      </c>
      <c r="W395" s="201">
        <v>0</v>
      </c>
      <c r="X395" s="201">
        <v>0</v>
      </c>
      <c r="Y395" s="201">
        <v>0</v>
      </c>
      <c r="Z395" s="201">
        <v>0</v>
      </c>
      <c r="AA395" s="61"/>
      <c r="AB395" s="201">
        <v>0</v>
      </c>
      <c r="AC395" s="61"/>
      <c r="AD395" s="201">
        <v>76.91</v>
      </c>
      <c r="AE395" s="61"/>
      <c r="AF395" s="61"/>
      <c r="AG395" s="61"/>
      <c r="AH395" s="61"/>
      <c r="AI395" s="61"/>
      <c r="AJ395" s="61"/>
      <c r="AK395" s="61"/>
      <c r="AL395" s="291"/>
      <c r="AM395" s="201"/>
      <c r="AN395" s="201"/>
      <c r="AO395" s="61"/>
      <c r="AP395" s="61"/>
      <c r="AQ395" s="61"/>
      <c r="AR395" s="61"/>
      <c r="AS395" s="101" t="s">
        <v>214</v>
      </c>
      <c r="AT395" s="206" t="str">
        <f t="shared" si="6"/>
        <v>44677-394</v>
      </c>
    </row>
    <row r="396" spans="1:46" x14ac:dyDescent="0.35">
      <c r="A396" s="204">
        <v>395</v>
      </c>
      <c r="B396" s="14" t="s">
        <v>73</v>
      </c>
      <c r="C396" s="1" t="s">
        <v>149</v>
      </c>
      <c r="D396" s="1" t="s">
        <v>150</v>
      </c>
      <c r="E396" s="12">
        <v>44677</v>
      </c>
      <c r="F396" s="201">
        <v>2</v>
      </c>
      <c r="G396" s="201">
        <v>1</v>
      </c>
      <c r="H396" s="201">
        <v>0</v>
      </c>
      <c r="I396" s="201">
        <v>0</v>
      </c>
      <c r="J396" s="201">
        <v>4</v>
      </c>
      <c r="K396" s="201">
        <v>0</v>
      </c>
      <c r="L396" s="201">
        <v>0</v>
      </c>
      <c r="M396" s="201">
        <v>7</v>
      </c>
      <c r="N396" s="201">
        <v>4</v>
      </c>
      <c r="O396" s="201">
        <v>1</v>
      </c>
      <c r="P396" s="201">
        <v>1571</v>
      </c>
      <c r="Q396" s="201">
        <v>711</v>
      </c>
      <c r="R396" s="201">
        <v>1</v>
      </c>
      <c r="S396" s="201">
        <v>0</v>
      </c>
      <c r="T396" s="201">
        <v>3643</v>
      </c>
      <c r="U396" s="201">
        <v>21</v>
      </c>
      <c r="V396" s="201">
        <v>0</v>
      </c>
      <c r="W396" s="201">
        <v>0</v>
      </c>
      <c r="X396" s="201">
        <v>0</v>
      </c>
      <c r="Y396" s="201">
        <v>2</v>
      </c>
      <c r="Z396" s="201">
        <v>0</v>
      </c>
      <c r="AA396" s="61"/>
      <c r="AB396" s="201">
        <v>0</v>
      </c>
      <c r="AC396" s="61"/>
      <c r="AD396" s="201">
        <v>18.760000000000002</v>
      </c>
      <c r="AE396" s="61"/>
      <c r="AF396" s="61"/>
      <c r="AG396" s="61"/>
      <c r="AH396" s="61"/>
      <c r="AI396" s="61"/>
      <c r="AJ396" s="61"/>
      <c r="AK396" s="61"/>
      <c r="AL396" s="291">
        <v>22</v>
      </c>
      <c r="AM396" s="201">
        <v>19</v>
      </c>
      <c r="AN396" s="201">
        <v>14</v>
      </c>
      <c r="AO396" s="61"/>
      <c r="AP396" s="61"/>
      <c r="AQ396" s="61"/>
      <c r="AR396" s="61"/>
      <c r="AS396" s="101" t="s">
        <v>214</v>
      </c>
      <c r="AT396" s="206" t="str">
        <f t="shared" si="6"/>
        <v>44677-395</v>
      </c>
    </row>
    <row r="397" spans="1:46" x14ac:dyDescent="0.35">
      <c r="A397" s="204">
        <v>396</v>
      </c>
      <c r="B397" s="14" t="s">
        <v>73</v>
      </c>
      <c r="C397" s="1" t="s">
        <v>154</v>
      </c>
      <c r="D397" s="1" t="s">
        <v>150</v>
      </c>
      <c r="E397" s="12">
        <v>44677</v>
      </c>
      <c r="F397" s="201">
        <v>1</v>
      </c>
      <c r="G397" s="201">
        <v>0</v>
      </c>
      <c r="H397" s="201">
        <v>0</v>
      </c>
      <c r="I397" s="201">
        <v>0</v>
      </c>
      <c r="J397" s="201">
        <v>0</v>
      </c>
      <c r="K397" s="201">
        <v>0</v>
      </c>
      <c r="L397" s="201">
        <v>0</v>
      </c>
      <c r="M397" s="201">
        <v>7</v>
      </c>
      <c r="N397" s="201">
        <v>3</v>
      </c>
      <c r="O397" s="201">
        <v>0</v>
      </c>
      <c r="P397" s="201">
        <v>1651</v>
      </c>
      <c r="Q397" s="201">
        <v>1059</v>
      </c>
      <c r="R397" s="201">
        <v>0</v>
      </c>
      <c r="S397" s="201">
        <v>0</v>
      </c>
      <c r="T397" s="201">
        <v>1253</v>
      </c>
      <c r="U397" s="201">
        <v>1121</v>
      </c>
      <c r="V397" s="201">
        <v>0</v>
      </c>
      <c r="W397" s="201">
        <v>1</v>
      </c>
      <c r="X397" s="201">
        <v>2</v>
      </c>
      <c r="Y397" s="201">
        <v>31</v>
      </c>
      <c r="Z397" s="201">
        <v>0</v>
      </c>
      <c r="AA397" s="61"/>
      <c r="AB397" s="201">
        <v>0</v>
      </c>
      <c r="AC397" s="61"/>
      <c r="AD397" s="201">
        <v>15.27</v>
      </c>
      <c r="AE397" s="61"/>
      <c r="AF397" s="61"/>
      <c r="AG397" s="61"/>
      <c r="AH397" s="61"/>
      <c r="AI397" s="61"/>
      <c r="AJ397" s="61"/>
      <c r="AK397" s="61"/>
      <c r="AL397" s="291"/>
      <c r="AM397" s="201"/>
      <c r="AN397" s="201"/>
      <c r="AO397" s="61"/>
      <c r="AP397" s="61"/>
      <c r="AQ397" s="61"/>
      <c r="AR397" s="61"/>
      <c r="AS397" s="101" t="s">
        <v>226</v>
      </c>
      <c r="AT397" s="206" t="str">
        <f t="shared" si="6"/>
        <v>44677-396</v>
      </c>
    </row>
    <row r="398" spans="1:46" x14ac:dyDescent="0.35">
      <c r="A398" s="204">
        <v>397</v>
      </c>
      <c r="B398" s="14" t="s">
        <v>83</v>
      </c>
      <c r="C398" s="1" t="s">
        <v>160</v>
      </c>
      <c r="D398" s="1" t="s">
        <v>161</v>
      </c>
      <c r="E398" s="12">
        <v>44679</v>
      </c>
      <c r="F398" s="201">
        <v>1.4</v>
      </c>
      <c r="G398" s="201">
        <v>1.2</v>
      </c>
      <c r="H398" s="201">
        <v>0</v>
      </c>
      <c r="I398" s="201">
        <v>0</v>
      </c>
      <c r="J398" s="201">
        <v>0</v>
      </c>
      <c r="K398" s="201">
        <v>0</v>
      </c>
      <c r="L398" s="201"/>
      <c r="M398" s="201">
        <v>6.3</v>
      </c>
      <c r="N398" s="201">
        <v>0.1</v>
      </c>
      <c r="O398" s="201">
        <v>1.3</v>
      </c>
      <c r="P398" s="201">
        <v>1136.5</v>
      </c>
      <c r="Q398" s="201">
        <v>1103.3</v>
      </c>
      <c r="R398" s="201"/>
      <c r="S398" s="201"/>
      <c r="T398" s="201">
        <v>2118.8000000000002</v>
      </c>
      <c r="U398" s="201">
        <v>445.6</v>
      </c>
      <c r="V398" s="201"/>
      <c r="W398" s="201"/>
      <c r="X398" s="201"/>
      <c r="Y398" s="201"/>
      <c r="Z398" s="201"/>
      <c r="AA398" s="61"/>
      <c r="AB398" s="201"/>
      <c r="AC398" s="61"/>
      <c r="AD398" s="201">
        <v>15.5</v>
      </c>
      <c r="AE398" s="61"/>
      <c r="AF398" s="61">
        <v>0</v>
      </c>
      <c r="AG398" s="61"/>
      <c r="AH398" s="61"/>
      <c r="AI398" s="61"/>
      <c r="AJ398" s="61"/>
      <c r="AK398" s="61"/>
      <c r="AL398" s="291">
        <v>23</v>
      </c>
      <c r="AM398" s="201">
        <v>22</v>
      </c>
      <c r="AN398" s="201">
        <v>15</v>
      </c>
      <c r="AO398" s="61"/>
      <c r="AP398" s="61"/>
      <c r="AQ398" s="61"/>
      <c r="AR398" s="61"/>
      <c r="AS398" s="101" t="s">
        <v>162</v>
      </c>
      <c r="AT398" s="206" t="str">
        <f t="shared" si="6"/>
        <v>44679-397</v>
      </c>
    </row>
    <row r="399" spans="1:46" x14ac:dyDescent="0.35">
      <c r="A399" s="204">
        <v>398</v>
      </c>
      <c r="B399" s="14" t="s">
        <v>83</v>
      </c>
      <c r="C399" s="1" t="s">
        <v>152</v>
      </c>
      <c r="D399" s="1" t="s">
        <v>161</v>
      </c>
      <c r="E399" s="12">
        <v>44679</v>
      </c>
      <c r="F399" s="201">
        <v>0.9</v>
      </c>
      <c r="G399" s="201">
        <v>1.1000000000000001</v>
      </c>
      <c r="H399" s="201">
        <v>0</v>
      </c>
      <c r="I399" s="201">
        <v>0</v>
      </c>
      <c r="J399" s="201">
        <v>0</v>
      </c>
      <c r="K399" s="201">
        <v>0</v>
      </c>
      <c r="L399" s="201"/>
      <c r="M399" s="201">
        <v>9.4</v>
      </c>
      <c r="N399" s="201">
        <v>0.9</v>
      </c>
      <c r="O399" s="201">
        <v>0</v>
      </c>
      <c r="P399" s="201">
        <v>930.5</v>
      </c>
      <c r="Q399" s="201">
        <v>854.5</v>
      </c>
      <c r="R399" s="201"/>
      <c r="S399" s="201"/>
      <c r="T399" s="201">
        <v>3103.8</v>
      </c>
      <c r="U399" s="201">
        <v>9.9</v>
      </c>
      <c r="V399" s="201"/>
      <c r="W399" s="201"/>
      <c r="X399" s="201"/>
      <c r="Y399" s="201"/>
      <c r="Z399" s="201"/>
      <c r="AA399" s="61"/>
      <c r="AB399" s="201"/>
      <c r="AC399" s="61"/>
      <c r="AD399" s="201">
        <v>6.1</v>
      </c>
      <c r="AE399" s="61"/>
      <c r="AF399" s="61">
        <v>0</v>
      </c>
      <c r="AG399" s="61"/>
      <c r="AH399" s="61"/>
      <c r="AI399" s="61"/>
      <c r="AJ399" s="61"/>
      <c r="AK399" s="61"/>
      <c r="AL399" s="291">
        <v>22</v>
      </c>
      <c r="AM399" s="201">
        <v>21</v>
      </c>
      <c r="AN399" s="201">
        <v>16</v>
      </c>
      <c r="AO399" s="61"/>
      <c r="AP399" s="61"/>
      <c r="AQ399" s="61"/>
      <c r="AR399" s="61"/>
      <c r="AS399" s="101" t="s">
        <v>163</v>
      </c>
      <c r="AT399" s="206" t="str">
        <f t="shared" si="6"/>
        <v>44679-398</v>
      </c>
    </row>
    <row r="400" spans="1:46" x14ac:dyDescent="0.35">
      <c r="A400" s="204">
        <v>399</v>
      </c>
      <c r="B400" s="14" t="s">
        <v>83</v>
      </c>
      <c r="C400" s="1" t="s">
        <v>152</v>
      </c>
      <c r="D400" s="1" t="s">
        <v>161</v>
      </c>
      <c r="E400" s="12">
        <v>44679</v>
      </c>
      <c r="F400" s="201">
        <v>1</v>
      </c>
      <c r="G400" s="201">
        <v>1.2</v>
      </c>
      <c r="H400" s="201">
        <v>0.2</v>
      </c>
      <c r="I400" s="201">
        <v>0</v>
      </c>
      <c r="J400" s="201">
        <v>0</v>
      </c>
      <c r="K400" s="201">
        <v>0</v>
      </c>
      <c r="L400" s="201"/>
      <c r="M400" s="201">
        <v>9.6999999999999993</v>
      </c>
      <c r="N400" s="201">
        <v>1.1000000000000001</v>
      </c>
      <c r="O400" s="201">
        <v>0.1</v>
      </c>
      <c r="P400" s="201">
        <v>963.5</v>
      </c>
      <c r="Q400" s="201">
        <v>868.3</v>
      </c>
      <c r="R400" s="201"/>
      <c r="S400" s="201"/>
      <c r="T400" s="201">
        <v>3278</v>
      </c>
      <c r="U400" s="201">
        <v>9.5</v>
      </c>
      <c r="V400" s="201"/>
      <c r="W400" s="201"/>
      <c r="X400" s="201"/>
      <c r="Y400" s="201"/>
      <c r="Z400" s="201"/>
      <c r="AA400" s="61"/>
      <c r="AB400" s="201"/>
      <c r="AC400" s="61"/>
      <c r="AD400" s="201">
        <v>6.1</v>
      </c>
      <c r="AE400" s="61"/>
      <c r="AF400" s="61">
        <v>0</v>
      </c>
      <c r="AG400" s="61"/>
      <c r="AH400" s="61"/>
      <c r="AI400" s="61"/>
      <c r="AJ400" s="61"/>
      <c r="AK400" s="61"/>
      <c r="AL400" s="291">
        <v>22</v>
      </c>
      <c r="AM400" s="201">
        <v>21</v>
      </c>
      <c r="AN400" s="201">
        <v>16</v>
      </c>
      <c r="AO400" s="61"/>
      <c r="AP400" s="61"/>
      <c r="AQ400" s="61"/>
      <c r="AR400" s="61"/>
      <c r="AS400" s="101" t="s">
        <v>164</v>
      </c>
      <c r="AT400" s="206" t="str">
        <f t="shared" si="6"/>
        <v>44679-399</v>
      </c>
    </row>
    <row r="401" spans="1:46" x14ac:dyDescent="0.35">
      <c r="A401" s="204">
        <v>400</v>
      </c>
      <c r="B401" s="14" t="s">
        <v>83</v>
      </c>
      <c r="C401" s="1" t="s">
        <v>160</v>
      </c>
      <c r="D401" s="1" t="s">
        <v>161</v>
      </c>
      <c r="E401" s="12">
        <v>44679</v>
      </c>
      <c r="F401" s="201">
        <v>1.2</v>
      </c>
      <c r="G401" s="201">
        <v>1.2</v>
      </c>
      <c r="H401" s="201">
        <v>0.1</v>
      </c>
      <c r="I401" s="201">
        <v>0.2</v>
      </c>
      <c r="J401" s="201">
        <v>0</v>
      </c>
      <c r="K401" s="201">
        <v>0</v>
      </c>
      <c r="L401" s="201"/>
      <c r="M401" s="201">
        <v>6.1</v>
      </c>
      <c r="N401" s="201">
        <v>0.3</v>
      </c>
      <c r="O401" s="201">
        <v>1.3</v>
      </c>
      <c r="P401" s="201">
        <v>1156.7</v>
      </c>
      <c r="Q401" s="201">
        <v>1112.3</v>
      </c>
      <c r="R401" s="201"/>
      <c r="S401" s="201"/>
      <c r="T401" s="201">
        <v>2181.1999999999998</v>
      </c>
      <c r="U401" s="201">
        <v>444.2</v>
      </c>
      <c r="V401" s="201"/>
      <c r="W401" s="201"/>
      <c r="X401" s="201"/>
      <c r="Y401" s="201"/>
      <c r="Z401" s="201"/>
      <c r="AA401" s="61"/>
      <c r="AB401" s="201"/>
      <c r="AC401" s="61"/>
      <c r="AD401" s="201">
        <v>15.1</v>
      </c>
      <c r="AE401" s="61"/>
      <c r="AF401" s="61">
        <v>0</v>
      </c>
      <c r="AG401" s="61"/>
      <c r="AH401" s="61"/>
      <c r="AI401" s="61"/>
      <c r="AJ401" s="61"/>
      <c r="AK401" s="61"/>
      <c r="AL401" s="291">
        <v>24</v>
      </c>
      <c r="AM401" s="201">
        <v>22</v>
      </c>
      <c r="AN401" s="201">
        <v>16</v>
      </c>
      <c r="AO401" s="61"/>
      <c r="AP401" s="61"/>
      <c r="AQ401" s="61"/>
      <c r="AR401" s="61"/>
      <c r="AS401" s="101" t="s">
        <v>191</v>
      </c>
      <c r="AT401" s="206" t="str">
        <f t="shared" si="6"/>
        <v>44679-400</v>
      </c>
    </row>
    <row r="402" spans="1:46" x14ac:dyDescent="0.35">
      <c r="A402" s="204">
        <v>401</v>
      </c>
      <c r="B402" s="14" t="s">
        <v>83</v>
      </c>
      <c r="C402" s="1" t="s">
        <v>152</v>
      </c>
      <c r="D402" s="1" t="s">
        <v>161</v>
      </c>
      <c r="E402" s="12">
        <v>44679</v>
      </c>
      <c r="F402" s="201">
        <v>0.8</v>
      </c>
      <c r="G402" s="201">
        <v>0.8</v>
      </c>
      <c r="H402" s="201">
        <v>0</v>
      </c>
      <c r="I402" s="201">
        <v>0</v>
      </c>
      <c r="J402" s="201">
        <v>0</v>
      </c>
      <c r="K402" s="201">
        <v>0</v>
      </c>
      <c r="L402" s="201"/>
      <c r="M402" s="201">
        <v>9.9</v>
      </c>
      <c r="N402" s="201">
        <v>1.2</v>
      </c>
      <c r="O402" s="201">
        <v>0</v>
      </c>
      <c r="P402" s="201">
        <v>941.8</v>
      </c>
      <c r="Q402" s="201">
        <v>858</v>
      </c>
      <c r="R402" s="201"/>
      <c r="S402" s="201"/>
      <c r="T402" s="201">
        <v>3219.7</v>
      </c>
      <c r="U402" s="201">
        <v>11.8</v>
      </c>
      <c r="V402" s="201"/>
      <c r="W402" s="201"/>
      <c r="X402" s="201"/>
      <c r="Y402" s="201"/>
      <c r="Z402" s="201"/>
      <c r="AA402" s="61"/>
      <c r="AB402" s="201"/>
      <c r="AC402" s="61"/>
      <c r="AD402" s="201">
        <v>6.1</v>
      </c>
      <c r="AE402" s="61"/>
      <c r="AF402" s="61">
        <v>0</v>
      </c>
      <c r="AG402" s="61"/>
      <c r="AH402" s="61"/>
      <c r="AI402" s="61"/>
      <c r="AJ402" s="61"/>
      <c r="AK402" s="61"/>
      <c r="AL402" s="291">
        <v>24</v>
      </c>
      <c r="AM402" s="201">
        <v>22</v>
      </c>
      <c r="AN402" s="201">
        <v>15</v>
      </c>
      <c r="AO402" s="61"/>
      <c r="AP402" s="61"/>
      <c r="AQ402" s="61"/>
      <c r="AR402" s="61"/>
      <c r="AS402" s="101" t="s">
        <v>192</v>
      </c>
      <c r="AT402" s="206" t="str">
        <f t="shared" si="6"/>
        <v>44679-401</v>
      </c>
    </row>
    <row r="403" spans="1:46" x14ac:dyDescent="0.35">
      <c r="A403" s="204">
        <v>402</v>
      </c>
      <c r="B403" s="14" t="s">
        <v>83</v>
      </c>
      <c r="C403" s="1" t="s">
        <v>152</v>
      </c>
      <c r="D403" s="1" t="s">
        <v>161</v>
      </c>
      <c r="E403" s="12">
        <v>44681</v>
      </c>
      <c r="F403" s="201">
        <v>1.4</v>
      </c>
      <c r="G403" s="201">
        <v>1.3</v>
      </c>
      <c r="H403" s="201">
        <v>0</v>
      </c>
      <c r="I403" s="201">
        <v>0</v>
      </c>
      <c r="J403" s="201">
        <v>0</v>
      </c>
      <c r="K403" s="201">
        <v>0</v>
      </c>
      <c r="L403" s="201"/>
      <c r="M403" s="201">
        <v>11.4</v>
      </c>
      <c r="N403" s="201">
        <v>1</v>
      </c>
      <c r="O403" s="201">
        <v>0.4</v>
      </c>
      <c r="P403" s="201">
        <v>1009.6</v>
      </c>
      <c r="Q403" s="201">
        <v>946.5</v>
      </c>
      <c r="R403" s="201"/>
      <c r="S403" s="201"/>
      <c r="T403" s="201">
        <v>3458.8</v>
      </c>
      <c r="U403" s="201">
        <v>10</v>
      </c>
      <c r="V403" s="201"/>
      <c r="W403" s="201"/>
      <c r="X403" s="201"/>
      <c r="Y403" s="201"/>
      <c r="Z403" s="201"/>
      <c r="AA403" s="61"/>
      <c r="AB403" s="201"/>
      <c r="AC403" s="61"/>
      <c r="AD403" s="201">
        <v>6.1</v>
      </c>
      <c r="AE403" s="61"/>
      <c r="AF403" s="61">
        <v>0</v>
      </c>
      <c r="AG403" s="61"/>
      <c r="AH403" s="61"/>
      <c r="AI403" s="61"/>
      <c r="AJ403" s="61"/>
      <c r="AK403" s="61"/>
      <c r="AL403" s="291">
        <v>22</v>
      </c>
      <c r="AM403" s="201">
        <v>20</v>
      </c>
      <c r="AN403" s="201">
        <v>16</v>
      </c>
      <c r="AO403" s="61"/>
      <c r="AP403" s="61"/>
      <c r="AQ403" s="61"/>
      <c r="AR403" s="61"/>
      <c r="AS403" s="101" t="s">
        <v>181</v>
      </c>
      <c r="AT403" s="206" t="str">
        <f t="shared" si="6"/>
        <v>44681-402</v>
      </c>
    </row>
    <row r="404" spans="1:46" x14ac:dyDescent="0.35">
      <c r="A404" s="204">
        <v>403</v>
      </c>
      <c r="B404" s="14" t="s">
        <v>83</v>
      </c>
      <c r="C404" s="1" t="s">
        <v>152</v>
      </c>
      <c r="D404" s="1" t="s">
        <v>161</v>
      </c>
      <c r="E404" s="12">
        <v>44681</v>
      </c>
      <c r="F404" s="201">
        <v>1</v>
      </c>
      <c r="G404" s="201">
        <v>1.2</v>
      </c>
      <c r="H404" s="201">
        <v>0.1</v>
      </c>
      <c r="I404" s="201">
        <v>0</v>
      </c>
      <c r="J404" s="201">
        <v>0</v>
      </c>
      <c r="K404" s="201">
        <v>0</v>
      </c>
      <c r="L404" s="201"/>
      <c r="M404" s="201">
        <v>10.7</v>
      </c>
      <c r="N404" s="201">
        <v>1</v>
      </c>
      <c r="O404" s="201">
        <v>0.5</v>
      </c>
      <c r="P404" s="201">
        <v>1010.9</v>
      </c>
      <c r="Q404" s="201">
        <v>927.6</v>
      </c>
      <c r="R404" s="201"/>
      <c r="S404" s="201"/>
      <c r="T404" s="201">
        <v>3440.3</v>
      </c>
      <c r="U404" s="201">
        <v>9.4</v>
      </c>
      <c r="V404" s="201"/>
      <c r="W404" s="201"/>
      <c r="X404" s="201"/>
      <c r="Y404" s="201"/>
      <c r="Z404" s="201"/>
      <c r="AA404" s="61"/>
      <c r="AB404" s="201"/>
      <c r="AC404" s="61"/>
      <c r="AD404" s="201">
        <v>6.1</v>
      </c>
      <c r="AE404" s="61"/>
      <c r="AF404" s="61">
        <v>0</v>
      </c>
      <c r="AG404" s="61"/>
      <c r="AH404" s="61"/>
      <c r="AI404" s="61"/>
      <c r="AJ404" s="61"/>
      <c r="AK404" s="61"/>
      <c r="AL404" s="291">
        <v>22</v>
      </c>
      <c r="AM404" s="201">
        <v>20</v>
      </c>
      <c r="AN404" s="201">
        <v>16</v>
      </c>
      <c r="AO404" s="61"/>
      <c r="AP404" s="61"/>
      <c r="AQ404" s="61"/>
      <c r="AR404" s="61"/>
      <c r="AS404" s="101" t="s">
        <v>182</v>
      </c>
      <c r="AT404" s="206" t="str">
        <f t="shared" si="6"/>
        <v>44681-403</v>
      </c>
    </row>
    <row r="405" spans="1:46" x14ac:dyDescent="0.35">
      <c r="A405" s="204">
        <v>404</v>
      </c>
      <c r="B405" s="14" t="s">
        <v>83</v>
      </c>
      <c r="C405" s="1" t="s">
        <v>152</v>
      </c>
      <c r="D405" s="1" t="s">
        <v>161</v>
      </c>
      <c r="E405" s="12">
        <v>44681</v>
      </c>
      <c r="F405" s="201">
        <v>1.1000000000000001</v>
      </c>
      <c r="G405" s="201">
        <v>1.1000000000000001</v>
      </c>
      <c r="H405" s="201">
        <v>0</v>
      </c>
      <c r="I405" s="201">
        <v>0</v>
      </c>
      <c r="J405" s="201">
        <v>0</v>
      </c>
      <c r="K405" s="201">
        <v>0</v>
      </c>
      <c r="L405" s="201"/>
      <c r="M405" s="201">
        <v>11.7</v>
      </c>
      <c r="N405" s="201">
        <v>1.2</v>
      </c>
      <c r="O405" s="201">
        <v>0.5</v>
      </c>
      <c r="P405" s="201">
        <v>1005.1</v>
      </c>
      <c r="Q405" s="201">
        <v>928.4</v>
      </c>
      <c r="R405" s="201"/>
      <c r="S405" s="201"/>
      <c r="T405" s="201">
        <v>3450</v>
      </c>
      <c r="U405" s="201">
        <v>9.4</v>
      </c>
      <c r="V405" s="201"/>
      <c r="W405" s="201"/>
      <c r="X405" s="201"/>
      <c r="Y405" s="201"/>
      <c r="Z405" s="201"/>
      <c r="AA405" s="61"/>
      <c r="AB405" s="201"/>
      <c r="AC405" s="61"/>
      <c r="AD405" s="201">
        <v>6.2</v>
      </c>
      <c r="AE405" s="61"/>
      <c r="AF405" s="61">
        <v>0</v>
      </c>
      <c r="AG405" s="61"/>
      <c r="AH405" s="61"/>
      <c r="AI405" s="61"/>
      <c r="AJ405" s="61"/>
      <c r="AK405" s="61"/>
      <c r="AL405" s="291">
        <v>22</v>
      </c>
      <c r="AM405" s="201">
        <v>21</v>
      </c>
      <c r="AN405" s="201">
        <v>16</v>
      </c>
      <c r="AO405" s="61"/>
      <c r="AP405" s="61"/>
      <c r="AQ405" s="61"/>
      <c r="AR405" s="61"/>
      <c r="AS405" s="101" t="s">
        <v>183</v>
      </c>
      <c r="AT405" s="206" t="str">
        <f t="shared" si="6"/>
        <v>44681-404</v>
      </c>
    </row>
    <row r="406" spans="1:46" x14ac:dyDescent="0.35">
      <c r="A406" s="204">
        <v>405</v>
      </c>
      <c r="B406" s="14" t="s">
        <v>83</v>
      </c>
      <c r="C406" s="1" t="s">
        <v>152</v>
      </c>
      <c r="D406" s="1" t="s">
        <v>161</v>
      </c>
      <c r="E406" s="12">
        <v>44681</v>
      </c>
      <c r="F406" s="201">
        <v>0.9</v>
      </c>
      <c r="G406" s="201">
        <v>1.1000000000000001</v>
      </c>
      <c r="H406" s="201">
        <v>0</v>
      </c>
      <c r="I406" s="201">
        <v>0</v>
      </c>
      <c r="J406" s="201">
        <v>0</v>
      </c>
      <c r="K406" s="201">
        <v>0</v>
      </c>
      <c r="L406" s="201"/>
      <c r="M406" s="201">
        <v>12.8</v>
      </c>
      <c r="N406" s="201">
        <v>1</v>
      </c>
      <c r="O406" s="201">
        <v>0.2</v>
      </c>
      <c r="P406" s="201">
        <v>1006.8</v>
      </c>
      <c r="Q406" s="201">
        <v>935.3</v>
      </c>
      <c r="R406" s="201"/>
      <c r="S406" s="201"/>
      <c r="T406" s="201">
        <v>3416.9</v>
      </c>
      <c r="U406" s="201">
        <v>10.3</v>
      </c>
      <c r="V406" s="201"/>
      <c r="W406" s="201"/>
      <c r="X406" s="201"/>
      <c r="Y406" s="201"/>
      <c r="Z406" s="201"/>
      <c r="AA406" s="61"/>
      <c r="AB406" s="201"/>
      <c r="AC406" s="61"/>
      <c r="AD406" s="201">
        <v>6.1</v>
      </c>
      <c r="AE406" s="61"/>
      <c r="AF406" s="61">
        <v>0</v>
      </c>
      <c r="AG406" s="61"/>
      <c r="AH406" s="61"/>
      <c r="AI406" s="61"/>
      <c r="AJ406" s="61"/>
      <c r="AK406" s="61"/>
      <c r="AL406" s="291">
        <v>23</v>
      </c>
      <c r="AM406" s="201">
        <v>22</v>
      </c>
      <c r="AN406" s="201">
        <v>16</v>
      </c>
      <c r="AO406" s="61"/>
      <c r="AP406" s="61"/>
      <c r="AQ406" s="61"/>
      <c r="AR406" s="61"/>
      <c r="AS406" s="101" t="s">
        <v>172</v>
      </c>
      <c r="AT406" s="206" t="str">
        <f t="shared" si="6"/>
        <v>44681-405</v>
      </c>
    </row>
    <row r="407" spans="1:46" x14ac:dyDescent="0.35">
      <c r="A407" s="204">
        <v>406</v>
      </c>
      <c r="B407" s="14" t="s">
        <v>83</v>
      </c>
      <c r="C407" s="1" t="s">
        <v>152</v>
      </c>
      <c r="D407" s="1" t="s">
        <v>161</v>
      </c>
      <c r="E407" s="12">
        <v>44681</v>
      </c>
      <c r="F407" s="201">
        <v>0.8</v>
      </c>
      <c r="G407" s="201">
        <v>0.6</v>
      </c>
      <c r="H407" s="201">
        <v>0</v>
      </c>
      <c r="I407" s="201">
        <v>0</v>
      </c>
      <c r="J407" s="201">
        <v>0</v>
      </c>
      <c r="K407" s="201">
        <v>0</v>
      </c>
      <c r="L407" s="201"/>
      <c r="M407" s="201">
        <v>11.2</v>
      </c>
      <c r="N407" s="201">
        <v>0.8</v>
      </c>
      <c r="O407" s="201">
        <v>0.3</v>
      </c>
      <c r="P407" s="201">
        <v>994.5</v>
      </c>
      <c r="Q407" s="201">
        <v>937.7</v>
      </c>
      <c r="R407" s="201"/>
      <c r="S407" s="201"/>
      <c r="T407" s="201">
        <v>3408.3</v>
      </c>
      <c r="U407" s="201">
        <v>11.6</v>
      </c>
      <c r="V407" s="201"/>
      <c r="W407" s="201"/>
      <c r="X407" s="201"/>
      <c r="Y407" s="201"/>
      <c r="Z407" s="201"/>
      <c r="AA407" s="61"/>
      <c r="AB407" s="201"/>
      <c r="AC407" s="61"/>
      <c r="AD407" s="201">
        <v>6.1</v>
      </c>
      <c r="AE407" s="61"/>
      <c r="AF407" s="61">
        <v>0</v>
      </c>
      <c r="AG407" s="61"/>
      <c r="AH407" s="61"/>
      <c r="AI407" s="61"/>
      <c r="AJ407" s="61"/>
      <c r="AK407" s="61"/>
      <c r="AL407" s="291">
        <v>23</v>
      </c>
      <c r="AM407" s="201">
        <v>22</v>
      </c>
      <c r="AN407" s="201">
        <v>14</v>
      </c>
      <c r="AO407" s="61"/>
      <c r="AP407" s="61"/>
      <c r="AQ407" s="61"/>
      <c r="AR407" s="61"/>
      <c r="AS407" s="101" t="s">
        <v>192</v>
      </c>
      <c r="AT407" s="206" t="str">
        <f t="shared" si="6"/>
        <v>44681-406</v>
      </c>
    </row>
    <row r="408" spans="1:46" x14ac:dyDescent="0.35">
      <c r="A408" s="204">
        <v>407</v>
      </c>
      <c r="B408" s="14" t="s">
        <v>83</v>
      </c>
      <c r="C408" s="1" t="s">
        <v>160</v>
      </c>
      <c r="D408" s="1" t="s">
        <v>161</v>
      </c>
      <c r="E408" s="12">
        <v>44682</v>
      </c>
      <c r="F408" s="201">
        <v>1.3</v>
      </c>
      <c r="G408" s="201">
        <v>1.2</v>
      </c>
      <c r="H408" s="201">
        <v>0.1</v>
      </c>
      <c r="I408" s="201">
        <v>0</v>
      </c>
      <c r="J408" s="201">
        <v>0</v>
      </c>
      <c r="K408" s="201">
        <v>0</v>
      </c>
      <c r="L408" s="201"/>
      <c r="M408" s="201">
        <v>9.1999999999999993</v>
      </c>
      <c r="N408" s="201">
        <v>0</v>
      </c>
      <c r="O408" s="201">
        <v>1.4</v>
      </c>
      <c r="P408" s="201">
        <v>1195.3</v>
      </c>
      <c r="Q408" s="201">
        <v>1328.1</v>
      </c>
      <c r="R408" s="201"/>
      <c r="S408" s="201"/>
      <c r="T408" s="201">
        <v>2310.6999999999998</v>
      </c>
      <c r="U408" s="201">
        <v>454.7</v>
      </c>
      <c r="V408" s="201"/>
      <c r="W408" s="201"/>
      <c r="X408" s="201"/>
      <c r="Y408" s="201"/>
      <c r="Z408" s="201"/>
      <c r="AA408" s="61"/>
      <c r="AB408" s="201"/>
      <c r="AC408" s="61"/>
      <c r="AD408" s="201">
        <v>15</v>
      </c>
      <c r="AE408" s="61"/>
      <c r="AF408" s="61">
        <v>0</v>
      </c>
      <c r="AG408" s="61"/>
      <c r="AH408" s="61"/>
      <c r="AI408" s="61"/>
      <c r="AJ408" s="61"/>
      <c r="AK408" s="61"/>
      <c r="AL408" s="291">
        <v>26</v>
      </c>
      <c r="AM408" s="201">
        <v>24</v>
      </c>
      <c r="AN408" s="201">
        <v>20</v>
      </c>
      <c r="AO408" s="61"/>
      <c r="AP408" s="61"/>
      <c r="AQ408" s="61"/>
      <c r="AR408" s="61"/>
      <c r="AS408" s="101" t="s">
        <v>173</v>
      </c>
      <c r="AT408" s="206" t="str">
        <f t="shared" si="6"/>
        <v>44682-407</v>
      </c>
    </row>
    <row r="409" spans="1:46" x14ac:dyDescent="0.35">
      <c r="A409" s="204">
        <v>408</v>
      </c>
      <c r="B409" s="14" t="s">
        <v>83</v>
      </c>
      <c r="C409" s="1" t="s">
        <v>160</v>
      </c>
      <c r="D409" s="1" t="s">
        <v>161</v>
      </c>
      <c r="E409" s="12">
        <v>44682</v>
      </c>
      <c r="F409" s="201">
        <v>1.2</v>
      </c>
      <c r="G409" s="201">
        <v>1.2</v>
      </c>
      <c r="H409" s="201">
        <v>0</v>
      </c>
      <c r="I409" s="201">
        <v>0</v>
      </c>
      <c r="J409" s="201">
        <v>0</v>
      </c>
      <c r="K409" s="201">
        <v>0</v>
      </c>
      <c r="L409" s="201"/>
      <c r="M409" s="201">
        <v>8.8000000000000007</v>
      </c>
      <c r="N409" s="201">
        <v>0</v>
      </c>
      <c r="O409" s="201">
        <v>1.5</v>
      </c>
      <c r="P409" s="201">
        <v>1157.9000000000001</v>
      </c>
      <c r="Q409" s="201">
        <v>1276.4000000000001</v>
      </c>
      <c r="R409" s="201"/>
      <c r="S409" s="201"/>
      <c r="T409" s="201">
        <v>2233.9</v>
      </c>
      <c r="U409" s="201">
        <v>438.4</v>
      </c>
      <c r="V409" s="201"/>
      <c r="W409" s="201"/>
      <c r="X409" s="201"/>
      <c r="Y409" s="201"/>
      <c r="Z409" s="201"/>
      <c r="AA409" s="61"/>
      <c r="AB409" s="201"/>
      <c r="AC409" s="61"/>
      <c r="AD409" s="201">
        <v>14.9</v>
      </c>
      <c r="AE409" s="61"/>
      <c r="AF409" s="61">
        <v>0</v>
      </c>
      <c r="AG409" s="61"/>
      <c r="AH409" s="61"/>
      <c r="AI409" s="61"/>
      <c r="AJ409" s="61"/>
      <c r="AK409" s="61"/>
      <c r="AL409" s="291">
        <v>24</v>
      </c>
      <c r="AM409" s="201">
        <v>22</v>
      </c>
      <c r="AN409" s="201">
        <v>15</v>
      </c>
      <c r="AO409" s="61"/>
      <c r="AP409" s="61"/>
      <c r="AQ409" s="61"/>
      <c r="AR409" s="61"/>
      <c r="AS409" s="101" t="s">
        <v>174</v>
      </c>
      <c r="AT409" s="206" t="str">
        <f t="shared" si="6"/>
        <v>44682-408</v>
      </c>
    </row>
    <row r="410" spans="1:46" x14ac:dyDescent="0.35">
      <c r="A410" s="204">
        <v>409</v>
      </c>
      <c r="B410" s="14" t="s">
        <v>83</v>
      </c>
      <c r="C410" s="1" t="s">
        <v>160</v>
      </c>
      <c r="D410" s="1" t="s">
        <v>161</v>
      </c>
      <c r="E410" s="12">
        <v>44682</v>
      </c>
      <c r="F410" s="201">
        <v>1.2</v>
      </c>
      <c r="G410" s="201">
        <v>1.1000000000000001</v>
      </c>
      <c r="H410" s="201">
        <v>0</v>
      </c>
      <c r="I410" s="201">
        <v>0</v>
      </c>
      <c r="J410" s="201">
        <v>0</v>
      </c>
      <c r="K410" s="201">
        <v>0</v>
      </c>
      <c r="L410" s="201"/>
      <c r="M410" s="201">
        <v>8.6</v>
      </c>
      <c r="N410" s="201">
        <v>0</v>
      </c>
      <c r="O410" s="201">
        <v>1.2</v>
      </c>
      <c r="P410" s="201">
        <v>1145.2</v>
      </c>
      <c r="Q410" s="201">
        <v>1271.3</v>
      </c>
      <c r="R410" s="201"/>
      <c r="S410" s="201"/>
      <c r="T410" s="201">
        <v>2203.5</v>
      </c>
      <c r="U410" s="201">
        <v>432.7</v>
      </c>
      <c r="V410" s="201"/>
      <c r="W410" s="201"/>
      <c r="X410" s="201"/>
      <c r="Y410" s="201"/>
      <c r="Z410" s="201"/>
      <c r="AA410" s="61"/>
      <c r="AB410" s="201"/>
      <c r="AC410" s="61"/>
      <c r="AD410" s="201">
        <v>15.1</v>
      </c>
      <c r="AE410" s="61"/>
      <c r="AF410" s="61">
        <v>0</v>
      </c>
      <c r="AG410" s="61"/>
      <c r="AH410" s="61"/>
      <c r="AI410" s="61"/>
      <c r="AJ410" s="61"/>
      <c r="AK410" s="61"/>
      <c r="AL410" s="291">
        <v>25</v>
      </c>
      <c r="AM410" s="201">
        <v>23</v>
      </c>
      <c r="AN410" s="201">
        <v>18</v>
      </c>
      <c r="AO410" s="61"/>
      <c r="AP410" s="61"/>
      <c r="AQ410" s="61"/>
      <c r="AR410" s="61"/>
      <c r="AS410" s="101" t="s">
        <v>175</v>
      </c>
      <c r="AT410" s="206" t="str">
        <f t="shared" si="6"/>
        <v>44682-409</v>
      </c>
    </row>
    <row r="411" spans="1:46" x14ac:dyDescent="0.35">
      <c r="A411" s="204">
        <v>410</v>
      </c>
      <c r="B411" s="14" t="s">
        <v>83</v>
      </c>
      <c r="C411" s="1" t="s">
        <v>160</v>
      </c>
      <c r="D411" s="1" t="s">
        <v>161</v>
      </c>
      <c r="E411" s="12">
        <v>44684</v>
      </c>
      <c r="F411" s="201">
        <v>1.5</v>
      </c>
      <c r="G411" s="201">
        <v>1.6</v>
      </c>
      <c r="H411" s="201">
        <v>0.2</v>
      </c>
      <c r="I411" s="201">
        <v>0</v>
      </c>
      <c r="J411" s="201">
        <v>0</v>
      </c>
      <c r="K411" s="201">
        <v>0</v>
      </c>
      <c r="L411" s="201"/>
      <c r="M411" s="201">
        <v>9.6</v>
      </c>
      <c r="N411" s="201">
        <v>1.1000000000000001</v>
      </c>
      <c r="O411" s="201">
        <v>1.2</v>
      </c>
      <c r="P411" s="201">
        <v>1262.3</v>
      </c>
      <c r="Q411" s="201">
        <v>1430.2</v>
      </c>
      <c r="R411" s="201"/>
      <c r="S411" s="201"/>
      <c r="T411" s="201">
        <v>2303.1</v>
      </c>
      <c r="U411" s="201">
        <v>495.2</v>
      </c>
      <c r="V411" s="201"/>
      <c r="W411" s="201"/>
      <c r="X411" s="201"/>
      <c r="Y411" s="201"/>
      <c r="Z411" s="201"/>
      <c r="AA411" s="61"/>
      <c r="AB411" s="201"/>
      <c r="AC411" s="61"/>
      <c r="AD411" s="201">
        <v>15.1</v>
      </c>
      <c r="AE411" s="61"/>
      <c r="AF411" s="61">
        <v>0</v>
      </c>
      <c r="AG411" s="61"/>
      <c r="AH411" s="61"/>
      <c r="AI411" s="61"/>
      <c r="AJ411" s="61"/>
      <c r="AK411" s="61"/>
      <c r="AL411" s="291">
        <v>24</v>
      </c>
      <c r="AM411" s="201">
        <v>22</v>
      </c>
      <c r="AN411" s="201">
        <v>16</v>
      </c>
      <c r="AO411" s="61"/>
      <c r="AP411" s="61"/>
      <c r="AQ411" s="61"/>
      <c r="AR411" s="61"/>
      <c r="AS411" s="101" t="s">
        <v>178</v>
      </c>
      <c r="AT411" s="206" t="str">
        <f t="shared" si="6"/>
        <v>44684-410</v>
      </c>
    </row>
    <row r="412" spans="1:46" x14ac:dyDescent="0.35">
      <c r="A412" s="204">
        <v>411</v>
      </c>
      <c r="B412" s="14" t="s">
        <v>83</v>
      </c>
      <c r="C412" s="1" t="s">
        <v>152</v>
      </c>
      <c r="D412" s="1" t="s">
        <v>161</v>
      </c>
      <c r="E412" s="12">
        <v>44684</v>
      </c>
      <c r="F412" s="201">
        <v>1</v>
      </c>
      <c r="G412" s="201">
        <v>0.8</v>
      </c>
      <c r="H412" s="201">
        <v>0</v>
      </c>
      <c r="I412" s="201">
        <v>0</v>
      </c>
      <c r="J412" s="201">
        <v>0.1</v>
      </c>
      <c r="K412" s="201">
        <v>0</v>
      </c>
      <c r="L412" s="201"/>
      <c r="M412" s="201">
        <v>13.3</v>
      </c>
      <c r="N412" s="201">
        <v>1</v>
      </c>
      <c r="O412" s="201">
        <v>0</v>
      </c>
      <c r="P412" s="201">
        <v>1006.5</v>
      </c>
      <c r="Q412" s="201">
        <v>1082.7</v>
      </c>
      <c r="R412" s="201"/>
      <c r="S412" s="201"/>
      <c r="T412" s="201">
        <v>3268.9</v>
      </c>
      <c r="U412" s="201">
        <v>12.6</v>
      </c>
      <c r="V412" s="201"/>
      <c r="W412" s="201"/>
      <c r="X412" s="201"/>
      <c r="Y412" s="201"/>
      <c r="Z412" s="201"/>
      <c r="AA412" s="61"/>
      <c r="AB412" s="201"/>
      <c r="AC412" s="61"/>
      <c r="AD412" s="201">
        <v>6.1</v>
      </c>
      <c r="AE412" s="61"/>
      <c r="AF412" s="61">
        <v>0</v>
      </c>
      <c r="AG412" s="61"/>
      <c r="AH412" s="61"/>
      <c r="AI412" s="61"/>
      <c r="AJ412" s="61"/>
      <c r="AK412" s="61"/>
      <c r="AL412" s="291">
        <v>23</v>
      </c>
      <c r="AM412" s="201">
        <v>22</v>
      </c>
      <c r="AN412" s="201">
        <v>17</v>
      </c>
      <c r="AO412" s="61"/>
      <c r="AP412" s="61"/>
      <c r="AQ412" s="61"/>
      <c r="AR412" s="61"/>
      <c r="AS412" s="101" t="s">
        <v>179</v>
      </c>
      <c r="AT412" s="206" t="str">
        <f t="shared" si="6"/>
        <v>44684-411</v>
      </c>
    </row>
    <row r="413" spans="1:46" x14ac:dyDescent="0.35">
      <c r="A413" s="204">
        <v>412</v>
      </c>
      <c r="B413" s="14" t="s">
        <v>83</v>
      </c>
      <c r="C413" s="1" t="s">
        <v>160</v>
      </c>
      <c r="D413" s="1" t="s">
        <v>161</v>
      </c>
      <c r="E413" s="12">
        <v>44684</v>
      </c>
      <c r="F413" s="201">
        <v>1.5</v>
      </c>
      <c r="G413" s="201">
        <v>1.5</v>
      </c>
      <c r="H413" s="201">
        <v>0.1</v>
      </c>
      <c r="I413" s="201">
        <v>0</v>
      </c>
      <c r="J413" s="201">
        <v>0</v>
      </c>
      <c r="K413" s="201">
        <v>0</v>
      </c>
      <c r="L413" s="201"/>
      <c r="M413" s="201">
        <v>9.4</v>
      </c>
      <c r="N413" s="201">
        <v>0.8</v>
      </c>
      <c r="O413" s="201">
        <v>0.6</v>
      </c>
      <c r="P413" s="201">
        <v>1258.3</v>
      </c>
      <c r="Q413" s="201">
        <v>1425.6</v>
      </c>
      <c r="R413" s="201"/>
      <c r="S413" s="201"/>
      <c r="T413" s="201">
        <v>2305.4</v>
      </c>
      <c r="U413" s="201">
        <v>496.4</v>
      </c>
      <c r="V413" s="201"/>
      <c r="W413" s="201"/>
      <c r="X413" s="201"/>
      <c r="Y413" s="201"/>
      <c r="Z413" s="201"/>
      <c r="AA413" s="61"/>
      <c r="AB413" s="201"/>
      <c r="AC413" s="61"/>
      <c r="AD413" s="201">
        <v>15.1</v>
      </c>
      <c r="AE413" s="61"/>
      <c r="AF413" s="61">
        <v>0</v>
      </c>
      <c r="AG413" s="61"/>
      <c r="AH413" s="61"/>
      <c r="AI413" s="61"/>
      <c r="AJ413" s="61"/>
      <c r="AK413" s="61"/>
      <c r="AL413" s="291">
        <v>23</v>
      </c>
      <c r="AM413" s="201">
        <v>22</v>
      </c>
      <c r="AN413" s="201">
        <v>15</v>
      </c>
      <c r="AO413" s="61"/>
      <c r="AP413" s="61"/>
      <c r="AQ413" s="61"/>
      <c r="AR413" s="61"/>
      <c r="AS413" s="101" t="s">
        <v>180</v>
      </c>
      <c r="AT413" s="206" t="str">
        <f t="shared" si="6"/>
        <v>44684-412</v>
      </c>
    </row>
    <row r="414" spans="1:46" x14ac:dyDescent="0.35">
      <c r="A414" s="204">
        <v>413</v>
      </c>
      <c r="B414" s="14" t="s">
        <v>83</v>
      </c>
      <c r="C414" s="1" t="s">
        <v>152</v>
      </c>
      <c r="D414" s="1" t="s">
        <v>161</v>
      </c>
      <c r="E414" s="12">
        <v>44686</v>
      </c>
      <c r="F414" s="201">
        <v>1.3</v>
      </c>
      <c r="G414" s="201">
        <v>1.5</v>
      </c>
      <c r="H414" s="201">
        <v>0.1</v>
      </c>
      <c r="I414" s="201">
        <v>0</v>
      </c>
      <c r="J414" s="201">
        <v>0</v>
      </c>
      <c r="K414" s="201">
        <v>0.1</v>
      </c>
      <c r="L414" s="201"/>
      <c r="M414" s="201">
        <v>9.5</v>
      </c>
      <c r="N414" s="201">
        <v>1.1000000000000001</v>
      </c>
      <c r="O414" s="201">
        <v>0.6</v>
      </c>
      <c r="P414" s="201">
        <v>1017</v>
      </c>
      <c r="Q414" s="201">
        <v>933.3</v>
      </c>
      <c r="R414" s="201"/>
      <c r="S414" s="201"/>
      <c r="T414" s="201">
        <v>3525.6</v>
      </c>
      <c r="U414" s="201">
        <v>10.4</v>
      </c>
      <c r="V414" s="201"/>
      <c r="W414" s="201"/>
      <c r="X414" s="201"/>
      <c r="Y414" s="201"/>
      <c r="Z414" s="201"/>
      <c r="AA414" s="61"/>
      <c r="AB414" s="201"/>
      <c r="AC414" s="61"/>
      <c r="AD414" s="201">
        <v>6.1</v>
      </c>
      <c r="AE414" s="61"/>
      <c r="AF414" s="61">
        <v>0</v>
      </c>
      <c r="AG414" s="61"/>
      <c r="AH414" s="61"/>
      <c r="AI414" s="61"/>
      <c r="AJ414" s="61"/>
      <c r="AK414" s="61"/>
      <c r="AL414" s="291">
        <v>22</v>
      </c>
      <c r="AM414" s="201">
        <v>21</v>
      </c>
      <c r="AN414" s="201">
        <v>16</v>
      </c>
      <c r="AO414" s="61"/>
      <c r="AP414" s="61"/>
      <c r="AQ414" s="61"/>
      <c r="AR414" s="61"/>
      <c r="AS414" s="101" t="s">
        <v>162</v>
      </c>
      <c r="AT414" s="206" t="str">
        <f t="shared" si="6"/>
        <v>44686-413</v>
      </c>
    </row>
    <row r="415" spans="1:46" x14ac:dyDescent="0.35">
      <c r="A415" s="204">
        <v>414</v>
      </c>
      <c r="B415" s="14" t="s">
        <v>83</v>
      </c>
      <c r="C415" s="1" t="s">
        <v>160</v>
      </c>
      <c r="D415" s="1" t="s">
        <v>161</v>
      </c>
      <c r="E415" s="12">
        <v>44686</v>
      </c>
      <c r="F415" s="201">
        <v>1.7</v>
      </c>
      <c r="G415" s="201">
        <v>1.6</v>
      </c>
      <c r="H415" s="201">
        <v>0</v>
      </c>
      <c r="I415" s="201">
        <v>0</v>
      </c>
      <c r="J415" s="201">
        <v>0</v>
      </c>
      <c r="K415" s="201">
        <v>0.1</v>
      </c>
      <c r="L415" s="201"/>
      <c r="M415" s="201">
        <v>6.8</v>
      </c>
      <c r="N415" s="201">
        <v>0</v>
      </c>
      <c r="O415" s="201">
        <v>1.5</v>
      </c>
      <c r="P415" s="201">
        <v>1243</v>
      </c>
      <c r="Q415" s="201">
        <v>1213.5</v>
      </c>
      <c r="R415" s="201"/>
      <c r="S415" s="201"/>
      <c r="T415" s="201">
        <v>2379.9</v>
      </c>
      <c r="U415" s="201">
        <v>484.5</v>
      </c>
      <c r="V415" s="201"/>
      <c r="W415" s="201"/>
      <c r="X415" s="201"/>
      <c r="Y415" s="201"/>
      <c r="Z415" s="201"/>
      <c r="AA415" s="61"/>
      <c r="AB415" s="201"/>
      <c r="AC415" s="61"/>
      <c r="AD415" s="201">
        <v>15.4</v>
      </c>
      <c r="AE415" s="61"/>
      <c r="AF415" s="61">
        <v>0</v>
      </c>
      <c r="AG415" s="61"/>
      <c r="AH415" s="61"/>
      <c r="AI415" s="61"/>
      <c r="AJ415" s="61"/>
      <c r="AK415" s="61"/>
      <c r="AL415" s="291">
        <v>23</v>
      </c>
      <c r="AM415" s="201">
        <v>22</v>
      </c>
      <c r="AN415" s="201">
        <v>16</v>
      </c>
      <c r="AO415" s="61"/>
      <c r="AP415" s="61"/>
      <c r="AQ415" s="61"/>
      <c r="AR415" s="61"/>
      <c r="AS415" s="101" t="s">
        <v>163</v>
      </c>
      <c r="AT415" s="206" t="str">
        <f t="shared" si="6"/>
        <v>44686-414</v>
      </c>
    </row>
    <row r="416" spans="1:46" x14ac:dyDescent="0.35">
      <c r="A416" s="204">
        <v>415</v>
      </c>
      <c r="B416" s="14" t="s">
        <v>83</v>
      </c>
      <c r="C416" s="1" t="s">
        <v>160</v>
      </c>
      <c r="D416" s="1" t="s">
        <v>161</v>
      </c>
      <c r="E416" s="12">
        <v>44686</v>
      </c>
      <c r="F416" s="201">
        <v>1.6</v>
      </c>
      <c r="G416" s="201">
        <v>1.4</v>
      </c>
      <c r="H416" s="201">
        <v>0</v>
      </c>
      <c r="I416" s="201">
        <v>0</v>
      </c>
      <c r="J416" s="201">
        <v>0</v>
      </c>
      <c r="K416" s="201">
        <v>0</v>
      </c>
      <c r="L416" s="201"/>
      <c r="M416" s="201">
        <v>6.8</v>
      </c>
      <c r="N416" s="201">
        <v>0</v>
      </c>
      <c r="O416" s="201">
        <v>1.3</v>
      </c>
      <c r="P416" s="201">
        <v>1234.0999999999999</v>
      </c>
      <c r="Q416" s="201">
        <v>1206.3</v>
      </c>
      <c r="R416" s="201"/>
      <c r="S416" s="201"/>
      <c r="T416" s="201">
        <v>2363</v>
      </c>
      <c r="U416" s="201">
        <v>480.5</v>
      </c>
      <c r="V416" s="201"/>
      <c r="W416" s="201"/>
      <c r="X416" s="201"/>
      <c r="Y416" s="201"/>
      <c r="Z416" s="201"/>
      <c r="AA416" s="61"/>
      <c r="AB416" s="201"/>
      <c r="AC416" s="61"/>
      <c r="AD416" s="201">
        <v>15.4</v>
      </c>
      <c r="AE416" s="61"/>
      <c r="AF416" s="61">
        <v>0</v>
      </c>
      <c r="AG416" s="61"/>
      <c r="AH416" s="61"/>
      <c r="AI416" s="61"/>
      <c r="AJ416" s="61"/>
      <c r="AK416" s="61"/>
      <c r="AL416" s="291">
        <v>23</v>
      </c>
      <c r="AM416" s="201">
        <v>22</v>
      </c>
      <c r="AN416" s="201">
        <v>16</v>
      </c>
      <c r="AO416" s="61"/>
      <c r="AP416" s="61"/>
      <c r="AQ416" s="61"/>
      <c r="AR416" s="61"/>
      <c r="AS416" s="101" t="s">
        <v>164</v>
      </c>
      <c r="AT416" s="206" t="str">
        <f t="shared" si="6"/>
        <v>44686-415</v>
      </c>
    </row>
    <row r="417" spans="1:46" x14ac:dyDescent="0.35">
      <c r="A417" s="204">
        <v>416</v>
      </c>
      <c r="B417" s="14" t="s">
        <v>230</v>
      </c>
      <c r="C417" s="1" t="s">
        <v>245</v>
      </c>
      <c r="D417" s="1" t="s">
        <v>231</v>
      </c>
      <c r="E417" s="12">
        <v>44688</v>
      </c>
      <c r="F417" s="201">
        <v>0.8</v>
      </c>
      <c r="G417" s="201">
        <v>0</v>
      </c>
      <c r="H417" s="201">
        <v>0.1</v>
      </c>
      <c r="I417" s="201">
        <v>0</v>
      </c>
      <c r="J417" s="201">
        <v>0</v>
      </c>
      <c r="K417" s="201">
        <v>0</v>
      </c>
      <c r="L417" s="201">
        <v>0</v>
      </c>
      <c r="M417" s="201">
        <v>29.8</v>
      </c>
      <c r="N417" s="201"/>
      <c r="O417" s="201">
        <v>0</v>
      </c>
      <c r="P417" s="201">
        <v>0</v>
      </c>
      <c r="Q417" s="201">
        <v>476</v>
      </c>
      <c r="R417" s="201">
        <v>0.7</v>
      </c>
      <c r="S417" s="201">
        <v>0.1</v>
      </c>
      <c r="T417" s="201">
        <v>0</v>
      </c>
      <c r="U417" s="201">
        <v>0</v>
      </c>
      <c r="V417" s="201">
        <v>1</v>
      </c>
      <c r="W417" s="201">
        <v>0</v>
      </c>
      <c r="X417" s="201">
        <v>0</v>
      </c>
      <c r="Y417" s="201">
        <v>0.4</v>
      </c>
      <c r="Z417" s="201">
        <v>0</v>
      </c>
      <c r="AA417" s="61">
        <v>0</v>
      </c>
      <c r="AB417" s="201">
        <v>0</v>
      </c>
      <c r="AC417" s="61">
        <v>6</v>
      </c>
      <c r="AD417" s="201"/>
      <c r="AE417" s="61">
        <v>687.2</v>
      </c>
      <c r="AF417" s="61"/>
      <c r="AG417" s="61"/>
      <c r="AH417" s="61"/>
      <c r="AI417" s="61"/>
      <c r="AJ417" s="61"/>
      <c r="AK417" s="61"/>
      <c r="AL417" s="291"/>
      <c r="AM417" s="201"/>
      <c r="AN417" s="201"/>
      <c r="AO417" s="61"/>
      <c r="AP417" s="61"/>
      <c r="AQ417" s="61"/>
      <c r="AR417" s="61"/>
      <c r="AS417" s="101" t="s">
        <v>148</v>
      </c>
      <c r="AT417" s="206" t="str">
        <f t="shared" si="6"/>
        <v>44688-416</v>
      </c>
    </row>
    <row r="418" spans="1:46" x14ac:dyDescent="0.35">
      <c r="A418" s="204">
        <v>417</v>
      </c>
      <c r="B418" s="14" t="s">
        <v>83</v>
      </c>
      <c r="C418" s="1" t="s">
        <v>152</v>
      </c>
      <c r="D418" s="1" t="s">
        <v>161</v>
      </c>
      <c r="E418" s="12">
        <v>44688</v>
      </c>
      <c r="F418" s="201">
        <v>1.3254986529999999</v>
      </c>
      <c r="G418" s="201">
        <v>1.2267433329999999</v>
      </c>
      <c r="H418" s="201">
        <v>0.45824368360000001</v>
      </c>
      <c r="I418" s="201">
        <v>0.1562608657</v>
      </c>
      <c r="J418" s="201">
        <v>0</v>
      </c>
      <c r="K418" s="201">
        <v>0</v>
      </c>
      <c r="L418" s="201"/>
      <c r="M418" s="201">
        <v>16.173719930000001</v>
      </c>
      <c r="N418" s="201">
        <v>0.66424617559999999</v>
      </c>
      <c r="O418" s="201">
        <v>0.8231754483</v>
      </c>
      <c r="P418" s="201">
        <v>1078.746345</v>
      </c>
      <c r="Q418" s="201">
        <v>1041.656964</v>
      </c>
      <c r="R418" s="201"/>
      <c r="S418" s="201"/>
      <c r="T418" s="201">
        <v>3743.4740320000001</v>
      </c>
      <c r="U418" s="201">
        <v>11.08596739</v>
      </c>
      <c r="V418" s="201"/>
      <c r="W418" s="201"/>
      <c r="X418" s="201"/>
      <c r="Y418" s="201"/>
      <c r="Z418" s="201"/>
      <c r="AA418" s="61"/>
      <c r="AB418" s="201"/>
      <c r="AC418" s="61"/>
      <c r="AD418" s="201">
        <v>6.1</v>
      </c>
      <c r="AE418" s="61"/>
      <c r="AF418" s="61">
        <v>0</v>
      </c>
      <c r="AG418" s="61"/>
      <c r="AH418" s="61"/>
      <c r="AI418" s="61"/>
      <c r="AJ418" s="61"/>
      <c r="AK418" s="61"/>
      <c r="AL418" s="291">
        <v>24</v>
      </c>
      <c r="AM418" s="201">
        <v>23</v>
      </c>
      <c r="AN418" s="201">
        <v>16</v>
      </c>
      <c r="AO418" s="61"/>
      <c r="AP418" s="61"/>
      <c r="AQ418" s="61"/>
      <c r="AR418" s="61"/>
      <c r="AS418" s="101" t="s">
        <v>253</v>
      </c>
      <c r="AT418" s="206" t="str">
        <f t="shared" si="6"/>
        <v>44688-417</v>
      </c>
    </row>
    <row r="419" spans="1:46" x14ac:dyDescent="0.35">
      <c r="A419" s="204">
        <v>418</v>
      </c>
      <c r="B419" s="14" t="s">
        <v>83</v>
      </c>
      <c r="C419" s="1" t="s">
        <v>152</v>
      </c>
      <c r="D419" s="1" t="s">
        <v>161</v>
      </c>
      <c r="E419" s="12">
        <v>44688</v>
      </c>
      <c r="F419" s="201">
        <v>1.35337938</v>
      </c>
      <c r="G419" s="201">
        <v>1.136907737</v>
      </c>
      <c r="H419" s="201">
        <v>0.15989347779999999</v>
      </c>
      <c r="I419" s="201">
        <v>0.15055670970000001</v>
      </c>
      <c r="J419" s="201">
        <v>0</v>
      </c>
      <c r="K419" s="201">
        <v>0</v>
      </c>
      <c r="L419" s="201"/>
      <c r="M419" s="201">
        <v>15.84445717</v>
      </c>
      <c r="N419" s="201">
        <v>0</v>
      </c>
      <c r="O419" s="201">
        <v>0.82823563899999997</v>
      </c>
      <c r="P419" s="201">
        <v>1044.8339539999999</v>
      </c>
      <c r="Q419" s="201">
        <v>1002.269318</v>
      </c>
      <c r="R419" s="201"/>
      <c r="S419" s="201"/>
      <c r="T419" s="201">
        <v>3600.1838120000002</v>
      </c>
      <c r="U419" s="201">
        <v>20.14530856</v>
      </c>
      <c r="V419" s="201"/>
      <c r="W419" s="201"/>
      <c r="X419" s="201"/>
      <c r="Y419" s="201"/>
      <c r="Z419" s="201"/>
      <c r="AA419" s="61"/>
      <c r="AB419" s="201"/>
      <c r="AC419" s="61"/>
      <c r="AD419" s="201">
        <v>6.2</v>
      </c>
      <c r="AE419" s="61"/>
      <c r="AF419" s="61">
        <v>0</v>
      </c>
      <c r="AG419" s="61"/>
      <c r="AH419" s="61"/>
      <c r="AI419" s="61"/>
      <c r="AJ419" s="61"/>
      <c r="AK419" s="61"/>
      <c r="AL419" s="291">
        <v>24</v>
      </c>
      <c r="AM419" s="201">
        <v>23</v>
      </c>
      <c r="AN419" s="201">
        <v>16</v>
      </c>
      <c r="AO419" s="61"/>
      <c r="AP419" s="61"/>
      <c r="AQ419" s="61"/>
      <c r="AR419" s="61"/>
      <c r="AS419" s="101" t="s">
        <v>254</v>
      </c>
      <c r="AT419" s="206" t="str">
        <f t="shared" si="6"/>
        <v>44688-418</v>
      </c>
    </row>
    <row r="420" spans="1:46" x14ac:dyDescent="0.35">
      <c r="A420" s="204">
        <v>419</v>
      </c>
      <c r="B420" s="14" t="s">
        <v>83</v>
      </c>
      <c r="C420" s="1" t="s">
        <v>198</v>
      </c>
      <c r="D420" s="1" t="s">
        <v>161</v>
      </c>
      <c r="E420" s="12">
        <v>44688</v>
      </c>
      <c r="F420" s="201">
        <v>1.202947105</v>
      </c>
      <c r="G420" s="201">
        <v>0.93751427929999998</v>
      </c>
      <c r="H420" s="201">
        <v>5.8827414760000002E-2</v>
      </c>
      <c r="I420" s="201">
        <v>0</v>
      </c>
      <c r="J420" s="201">
        <v>3.3188042090000001E-2</v>
      </c>
      <c r="K420" s="201">
        <v>4.9939704049999999E-2</v>
      </c>
      <c r="L420" s="201"/>
      <c r="M420" s="201">
        <v>16.539721780000001</v>
      </c>
      <c r="N420" s="201">
        <v>0.13128476789999999</v>
      </c>
      <c r="O420" s="201">
        <v>0.79778453859999998</v>
      </c>
      <c r="P420" s="201">
        <v>1062.4080710000001</v>
      </c>
      <c r="Q420" s="201">
        <v>992.05689480000001</v>
      </c>
      <c r="R420" s="201"/>
      <c r="S420" s="201"/>
      <c r="T420" s="201">
        <v>3594.157091</v>
      </c>
      <c r="U420" s="201">
        <v>11.27932034</v>
      </c>
      <c r="V420" s="201"/>
      <c r="W420" s="201"/>
      <c r="X420" s="201"/>
      <c r="Y420" s="201"/>
      <c r="Z420" s="201"/>
      <c r="AA420" s="61"/>
      <c r="AB420" s="201"/>
      <c r="AC420" s="61"/>
      <c r="AD420" s="201">
        <v>11.3</v>
      </c>
      <c r="AE420" s="61"/>
      <c r="AF420" s="61">
        <v>0</v>
      </c>
      <c r="AG420" s="61"/>
      <c r="AH420" s="61"/>
      <c r="AI420" s="61"/>
      <c r="AJ420" s="61"/>
      <c r="AK420" s="61"/>
      <c r="AL420" s="291">
        <v>24</v>
      </c>
      <c r="AM420" s="201">
        <v>23</v>
      </c>
      <c r="AN420" s="201">
        <v>15</v>
      </c>
      <c r="AO420" s="61"/>
      <c r="AP420" s="61"/>
      <c r="AQ420" s="61"/>
      <c r="AR420" s="61"/>
      <c r="AS420" s="101" t="s">
        <v>255</v>
      </c>
      <c r="AT420" s="206" t="str">
        <f t="shared" si="6"/>
        <v>44688-419</v>
      </c>
    </row>
    <row r="421" spans="1:46" x14ac:dyDescent="0.35">
      <c r="A421" s="204">
        <v>420</v>
      </c>
      <c r="B421" s="14" t="s">
        <v>73</v>
      </c>
      <c r="C421" s="1" t="s">
        <v>245</v>
      </c>
      <c r="D421" s="1" t="s">
        <v>150</v>
      </c>
      <c r="E421" s="12">
        <v>44704</v>
      </c>
      <c r="F421" s="201">
        <v>0</v>
      </c>
      <c r="G421" s="201">
        <v>0</v>
      </c>
      <c r="H421" s="201">
        <v>0</v>
      </c>
      <c r="I421" s="201">
        <v>0</v>
      </c>
      <c r="J421" s="201">
        <v>0</v>
      </c>
      <c r="K421" s="201">
        <v>0</v>
      </c>
      <c r="L421" s="201">
        <v>0</v>
      </c>
      <c r="M421" s="201">
        <v>27</v>
      </c>
      <c r="N421" s="201">
        <v>0</v>
      </c>
      <c r="O421" s="201">
        <v>0</v>
      </c>
      <c r="P421" s="201">
        <v>0</v>
      </c>
      <c r="Q421" s="201">
        <v>584</v>
      </c>
      <c r="R421" s="201">
        <v>0</v>
      </c>
      <c r="S421" s="201">
        <v>0</v>
      </c>
      <c r="T421" s="201">
        <v>0</v>
      </c>
      <c r="U421" s="201">
        <v>0</v>
      </c>
      <c r="V421" s="201">
        <v>1</v>
      </c>
      <c r="W421" s="201">
        <v>0</v>
      </c>
      <c r="X421" s="201">
        <v>0</v>
      </c>
      <c r="Y421" s="201">
        <v>0</v>
      </c>
      <c r="Z421" s="201">
        <v>0</v>
      </c>
      <c r="AA421" s="61"/>
      <c r="AB421" s="201">
        <v>0</v>
      </c>
      <c r="AC421" s="61"/>
      <c r="AD421" s="201">
        <v>78.52</v>
      </c>
      <c r="AE421" s="61"/>
      <c r="AF421" s="61"/>
      <c r="AG421" s="61"/>
      <c r="AH421" s="61"/>
      <c r="AI421" s="61"/>
      <c r="AJ421" s="61"/>
      <c r="AK421" s="61"/>
      <c r="AL421" s="291">
        <v>21</v>
      </c>
      <c r="AM421" s="201">
        <v>18</v>
      </c>
      <c r="AN421" s="201">
        <v>1</v>
      </c>
      <c r="AO421" s="61"/>
      <c r="AP421" s="61"/>
      <c r="AQ421" s="61"/>
      <c r="AR421" s="61"/>
      <c r="AS421" s="101" t="s">
        <v>256</v>
      </c>
      <c r="AT421" s="206" t="str">
        <f t="shared" si="6"/>
        <v>44704-420</v>
      </c>
    </row>
    <row r="422" spans="1:46" x14ac:dyDescent="0.35">
      <c r="A422" s="204">
        <v>421</v>
      </c>
      <c r="B422" s="14" t="s">
        <v>73</v>
      </c>
      <c r="C422" s="1" t="s">
        <v>245</v>
      </c>
      <c r="D422" s="1" t="s">
        <v>150</v>
      </c>
      <c r="E422" s="12">
        <v>44707</v>
      </c>
      <c r="F422" s="201">
        <v>0</v>
      </c>
      <c r="G422" s="201">
        <v>0</v>
      </c>
      <c r="H422" s="201">
        <v>0</v>
      </c>
      <c r="I422" s="201">
        <v>0</v>
      </c>
      <c r="J422" s="201">
        <v>0</v>
      </c>
      <c r="K422" s="201">
        <v>0</v>
      </c>
      <c r="L422" s="201">
        <v>0</v>
      </c>
      <c r="M422" s="201">
        <v>22</v>
      </c>
      <c r="N422" s="201">
        <v>0</v>
      </c>
      <c r="O422" s="201">
        <v>0</v>
      </c>
      <c r="P422" s="201">
        <v>0</v>
      </c>
      <c r="Q422" s="201">
        <v>840</v>
      </c>
      <c r="R422" s="201">
        <v>0</v>
      </c>
      <c r="S422" s="201">
        <v>0</v>
      </c>
      <c r="T422" s="201">
        <v>0</v>
      </c>
      <c r="U422" s="201">
        <v>0</v>
      </c>
      <c r="V422" s="201">
        <v>0</v>
      </c>
      <c r="W422" s="201">
        <v>0</v>
      </c>
      <c r="X422" s="201">
        <v>0</v>
      </c>
      <c r="Y422" s="201">
        <v>0</v>
      </c>
      <c r="Z422" s="201">
        <v>0</v>
      </c>
      <c r="AA422" s="61"/>
      <c r="AB422" s="201">
        <v>0</v>
      </c>
      <c r="AC422" s="61"/>
      <c r="AD422" s="201">
        <v>79.72</v>
      </c>
      <c r="AE422" s="61"/>
      <c r="AF422" s="61"/>
      <c r="AG422" s="61"/>
      <c r="AH422" s="61"/>
      <c r="AI422" s="61"/>
      <c r="AJ422" s="61"/>
      <c r="AK422" s="61"/>
      <c r="AL422" s="291">
        <v>24</v>
      </c>
      <c r="AM422" s="201">
        <v>23</v>
      </c>
      <c r="AN422" s="201">
        <v>17</v>
      </c>
      <c r="AO422" s="61"/>
      <c r="AP422" s="61"/>
      <c r="AQ422" s="61"/>
      <c r="AR422" s="61"/>
      <c r="AS422" s="101" t="s">
        <v>256</v>
      </c>
      <c r="AT422" s="206" t="str">
        <f t="shared" si="6"/>
        <v>44707-421</v>
      </c>
    </row>
    <row r="423" spans="1:46" x14ac:dyDescent="0.35">
      <c r="A423" s="204">
        <v>422</v>
      </c>
      <c r="B423" s="14" t="s">
        <v>83</v>
      </c>
      <c r="C423" s="1" t="s">
        <v>160</v>
      </c>
      <c r="D423" s="1" t="s">
        <v>161</v>
      </c>
      <c r="E423" s="12">
        <v>44713</v>
      </c>
      <c r="F423" s="201">
        <v>1.2</v>
      </c>
      <c r="G423" s="201">
        <v>1.2</v>
      </c>
      <c r="H423" s="201">
        <v>0</v>
      </c>
      <c r="I423" s="201">
        <v>0</v>
      </c>
      <c r="J423" s="201">
        <v>0</v>
      </c>
      <c r="K423" s="201">
        <v>0</v>
      </c>
      <c r="L423" s="201"/>
      <c r="M423" s="201">
        <v>8.6</v>
      </c>
      <c r="N423" s="201">
        <v>0</v>
      </c>
      <c r="O423" s="201">
        <v>1.2</v>
      </c>
      <c r="P423" s="201">
        <v>1136.3</v>
      </c>
      <c r="Q423" s="201">
        <v>1270.8</v>
      </c>
      <c r="R423" s="201"/>
      <c r="S423" s="201"/>
      <c r="T423" s="201">
        <v>2207.6999999999998</v>
      </c>
      <c r="U423" s="201">
        <v>439.8</v>
      </c>
      <c r="V423" s="201"/>
      <c r="W423" s="201"/>
      <c r="X423" s="201"/>
      <c r="Y423" s="201"/>
      <c r="Z423" s="201"/>
      <c r="AA423" s="61"/>
      <c r="AB423" s="201"/>
      <c r="AC423" s="61"/>
      <c r="AD423" s="201">
        <v>15.2</v>
      </c>
      <c r="AE423" s="61"/>
      <c r="AF423" s="61">
        <v>0</v>
      </c>
      <c r="AG423" s="61"/>
      <c r="AH423" s="61"/>
      <c r="AI423" s="61"/>
      <c r="AJ423" s="61"/>
      <c r="AK423" s="61"/>
      <c r="AL423" s="291">
        <v>27</v>
      </c>
      <c r="AM423" s="201">
        <v>25</v>
      </c>
      <c r="AN423" s="201">
        <v>22</v>
      </c>
      <c r="AO423" s="61"/>
      <c r="AP423" s="61"/>
      <c r="AQ423" s="61"/>
      <c r="AR423" s="61"/>
      <c r="AS423" s="101" t="s">
        <v>185</v>
      </c>
      <c r="AT423" s="206" t="str">
        <f t="shared" si="6"/>
        <v>44713-422</v>
      </c>
    </row>
    <row r="424" spans="1:46" x14ac:dyDescent="0.35">
      <c r="A424" s="204">
        <v>423</v>
      </c>
      <c r="B424" s="14" t="s">
        <v>83</v>
      </c>
      <c r="C424" s="1" t="s">
        <v>160</v>
      </c>
      <c r="D424" s="1" t="s">
        <v>161</v>
      </c>
      <c r="E424" s="12">
        <v>44713</v>
      </c>
      <c r="F424" s="201">
        <v>1.2</v>
      </c>
      <c r="G424" s="201">
        <v>1.2</v>
      </c>
      <c r="H424" s="201">
        <v>0</v>
      </c>
      <c r="I424" s="201">
        <v>0</v>
      </c>
      <c r="J424" s="201">
        <v>0</v>
      </c>
      <c r="K424" s="201">
        <v>0</v>
      </c>
      <c r="L424" s="201"/>
      <c r="M424" s="201">
        <v>8.8000000000000007</v>
      </c>
      <c r="N424" s="201">
        <v>0</v>
      </c>
      <c r="O424" s="201">
        <v>1.2</v>
      </c>
      <c r="P424" s="201">
        <v>1139.7</v>
      </c>
      <c r="Q424" s="201">
        <v>1274.7</v>
      </c>
      <c r="R424" s="201"/>
      <c r="S424" s="201"/>
      <c r="T424" s="201">
        <v>2207.1999999999998</v>
      </c>
      <c r="U424" s="201">
        <v>439</v>
      </c>
      <c r="V424" s="201"/>
      <c r="W424" s="201"/>
      <c r="X424" s="201"/>
      <c r="Y424" s="201"/>
      <c r="Z424" s="201"/>
      <c r="AA424" s="61"/>
      <c r="AB424" s="201"/>
      <c r="AC424" s="61"/>
      <c r="AD424" s="201">
        <v>15.3</v>
      </c>
      <c r="AE424" s="61"/>
      <c r="AF424" s="61">
        <v>0</v>
      </c>
      <c r="AG424" s="61"/>
      <c r="AH424" s="61"/>
      <c r="AI424" s="61"/>
      <c r="AJ424" s="61"/>
      <c r="AK424" s="61"/>
      <c r="AL424" s="291">
        <v>24</v>
      </c>
      <c r="AM424" s="201">
        <v>22</v>
      </c>
      <c r="AN424" s="201">
        <v>16</v>
      </c>
      <c r="AO424" s="61"/>
      <c r="AP424" s="61"/>
      <c r="AQ424" s="61"/>
      <c r="AR424" s="61"/>
      <c r="AS424" s="101" t="s">
        <v>176</v>
      </c>
      <c r="AT424" s="206" t="str">
        <f t="shared" si="6"/>
        <v>44713-423</v>
      </c>
    </row>
    <row r="425" spans="1:46" x14ac:dyDescent="0.35">
      <c r="A425" s="204">
        <v>424</v>
      </c>
      <c r="B425" s="14" t="s">
        <v>83</v>
      </c>
      <c r="C425" s="1" t="s">
        <v>152</v>
      </c>
      <c r="D425" s="1" t="s">
        <v>161</v>
      </c>
      <c r="E425" s="12">
        <v>44714</v>
      </c>
      <c r="F425" s="201">
        <v>1.4</v>
      </c>
      <c r="G425" s="201">
        <v>1</v>
      </c>
      <c r="H425" s="201">
        <v>0</v>
      </c>
      <c r="I425" s="201">
        <v>0</v>
      </c>
      <c r="J425" s="201">
        <v>0</v>
      </c>
      <c r="K425" s="201">
        <v>0</v>
      </c>
      <c r="L425" s="201"/>
      <c r="M425" s="201">
        <v>13.2</v>
      </c>
      <c r="N425" s="201">
        <v>0.5</v>
      </c>
      <c r="O425" s="201">
        <v>0.3</v>
      </c>
      <c r="P425" s="201">
        <v>1159.7</v>
      </c>
      <c r="Q425" s="201">
        <v>986.1</v>
      </c>
      <c r="R425" s="201"/>
      <c r="S425" s="201"/>
      <c r="T425" s="201">
        <v>3829.3</v>
      </c>
      <c r="U425" s="201">
        <v>10.3</v>
      </c>
      <c r="V425" s="201"/>
      <c r="W425" s="201"/>
      <c r="X425" s="201"/>
      <c r="Y425" s="201"/>
      <c r="Z425" s="201"/>
      <c r="AA425" s="61"/>
      <c r="AB425" s="201"/>
      <c r="AC425" s="61"/>
      <c r="AD425" s="201">
        <v>6.2</v>
      </c>
      <c r="AE425" s="61"/>
      <c r="AF425" s="61">
        <v>0</v>
      </c>
      <c r="AG425" s="61"/>
      <c r="AH425" s="61"/>
      <c r="AI425" s="61"/>
      <c r="AJ425" s="61"/>
      <c r="AK425" s="61"/>
      <c r="AL425" s="291">
        <v>23</v>
      </c>
      <c r="AM425" s="201">
        <v>22</v>
      </c>
      <c r="AN425" s="201">
        <v>17</v>
      </c>
      <c r="AO425" s="61"/>
      <c r="AP425" s="61"/>
      <c r="AQ425" s="61"/>
      <c r="AR425" s="61"/>
      <c r="AS425" s="101" t="s">
        <v>162</v>
      </c>
      <c r="AT425" s="206" t="str">
        <f t="shared" si="6"/>
        <v>44714-424</v>
      </c>
    </row>
    <row r="426" spans="1:46" x14ac:dyDescent="0.35">
      <c r="A426" s="204">
        <v>425</v>
      </c>
      <c r="B426" s="14" t="s">
        <v>83</v>
      </c>
      <c r="C426" s="1" t="s">
        <v>160</v>
      </c>
      <c r="D426" s="1" t="s">
        <v>161</v>
      </c>
      <c r="E426" s="12">
        <v>44714</v>
      </c>
      <c r="F426" s="201">
        <v>1.6</v>
      </c>
      <c r="G426" s="201">
        <v>1.1000000000000001</v>
      </c>
      <c r="H426" s="201">
        <v>0</v>
      </c>
      <c r="I426" s="201">
        <v>0</v>
      </c>
      <c r="J426" s="201">
        <v>0</v>
      </c>
      <c r="K426" s="201">
        <v>0</v>
      </c>
      <c r="L426" s="201"/>
      <c r="M426" s="201">
        <v>6.2</v>
      </c>
      <c r="N426" s="201">
        <v>0</v>
      </c>
      <c r="O426" s="201">
        <v>1.6</v>
      </c>
      <c r="P426" s="201">
        <v>1378.2</v>
      </c>
      <c r="Q426" s="201">
        <v>1256.2</v>
      </c>
      <c r="R426" s="201"/>
      <c r="S426" s="201"/>
      <c r="T426" s="201">
        <v>2550.1999999999998</v>
      </c>
      <c r="U426" s="201">
        <v>489.3</v>
      </c>
      <c r="V426" s="201"/>
      <c r="W426" s="201"/>
      <c r="X426" s="201"/>
      <c r="Y426" s="201"/>
      <c r="Z426" s="201"/>
      <c r="AA426" s="61"/>
      <c r="AB426" s="201"/>
      <c r="AC426" s="61"/>
      <c r="AD426" s="201">
        <v>15</v>
      </c>
      <c r="AE426" s="61"/>
      <c r="AF426" s="61">
        <v>0</v>
      </c>
      <c r="AG426" s="61"/>
      <c r="AH426" s="61"/>
      <c r="AI426" s="61"/>
      <c r="AJ426" s="61"/>
      <c r="AK426" s="61"/>
      <c r="AL426" s="291">
        <v>23</v>
      </c>
      <c r="AM426" s="201">
        <v>21</v>
      </c>
      <c r="AN426" s="201">
        <v>14</v>
      </c>
      <c r="AO426" s="61"/>
      <c r="AP426" s="61"/>
      <c r="AQ426" s="61"/>
      <c r="AR426" s="61"/>
      <c r="AS426" s="101" t="s">
        <v>163</v>
      </c>
      <c r="AT426" s="206" t="str">
        <f t="shared" si="6"/>
        <v>44714-425</v>
      </c>
    </row>
    <row r="427" spans="1:46" x14ac:dyDescent="0.35">
      <c r="A427" s="204">
        <v>426</v>
      </c>
      <c r="B427" s="14" t="s">
        <v>83</v>
      </c>
      <c r="C427" s="1" t="s">
        <v>152</v>
      </c>
      <c r="D427" s="1" t="s">
        <v>161</v>
      </c>
      <c r="E427" s="12">
        <v>44714</v>
      </c>
      <c r="F427" s="201">
        <v>1.1000000000000001</v>
      </c>
      <c r="G427" s="201">
        <v>1.1000000000000001</v>
      </c>
      <c r="H427" s="201">
        <v>0</v>
      </c>
      <c r="I427" s="201">
        <v>0</v>
      </c>
      <c r="J427" s="201">
        <v>0</v>
      </c>
      <c r="K427" s="201">
        <v>0</v>
      </c>
      <c r="L427" s="201"/>
      <c r="M427" s="201">
        <v>14.9</v>
      </c>
      <c r="N427" s="201">
        <v>0.6</v>
      </c>
      <c r="O427" s="201">
        <v>0</v>
      </c>
      <c r="P427" s="201">
        <v>1133.4000000000001</v>
      </c>
      <c r="Q427" s="201">
        <v>966.8</v>
      </c>
      <c r="R427" s="201"/>
      <c r="S427" s="201"/>
      <c r="T427" s="201">
        <v>3752.5</v>
      </c>
      <c r="U427" s="201">
        <v>11.7</v>
      </c>
      <c r="V427" s="201"/>
      <c r="W427" s="201"/>
      <c r="X427" s="201"/>
      <c r="Y427" s="201"/>
      <c r="Z427" s="201"/>
      <c r="AA427" s="61"/>
      <c r="AB427" s="201"/>
      <c r="AC427" s="61"/>
      <c r="AD427" s="201">
        <v>6.1</v>
      </c>
      <c r="AE427" s="61"/>
      <c r="AF427" s="61">
        <v>0</v>
      </c>
      <c r="AG427" s="61"/>
      <c r="AH427" s="61"/>
      <c r="AI427" s="61"/>
      <c r="AJ427" s="61"/>
      <c r="AK427" s="61"/>
      <c r="AL427" s="291">
        <v>23</v>
      </c>
      <c r="AM427" s="201">
        <v>22</v>
      </c>
      <c r="AN427" s="201">
        <v>16</v>
      </c>
      <c r="AO427" s="61"/>
      <c r="AP427" s="61"/>
      <c r="AQ427" s="61"/>
      <c r="AR427" s="61"/>
      <c r="AS427" s="101" t="s">
        <v>164</v>
      </c>
      <c r="AT427" s="206" t="str">
        <f t="shared" si="6"/>
        <v>44714-426</v>
      </c>
    </row>
    <row r="428" spans="1:46" x14ac:dyDescent="0.35">
      <c r="A428" s="204">
        <v>427</v>
      </c>
      <c r="B428" s="14" t="s">
        <v>83</v>
      </c>
      <c r="C428" s="1" t="s">
        <v>152</v>
      </c>
      <c r="D428" s="1" t="s">
        <v>161</v>
      </c>
      <c r="E428" s="12">
        <v>44714</v>
      </c>
      <c r="F428" s="201">
        <v>1.1000000000000001</v>
      </c>
      <c r="G428" s="201">
        <v>1</v>
      </c>
      <c r="H428" s="201">
        <v>0</v>
      </c>
      <c r="I428" s="201">
        <v>0</v>
      </c>
      <c r="J428" s="201">
        <v>0</v>
      </c>
      <c r="K428" s="201">
        <v>0</v>
      </c>
      <c r="L428" s="201"/>
      <c r="M428" s="201">
        <v>13.4</v>
      </c>
      <c r="N428" s="201">
        <v>0.6</v>
      </c>
      <c r="O428" s="201">
        <v>0.2</v>
      </c>
      <c r="P428" s="201">
        <v>1117.3</v>
      </c>
      <c r="Q428" s="201">
        <v>963.8</v>
      </c>
      <c r="R428" s="201"/>
      <c r="S428" s="201"/>
      <c r="T428" s="201">
        <v>3711.9</v>
      </c>
      <c r="U428" s="201">
        <v>11.1</v>
      </c>
      <c r="V428" s="201"/>
      <c r="W428" s="201"/>
      <c r="X428" s="201"/>
      <c r="Y428" s="201"/>
      <c r="Z428" s="201"/>
      <c r="AA428" s="61"/>
      <c r="AB428" s="201"/>
      <c r="AC428" s="61"/>
      <c r="AD428" s="201">
        <v>6.1</v>
      </c>
      <c r="AE428" s="61"/>
      <c r="AF428" s="61">
        <v>0</v>
      </c>
      <c r="AG428" s="61"/>
      <c r="AH428" s="61"/>
      <c r="AI428" s="61"/>
      <c r="AJ428" s="61"/>
      <c r="AK428" s="61"/>
      <c r="AL428" s="291">
        <v>23</v>
      </c>
      <c r="AM428" s="201">
        <v>22</v>
      </c>
      <c r="AN428" s="201">
        <v>16</v>
      </c>
      <c r="AO428" s="61"/>
      <c r="AP428" s="61"/>
      <c r="AQ428" s="61"/>
      <c r="AR428" s="61"/>
      <c r="AS428" s="101" t="s">
        <v>172</v>
      </c>
      <c r="AT428" s="206" t="str">
        <f t="shared" si="6"/>
        <v>44714-427</v>
      </c>
    </row>
    <row r="429" spans="1:46" x14ac:dyDescent="0.35">
      <c r="A429" s="204">
        <v>428</v>
      </c>
      <c r="B429" s="14" t="s">
        <v>83</v>
      </c>
      <c r="C429" s="1" t="s">
        <v>160</v>
      </c>
      <c r="D429" s="1" t="s">
        <v>161</v>
      </c>
      <c r="E429" s="12">
        <v>44714</v>
      </c>
      <c r="F429" s="201">
        <v>1.4</v>
      </c>
      <c r="G429" s="201">
        <v>1.2</v>
      </c>
      <c r="H429" s="201">
        <v>0</v>
      </c>
      <c r="I429" s="201">
        <v>0</v>
      </c>
      <c r="J429" s="201">
        <v>0</v>
      </c>
      <c r="K429" s="201">
        <v>0</v>
      </c>
      <c r="L429" s="201"/>
      <c r="M429" s="201">
        <v>5.7</v>
      </c>
      <c r="N429" s="201">
        <v>0.6</v>
      </c>
      <c r="O429" s="201">
        <v>1.8</v>
      </c>
      <c r="P429" s="201">
        <v>1282.2</v>
      </c>
      <c r="Q429" s="201">
        <v>1181</v>
      </c>
      <c r="R429" s="201"/>
      <c r="S429" s="201"/>
      <c r="T429" s="201">
        <v>2432.5</v>
      </c>
      <c r="U429" s="201">
        <v>473</v>
      </c>
      <c r="V429" s="201"/>
      <c r="W429" s="201"/>
      <c r="X429" s="201"/>
      <c r="Y429" s="201"/>
      <c r="Z429" s="201"/>
      <c r="AA429" s="61"/>
      <c r="AB429" s="201"/>
      <c r="AC429" s="61"/>
      <c r="AD429" s="201">
        <v>15</v>
      </c>
      <c r="AE429" s="61"/>
      <c r="AF429" s="61">
        <v>0</v>
      </c>
      <c r="AG429" s="61"/>
      <c r="AH429" s="61"/>
      <c r="AI429" s="61"/>
      <c r="AJ429" s="61"/>
      <c r="AK429" s="61"/>
      <c r="AL429" s="291">
        <v>23</v>
      </c>
      <c r="AM429" s="201">
        <v>21</v>
      </c>
      <c r="AN429" s="201">
        <v>14</v>
      </c>
      <c r="AO429" s="61"/>
      <c r="AP429" s="61"/>
      <c r="AQ429" s="61"/>
      <c r="AR429" s="61"/>
      <c r="AS429" s="101" t="s">
        <v>191</v>
      </c>
      <c r="AT429" s="206" t="str">
        <f t="shared" si="6"/>
        <v>44714-428</v>
      </c>
    </row>
    <row r="430" spans="1:46" x14ac:dyDescent="0.35">
      <c r="A430" s="204">
        <v>429</v>
      </c>
      <c r="B430" s="14" t="s">
        <v>83</v>
      </c>
      <c r="C430" s="1" t="s">
        <v>152</v>
      </c>
      <c r="D430" s="1" t="s">
        <v>161</v>
      </c>
      <c r="E430" s="12">
        <v>44714</v>
      </c>
      <c r="F430" s="201">
        <v>1.1000000000000001</v>
      </c>
      <c r="G430" s="201">
        <v>1.1000000000000001</v>
      </c>
      <c r="H430" s="201">
        <v>0</v>
      </c>
      <c r="I430" s="201">
        <v>0</v>
      </c>
      <c r="J430" s="201">
        <v>0</v>
      </c>
      <c r="K430" s="201">
        <v>0</v>
      </c>
      <c r="L430" s="201"/>
      <c r="M430" s="201">
        <v>10.4</v>
      </c>
      <c r="N430" s="201">
        <v>0.6</v>
      </c>
      <c r="O430" s="201">
        <v>0.4</v>
      </c>
      <c r="P430" s="201">
        <v>1114.5999999999999</v>
      </c>
      <c r="Q430" s="201">
        <v>966.2</v>
      </c>
      <c r="R430" s="201"/>
      <c r="S430" s="201"/>
      <c r="T430" s="201">
        <v>3698.7</v>
      </c>
      <c r="U430" s="201">
        <v>10.5</v>
      </c>
      <c r="V430" s="201"/>
      <c r="W430" s="201"/>
      <c r="X430" s="201"/>
      <c r="Y430" s="201"/>
      <c r="Z430" s="201"/>
      <c r="AA430" s="61"/>
      <c r="AB430" s="201"/>
      <c r="AC430" s="61"/>
      <c r="AD430" s="201">
        <v>6.1</v>
      </c>
      <c r="AE430" s="61"/>
      <c r="AF430" s="61">
        <v>0</v>
      </c>
      <c r="AG430" s="61"/>
      <c r="AH430" s="61"/>
      <c r="AI430" s="61"/>
      <c r="AJ430" s="61"/>
      <c r="AK430" s="61"/>
      <c r="AL430" s="291">
        <v>22</v>
      </c>
      <c r="AM430" s="201">
        <v>21</v>
      </c>
      <c r="AN430" s="201">
        <v>16</v>
      </c>
      <c r="AO430" s="61"/>
      <c r="AP430" s="61"/>
      <c r="AQ430" s="61"/>
      <c r="AR430" s="61"/>
      <c r="AS430" s="101" t="s">
        <v>192</v>
      </c>
      <c r="AT430" s="206" t="str">
        <f t="shared" si="6"/>
        <v>44714-429</v>
      </c>
    </row>
    <row r="431" spans="1:46" x14ac:dyDescent="0.35">
      <c r="A431" s="204">
        <v>430</v>
      </c>
      <c r="B431" s="14" t="s">
        <v>83</v>
      </c>
      <c r="C431" s="1" t="s">
        <v>152</v>
      </c>
      <c r="D431" s="1" t="s">
        <v>161</v>
      </c>
      <c r="E431" s="12">
        <v>44715</v>
      </c>
      <c r="F431" s="201">
        <v>1.5</v>
      </c>
      <c r="G431" s="201">
        <v>1</v>
      </c>
      <c r="H431" s="201">
        <v>0</v>
      </c>
      <c r="I431" s="201">
        <v>0</v>
      </c>
      <c r="J431" s="201">
        <v>0</v>
      </c>
      <c r="K431" s="201">
        <v>0</v>
      </c>
      <c r="L431" s="201"/>
      <c r="M431" s="201">
        <v>11.2</v>
      </c>
      <c r="N431" s="201">
        <v>0.5</v>
      </c>
      <c r="O431" s="201">
        <v>0.1</v>
      </c>
      <c r="P431" s="201">
        <v>1175.4000000000001</v>
      </c>
      <c r="Q431" s="201">
        <v>978.4</v>
      </c>
      <c r="R431" s="201"/>
      <c r="S431" s="201"/>
      <c r="T431" s="201">
        <v>3880.7</v>
      </c>
      <c r="U431" s="201">
        <v>10.5</v>
      </c>
      <c r="V431" s="201"/>
      <c r="W431" s="201"/>
      <c r="X431" s="201"/>
      <c r="Y431" s="201"/>
      <c r="Z431" s="201"/>
      <c r="AA431" s="61"/>
      <c r="AB431" s="201"/>
      <c r="AC431" s="61"/>
      <c r="AD431" s="201">
        <v>6.1</v>
      </c>
      <c r="AE431" s="61"/>
      <c r="AF431" s="61">
        <v>0</v>
      </c>
      <c r="AG431" s="61"/>
      <c r="AH431" s="61"/>
      <c r="AI431" s="61"/>
      <c r="AJ431" s="61"/>
      <c r="AK431" s="61"/>
      <c r="AL431" s="291">
        <v>23</v>
      </c>
      <c r="AM431" s="201">
        <v>22</v>
      </c>
      <c r="AN431" s="201">
        <v>17</v>
      </c>
      <c r="AO431" s="61"/>
      <c r="AP431" s="61"/>
      <c r="AQ431" s="61"/>
      <c r="AR431" s="61"/>
      <c r="AS431" s="101" t="s">
        <v>181</v>
      </c>
      <c r="AT431" s="206" t="str">
        <f t="shared" si="6"/>
        <v>44715-430</v>
      </c>
    </row>
    <row r="432" spans="1:46" x14ac:dyDescent="0.35">
      <c r="A432" s="204">
        <v>431</v>
      </c>
      <c r="B432" s="14" t="s">
        <v>83</v>
      </c>
      <c r="C432" s="1" t="s">
        <v>160</v>
      </c>
      <c r="D432" s="1" t="s">
        <v>161</v>
      </c>
      <c r="E432" s="12">
        <v>44715</v>
      </c>
      <c r="F432" s="201">
        <v>2</v>
      </c>
      <c r="G432" s="201">
        <v>1.2</v>
      </c>
      <c r="H432" s="201">
        <v>0</v>
      </c>
      <c r="I432" s="201">
        <v>0</v>
      </c>
      <c r="J432" s="201">
        <v>0</v>
      </c>
      <c r="K432" s="201">
        <v>0</v>
      </c>
      <c r="L432" s="201"/>
      <c r="M432" s="201">
        <v>5.7</v>
      </c>
      <c r="N432" s="201">
        <v>1.1000000000000001</v>
      </c>
      <c r="O432" s="201">
        <v>1.8</v>
      </c>
      <c r="P432" s="201">
        <v>1304.0999999999999</v>
      </c>
      <c r="Q432" s="201">
        <v>1172.9000000000001</v>
      </c>
      <c r="R432" s="201"/>
      <c r="S432" s="201"/>
      <c r="T432" s="201">
        <v>2466</v>
      </c>
      <c r="U432" s="201">
        <v>483.4</v>
      </c>
      <c r="V432" s="201"/>
      <c r="W432" s="201"/>
      <c r="X432" s="201"/>
      <c r="Y432" s="201"/>
      <c r="Z432" s="201"/>
      <c r="AA432" s="61"/>
      <c r="AB432" s="201"/>
      <c r="AC432" s="61"/>
      <c r="AD432" s="201">
        <v>15</v>
      </c>
      <c r="AE432" s="61"/>
      <c r="AF432" s="61">
        <v>0</v>
      </c>
      <c r="AG432" s="61"/>
      <c r="AH432" s="61"/>
      <c r="AI432" s="61"/>
      <c r="AJ432" s="61"/>
      <c r="AK432" s="61"/>
      <c r="AL432" s="291">
        <v>22</v>
      </c>
      <c r="AM432" s="201">
        <v>21</v>
      </c>
      <c r="AN432" s="201">
        <v>15</v>
      </c>
      <c r="AO432" s="61"/>
      <c r="AP432" s="61"/>
      <c r="AQ432" s="61"/>
      <c r="AR432" s="61"/>
      <c r="AS432" s="101" t="s">
        <v>182</v>
      </c>
      <c r="AT432" s="206" t="str">
        <f t="shared" si="6"/>
        <v>44715-431</v>
      </c>
    </row>
    <row r="433" spans="1:46" x14ac:dyDescent="0.35">
      <c r="A433" s="204">
        <v>432</v>
      </c>
      <c r="B433" s="14" t="s">
        <v>83</v>
      </c>
      <c r="C433" s="1" t="s">
        <v>160</v>
      </c>
      <c r="D433" s="1" t="s">
        <v>161</v>
      </c>
      <c r="E433" s="12">
        <v>44715</v>
      </c>
      <c r="F433" s="201">
        <v>1.7</v>
      </c>
      <c r="G433" s="201">
        <v>1.1000000000000001</v>
      </c>
      <c r="H433" s="201">
        <v>0</v>
      </c>
      <c r="I433" s="201">
        <v>0</v>
      </c>
      <c r="J433" s="201">
        <v>0</v>
      </c>
      <c r="K433" s="201">
        <v>0</v>
      </c>
      <c r="L433" s="201"/>
      <c r="M433" s="201">
        <v>5.9</v>
      </c>
      <c r="N433" s="201">
        <v>1.2</v>
      </c>
      <c r="O433" s="201">
        <v>1.3</v>
      </c>
      <c r="P433" s="201">
        <v>1310.9</v>
      </c>
      <c r="Q433" s="201">
        <v>1179</v>
      </c>
      <c r="R433" s="201"/>
      <c r="S433" s="201"/>
      <c r="T433" s="201">
        <v>2502.4</v>
      </c>
      <c r="U433" s="201">
        <v>491.7</v>
      </c>
      <c r="V433" s="201"/>
      <c r="W433" s="201"/>
      <c r="X433" s="201"/>
      <c r="Y433" s="201"/>
      <c r="Z433" s="201"/>
      <c r="AA433" s="61"/>
      <c r="AB433" s="201"/>
      <c r="AC433" s="61"/>
      <c r="AD433" s="201">
        <v>15</v>
      </c>
      <c r="AE433" s="61"/>
      <c r="AF433" s="61">
        <v>0</v>
      </c>
      <c r="AG433" s="61"/>
      <c r="AH433" s="61"/>
      <c r="AI433" s="61"/>
      <c r="AJ433" s="61"/>
      <c r="AK433" s="61"/>
      <c r="AL433" s="291">
        <v>23</v>
      </c>
      <c r="AM433" s="201">
        <v>21</v>
      </c>
      <c r="AN433" s="201">
        <v>15</v>
      </c>
      <c r="AO433" s="61"/>
      <c r="AP433" s="61"/>
      <c r="AQ433" s="61"/>
      <c r="AR433" s="61"/>
      <c r="AS433" s="101" t="s">
        <v>183</v>
      </c>
      <c r="AT433" s="206" t="str">
        <f t="shared" si="6"/>
        <v>44715-432</v>
      </c>
    </row>
    <row r="434" spans="1:46" x14ac:dyDescent="0.35">
      <c r="A434" s="204">
        <v>433</v>
      </c>
      <c r="B434" s="14" t="s">
        <v>83</v>
      </c>
      <c r="C434" s="1" t="s">
        <v>152</v>
      </c>
      <c r="D434" s="1" t="s">
        <v>161</v>
      </c>
      <c r="E434" s="12">
        <v>44715</v>
      </c>
      <c r="F434" s="201">
        <v>1</v>
      </c>
      <c r="G434" s="201">
        <v>0.9</v>
      </c>
      <c r="H434" s="201">
        <v>0</v>
      </c>
      <c r="I434" s="201">
        <v>0</v>
      </c>
      <c r="J434" s="201">
        <v>0</v>
      </c>
      <c r="K434" s="201">
        <v>0</v>
      </c>
      <c r="L434" s="201"/>
      <c r="M434" s="201">
        <v>11.4</v>
      </c>
      <c r="N434" s="201">
        <v>0.8</v>
      </c>
      <c r="O434" s="201">
        <v>0.3</v>
      </c>
      <c r="P434" s="201">
        <v>1033.2</v>
      </c>
      <c r="Q434" s="201">
        <v>886.3</v>
      </c>
      <c r="R434" s="201"/>
      <c r="S434" s="201"/>
      <c r="T434" s="201">
        <v>3464</v>
      </c>
      <c r="U434" s="201">
        <v>10.3</v>
      </c>
      <c r="V434" s="201"/>
      <c r="W434" s="201"/>
      <c r="X434" s="201"/>
      <c r="Y434" s="201"/>
      <c r="Z434" s="201"/>
      <c r="AA434" s="61"/>
      <c r="AB434" s="201"/>
      <c r="AC434" s="61"/>
      <c r="AD434" s="201">
        <v>6.2</v>
      </c>
      <c r="AE434" s="61"/>
      <c r="AF434" s="61">
        <v>0</v>
      </c>
      <c r="AG434" s="61"/>
      <c r="AH434" s="61"/>
      <c r="AI434" s="61"/>
      <c r="AJ434" s="61"/>
      <c r="AK434" s="61"/>
      <c r="AL434" s="291">
        <v>22</v>
      </c>
      <c r="AM434" s="201">
        <v>21</v>
      </c>
      <c r="AN434" s="201">
        <v>16</v>
      </c>
      <c r="AO434" s="61"/>
      <c r="AP434" s="61"/>
      <c r="AQ434" s="61"/>
      <c r="AR434" s="61"/>
      <c r="AS434" s="101" t="s">
        <v>192</v>
      </c>
      <c r="AT434" s="206" t="str">
        <f t="shared" si="6"/>
        <v>44715-433</v>
      </c>
    </row>
    <row r="435" spans="1:46" x14ac:dyDescent="0.35">
      <c r="A435" s="204">
        <v>434</v>
      </c>
      <c r="B435" s="14" t="s">
        <v>83</v>
      </c>
      <c r="C435" s="1" t="s">
        <v>160</v>
      </c>
      <c r="D435" s="1" t="s">
        <v>161</v>
      </c>
      <c r="E435" s="12">
        <v>44715</v>
      </c>
      <c r="F435" s="201">
        <v>1.5</v>
      </c>
      <c r="G435" s="201">
        <v>1.1000000000000001</v>
      </c>
      <c r="H435" s="201">
        <v>0</v>
      </c>
      <c r="I435" s="201">
        <v>0</v>
      </c>
      <c r="J435" s="201">
        <v>0</v>
      </c>
      <c r="K435" s="201">
        <v>0</v>
      </c>
      <c r="L435" s="201"/>
      <c r="M435" s="201">
        <v>5.9</v>
      </c>
      <c r="N435" s="201">
        <v>1.2</v>
      </c>
      <c r="O435" s="201">
        <v>1.7</v>
      </c>
      <c r="P435" s="201">
        <v>1316.4</v>
      </c>
      <c r="Q435" s="201">
        <v>1174.0999999999999</v>
      </c>
      <c r="R435" s="201"/>
      <c r="S435" s="201"/>
      <c r="T435" s="201">
        <v>2491.1</v>
      </c>
      <c r="U435" s="201">
        <v>480.7</v>
      </c>
      <c r="V435" s="201"/>
      <c r="W435" s="201"/>
      <c r="X435" s="201"/>
      <c r="Y435" s="201"/>
      <c r="Z435" s="201"/>
      <c r="AA435" s="61"/>
      <c r="AB435" s="201"/>
      <c r="AC435" s="61"/>
      <c r="AD435" s="201">
        <v>14.9</v>
      </c>
      <c r="AE435" s="61"/>
      <c r="AF435" s="61">
        <v>0</v>
      </c>
      <c r="AG435" s="61"/>
      <c r="AH435" s="61"/>
      <c r="AI435" s="61"/>
      <c r="AJ435" s="61"/>
      <c r="AK435" s="61"/>
      <c r="AL435" s="291">
        <v>23</v>
      </c>
      <c r="AM435" s="201">
        <v>21</v>
      </c>
      <c r="AN435" s="201">
        <v>14</v>
      </c>
      <c r="AO435" s="61"/>
      <c r="AP435" s="61"/>
      <c r="AQ435" s="61"/>
      <c r="AR435" s="61"/>
      <c r="AS435" s="101" t="s">
        <v>171</v>
      </c>
      <c r="AT435" s="206" t="str">
        <f t="shared" si="6"/>
        <v>44715-434</v>
      </c>
    </row>
    <row r="436" spans="1:46" x14ac:dyDescent="0.35">
      <c r="A436" s="204">
        <v>435</v>
      </c>
      <c r="B436" s="14" t="s">
        <v>83</v>
      </c>
      <c r="C436" s="1" t="s">
        <v>160</v>
      </c>
      <c r="D436" s="1" t="s">
        <v>161</v>
      </c>
      <c r="E436" s="12">
        <v>44715</v>
      </c>
      <c r="F436" s="201">
        <v>1.5</v>
      </c>
      <c r="G436" s="201">
        <v>1.2</v>
      </c>
      <c r="H436" s="201">
        <v>0</v>
      </c>
      <c r="I436" s="201">
        <v>0</v>
      </c>
      <c r="J436" s="201">
        <v>0</v>
      </c>
      <c r="K436" s="201">
        <v>0</v>
      </c>
      <c r="L436" s="201"/>
      <c r="M436" s="201">
        <v>6.3</v>
      </c>
      <c r="N436" s="201">
        <v>1.2</v>
      </c>
      <c r="O436" s="201">
        <v>1.9</v>
      </c>
      <c r="P436" s="201">
        <v>1300.7</v>
      </c>
      <c r="Q436" s="201">
        <v>1241.5999999999999</v>
      </c>
      <c r="R436" s="201"/>
      <c r="S436" s="201"/>
      <c r="T436" s="201">
        <v>2476.8000000000002</v>
      </c>
      <c r="U436" s="201">
        <v>473.2</v>
      </c>
      <c r="V436" s="201"/>
      <c r="W436" s="201"/>
      <c r="X436" s="201"/>
      <c r="Y436" s="201"/>
      <c r="Z436" s="201"/>
      <c r="AA436" s="61"/>
      <c r="AB436" s="201"/>
      <c r="AC436" s="61"/>
      <c r="AD436" s="201">
        <v>15</v>
      </c>
      <c r="AE436" s="61"/>
      <c r="AF436" s="61">
        <v>0</v>
      </c>
      <c r="AG436" s="61"/>
      <c r="AH436" s="61"/>
      <c r="AI436" s="61"/>
      <c r="AJ436" s="61"/>
      <c r="AK436" s="61"/>
      <c r="AL436" s="291">
        <v>23</v>
      </c>
      <c r="AM436" s="201">
        <v>21</v>
      </c>
      <c r="AN436" s="201">
        <v>14</v>
      </c>
      <c r="AO436" s="61"/>
      <c r="AP436" s="61"/>
      <c r="AQ436" s="61"/>
      <c r="AR436" s="61"/>
      <c r="AS436" s="101" t="s">
        <v>191</v>
      </c>
      <c r="AT436" s="206" t="str">
        <f t="shared" si="6"/>
        <v>44715-435</v>
      </c>
    </row>
    <row r="437" spans="1:46" x14ac:dyDescent="0.35">
      <c r="A437" s="204">
        <v>436</v>
      </c>
      <c r="B437" s="14" t="s">
        <v>83</v>
      </c>
      <c r="C437" s="1" t="s">
        <v>160</v>
      </c>
      <c r="D437" s="1" t="s">
        <v>161</v>
      </c>
      <c r="E437" s="12">
        <v>44717</v>
      </c>
      <c r="F437" s="201">
        <v>1.6</v>
      </c>
      <c r="G437" s="201">
        <v>1.5</v>
      </c>
      <c r="H437" s="201">
        <v>0</v>
      </c>
      <c r="I437" s="201">
        <v>0</v>
      </c>
      <c r="J437" s="201">
        <v>0</v>
      </c>
      <c r="K437" s="201">
        <v>0.1</v>
      </c>
      <c r="L437" s="201"/>
      <c r="M437" s="201">
        <v>7.2</v>
      </c>
      <c r="N437" s="201">
        <v>0</v>
      </c>
      <c r="O437" s="201">
        <v>1.3</v>
      </c>
      <c r="P437" s="201">
        <v>1233.7</v>
      </c>
      <c r="Q437" s="201">
        <v>1212.3</v>
      </c>
      <c r="R437" s="201"/>
      <c r="S437" s="201"/>
      <c r="T437" s="201">
        <v>2358.4</v>
      </c>
      <c r="U437" s="201">
        <v>481.8</v>
      </c>
      <c r="V437" s="201"/>
      <c r="W437" s="201"/>
      <c r="X437" s="201"/>
      <c r="Y437" s="201"/>
      <c r="Z437" s="201"/>
      <c r="AA437" s="61"/>
      <c r="AB437" s="201"/>
      <c r="AC437" s="61"/>
      <c r="AD437" s="201">
        <v>15.4</v>
      </c>
      <c r="AE437" s="61"/>
      <c r="AF437" s="61">
        <v>0</v>
      </c>
      <c r="AG437" s="61"/>
      <c r="AH437" s="61"/>
      <c r="AI437" s="61"/>
      <c r="AJ437" s="61"/>
      <c r="AK437" s="61"/>
      <c r="AL437" s="291">
        <v>23</v>
      </c>
      <c r="AM437" s="201">
        <v>22</v>
      </c>
      <c r="AN437" s="201">
        <v>16</v>
      </c>
      <c r="AO437" s="61"/>
      <c r="AP437" s="61"/>
      <c r="AQ437" s="61"/>
      <c r="AR437" s="61"/>
      <c r="AS437" s="101" t="s">
        <v>191</v>
      </c>
      <c r="AT437" s="206" t="str">
        <f t="shared" si="6"/>
        <v>44717-436</v>
      </c>
    </row>
    <row r="438" spans="1:46" x14ac:dyDescent="0.35">
      <c r="A438" s="204">
        <v>437</v>
      </c>
      <c r="B438" s="14" t="s">
        <v>83</v>
      </c>
      <c r="C438" s="1" t="s">
        <v>152</v>
      </c>
      <c r="D438" s="1" t="s">
        <v>161</v>
      </c>
      <c r="E438" s="12">
        <v>44717</v>
      </c>
      <c r="F438" s="201">
        <v>1.2</v>
      </c>
      <c r="G438" s="201">
        <v>1.2</v>
      </c>
      <c r="H438" s="201">
        <v>0</v>
      </c>
      <c r="I438" s="201">
        <v>0.2</v>
      </c>
      <c r="J438" s="201">
        <v>0</v>
      </c>
      <c r="K438" s="201">
        <v>0</v>
      </c>
      <c r="L438" s="201"/>
      <c r="M438" s="201">
        <v>11.5</v>
      </c>
      <c r="N438" s="201">
        <v>0.4</v>
      </c>
      <c r="O438" s="201">
        <v>0.5</v>
      </c>
      <c r="P438" s="201">
        <v>1018.5</v>
      </c>
      <c r="Q438" s="201">
        <v>938.3</v>
      </c>
      <c r="R438" s="201"/>
      <c r="S438" s="201"/>
      <c r="T438" s="201">
        <v>3516.3</v>
      </c>
      <c r="U438" s="201">
        <v>10.9</v>
      </c>
      <c r="V438" s="201"/>
      <c r="W438" s="201"/>
      <c r="X438" s="201"/>
      <c r="Y438" s="201"/>
      <c r="Z438" s="201"/>
      <c r="AA438" s="61"/>
      <c r="AB438" s="201"/>
      <c r="AC438" s="61"/>
      <c r="AD438" s="201">
        <v>6.1</v>
      </c>
      <c r="AE438" s="61"/>
      <c r="AF438" s="61">
        <v>0</v>
      </c>
      <c r="AG438" s="61"/>
      <c r="AH438" s="61"/>
      <c r="AI438" s="61"/>
      <c r="AJ438" s="61"/>
      <c r="AK438" s="61"/>
      <c r="AL438" s="291">
        <v>23</v>
      </c>
      <c r="AM438" s="201">
        <v>21</v>
      </c>
      <c r="AN438" s="201">
        <v>16</v>
      </c>
      <c r="AO438" s="61"/>
      <c r="AP438" s="61"/>
      <c r="AQ438" s="61"/>
      <c r="AR438" s="61"/>
      <c r="AS438" s="101" t="s">
        <v>172</v>
      </c>
      <c r="AT438" s="206" t="str">
        <f t="shared" si="6"/>
        <v>44717-437</v>
      </c>
    </row>
    <row r="439" spans="1:46" x14ac:dyDescent="0.35">
      <c r="A439" s="204">
        <v>438</v>
      </c>
      <c r="B439" s="14" t="s">
        <v>83</v>
      </c>
      <c r="C439" s="1" t="s">
        <v>160</v>
      </c>
      <c r="D439" s="1" t="s">
        <v>161</v>
      </c>
      <c r="E439" s="12">
        <v>44717</v>
      </c>
      <c r="F439" s="201">
        <v>1.7</v>
      </c>
      <c r="G439" s="201">
        <v>1.5</v>
      </c>
      <c r="H439" s="201">
        <v>0.4</v>
      </c>
      <c r="I439" s="201">
        <v>0.5</v>
      </c>
      <c r="J439" s="201">
        <v>0</v>
      </c>
      <c r="K439" s="201">
        <v>0</v>
      </c>
      <c r="L439" s="201"/>
      <c r="M439" s="201">
        <v>6.7</v>
      </c>
      <c r="N439" s="201">
        <v>0.7</v>
      </c>
      <c r="O439" s="201">
        <v>1.7</v>
      </c>
      <c r="P439" s="201">
        <v>1271</v>
      </c>
      <c r="Q439" s="201">
        <v>1212.8</v>
      </c>
      <c r="R439" s="201"/>
      <c r="S439" s="201"/>
      <c r="T439" s="201">
        <v>2451</v>
      </c>
      <c r="U439" s="201">
        <v>506.5</v>
      </c>
      <c r="V439" s="201"/>
      <c r="W439" s="201"/>
      <c r="X439" s="201"/>
      <c r="Y439" s="201"/>
      <c r="Z439" s="201"/>
      <c r="AA439" s="61"/>
      <c r="AB439" s="201"/>
      <c r="AC439" s="61"/>
      <c r="AD439" s="201">
        <v>15.1</v>
      </c>
      <c r="AE439" s="61"/>
      <c r="AF439" s="61">
        <v>0</v>
      </c>
      <c r="AG439" s="61"/>
      <c r="AH439" s="61"/>
      <c r="AI439" s="61"/>
      <c r="AJ439" s="61"/>
      <c r="AK439" s="61"/>
      <c r="AL439" s="291">
        <v>23</v>
      </c>
      <c r="AM439" s="201">
        <v>22</v>
      </c>
      <c r="AN439" s="201">
        <v>15</v>
      </c>
      <c r="AO439" s="61"/>
      <c r="AP439" s="61"/>
      <c r="AQ439" s="61"/>
      <c r="AR439" s="61"/>
      <c r="AS439" s="101" t="s">
        <v>171</v>
      </c>
      <c r="AT439" s="206" t="str">
        <f t="shared" si="6"/>
        <v>44717-438</v>
      </c>
    </row>
    <row r="440" spans="1:46" x14ac:dyDescent="0.35">
      <c r="A440" s="204">
        <v>439</v>
      </c>
      <c r="B440" s="14" t="s">
        <v>83</v>
      </c>
      <c r="C440" s="1" t="s">
        <v>152</v>
      </c>
      <c r="D440" s="1" t="s">
        <v>161</v>
      </c>
      <c r="E440" s="12">
        <v>44717</v>
      </c>
      <c r="F440" s="201">
        <v>1.1000000000000001</v>
      </c>
      <c r="G440" s="201">
        <v>0.9</v>
      </c>
      <c r="H440" s="201">
        <v>0</v>
      </c>
      <c r="I440" s="201">
        <v>0.3</v>
      </c>
      <c r="J440" s="201">
        <v>0.1</v>
      </c>
      <c r="K440" s="201">
        <v>0</v>
      </c>
      <c r="L440" s="201"/>
      <c r="M440" s="201">
        <v>12.4</v>
      </c>
      <c r="N440" s="201">
        <v>1.1000000000000001</v>
      </c>
      <c r="O440" s="201">
        <v>0</v>
      </c>
      <c r="P440" s="201">
        <v>1059.0999999999999</v>
      </c>
      <c r="Q440" s="201">
        <v>966.8</v>
      </c>
      <c r="R440" s="201"/>
      <c r="S440" s="201"/>
      <c r="T440" s="201">
        <v>3685.6</v>
      </c>
      <c r="U440" s="201">
        <v>12.5</v>
      </c>
      <c r="V440" s="201"/>
      <c r="W440" s="201"/>
      <c r="X440" s="201"/>
      <c r="Y440" s="201"/>
      <c r="Z440" s="201"/>
      <c r="AA440" s="61"/>
      <c r="AB440" s="201"/>
      <c r="AC440" s="61"/>
      <c r="AD440" s="201">
        <v>6.1</v>
      </c>
      <c r="AE440" s="61"/>
      <c r="AF440" s="61">
        <v>0</v>
      </c>
      <c r="AG440" s="61"/>
      <c r="AH440" s="61"/>
      <c r="AI440" s="61"/>
      <c r="AJ440" s="61"/>
      <c r="AK440" s="61"/>
      <c r="AL440" s="291">
        <v>23</v>
      </c>
      <c r="AM440" s="201">
        <v>22</v>
      </c>
      <c r="AN440" s="201">
        <v>15</v>
      </c>
      <c r="AO440" s="61"/>
      <c r="AP440" s="61"/>
      <c r="AQ440" s="61"/>
      <c r="AR440" s="61"/>
      <c r="AS440" s="101" t="s">
        <v>192</v>
      </c>
      <c r="AT440" s="206" t="str">
        <f t="shared" si="6"/>
        <v>44717-439</v>
      </c>
    </row>
    <row r="441" spans="1:46" x14ac:dyDescent="0.35">
      <c r="A441" s="204">
        <v>440</v>
      </c>
      <c r="B441" s="14" t="s">
        <v>83</v>
      </c>
      <c r="C441" s="1" t="s">
        <v>155</v>
      </c>
      <c r="D441" s="1" t="s">
        <v>161</v>
      </c>
      <c r="E441" s="12">
        <v>44719</v>
      </c>
      <c r="F441" s="201">
        <v>1.278710875</v>
      </c>
      <c r="G441" s="201">
        <v>1.1631560350000001</v>
      </c>
      <c r="H441" s="201">
        <v>1.9401181319999999E-2</v>
      </c>
      <c r="I441" s="201">
        <v>0</v>
      </c>
      <c r="J441" s="201">
        <v>0</v>
      </c>
      <c r="K441" s="201">
        <v>3.2214331810000003E-2</v>
      </c>
      <c r="L441" s="201"/>
      <c r="M441" s="201">
        <v>16.590211799999999</v>
      </c>
      <c r="N441" s="201">
        <v>0.23846692459999999</v>
      </c>
      <c r="O441" s="201">
        <v>0.62162926019999998</v>
      </c>
      <c r="P441" s="201">
        <v>1073.779442</v>
      </c>
      <c r="Q441" s="201">
        <v>1004.1849120000001</v>
      </c>
      <c r="R441" s="201"/>
      <c r="S441" s="201"/>
      <c r="T441" s="201">
        <v>3712.8248410000001</v>
      </c>
      <c r="U441" s="201">
        <v>12.110333539999999</v>
      </c>
      <c r="V441" s="201"/>
      <c r="W441" s="201"/>
      <c r="X441" s="201"/>
      <c r="Y441" s="201"/>
      <c r="Z441" s="201"/>
      <c r="AA441" s="61"/>
      <c r="AB441" s="201"/>
      <c r="AC441" s="61"/>
      <c r="AD441" s="201">
        <v>24.7</v>
      </c>
      <c r="AE441" s="61"/>
      <c r="AF441" s="61">
        <v>0</v>
      </c>
      <c r="AG441" s="61"/>
      <c r="AH441" s="61"/>
      <c r="AI441" s="61"/>
      <c r="AJ441" s="61"/>
      <c r="AK441" s="61"/>
      <c r="AL441" s="291">
        <v>24</v>
      </c>
      <c r="AM441" s="201">
        <v>23</v>
      </c>
      <c r="AN441" s="201">
        <v>15</v>
      </c>
      <c r="AO441" s="61"/>
      <c r="AP441" s="61"/>
      <c r="AQ441" s="61"/>
      <c r="AR441" s="61"/>
      <c r="AS441" s="101" t="s">
        <v>257</v>
      </c>
      <c r="AT441" s="206" t="str">
        <f t="shared" si="6"/>
        <v>44719-440</v>
      </c>
    </row>
    <row r="442" spans="1:46" x14ac:dyDescent="0.35">
      <c r="A442" s="204">
        <v>441</v>
      </c>
      <c r="B442" s="14" t="s">
        <v>83</v>
      </c>
      <c r="C442" s="1" t="s">
        <v>152</v>
      </c>
      <c r="D442" s="1" t="s">
        <v>161</v>
      </c>
      <c r="E442" s="12">
        <v>44719</v>
      </c>
      <c r="F442" s="201">
        <v>1.329561854</v>
      </c>
      <c r="G442" s="201">
        <v>1.26903867</v>
      </c>
      <c r="H442" s="201">
        <v>1.428542715E-2</v>
      </c>
      <c r="I442" s="201">
        <v>0</v>
      </c>
      <c r="J442" s="201">
        <v>0</v>
      </c>
      <c r="K442" s="201">
        <v>0</v>
      </c>
      <c r="L442" s="201"/>
      <c r="M442" s="201">
        <v>16.202582899999999</v>
      </c>
      <c r="N442" s="201">
        <v>0.73139684199999999</v>
      </c>
      <c r="O442" s="201">
        <v>0.69524878509999999</v>
      </c>
      <c r="P442" s="201">
        <v>1055.0037910000001</v>
      </c>
      <c r="Q442" s="201">
        <v>998.75771850000001</v>
      </c>
      <c r="R442" s="201"/>
      <c r="S442" s="201"/>
      <c r="T442" s="201">
        <v>3663.4428779999998</v>
      </c>
      <c r="U442" s="201">
        <v>10.84617156</v>
      </c>
      <c r="V442" s="201"/>
      <c r="W442" s="201"/>
      <c r="X442" s="201"/>
      <c r="Y442" s="201"/>
      <c r="Z442" s="201"/>
      <c r="AA442" s="61"/>
      <c r="AB442" s="201"/>
      <c r="AC442" s="61"/>
      <c r="AD442" s="201">
        <v>6.2</v>
      </c>
      <c r="AE442" s="61"/>
      <c r="AF442" s="61">
        <v>0</v>
      </c>
      <c r="AG442" s="61"/>
      <c r="AH442" s="61"/>
      <c r="AI442" s="61"/>
      <c r="AJ442" s="61"/>
      <c r="AK442" s="61"/>
      <c r="AL442" s="291">
        <v>24</v>
      </c>
      <c r="AM442" s="201">
        <v>22</v>
      </c>
      <c r="AN442" s="201">
        <v>16</v>
      </c>
      <c r="AO442" s="61"/>
      <c r="AP442" s="61"/>
      <c r="AQ442" s="61"/>
      <c r="AR442" s="61"/>
      <c r="AS442" s="101" t="s">
        <v>172</v>
      </c>
      <c r="AT442" s="206" t="str">
        <f t="shared" si="6"/>
        <v>44719-441</v>
      </c>
    </row>
    <row r="443" spans="1:46" x14ac:dyDescent="0.35">
      <c r="A443" s="204">
        <v>442</v>
      </c>
      <c r="B443" s="14" t="s">
        <v>83</v>
      </c>
      <c r="C443" s="1" t="s">
        <v>198</v>
      </c>
      <c r="D443" s="1" t="s">
        <v>161</v>
      </c>
      <c r="E443" s="12">
        <v>44719</v>
      </c>
      <c r="F443" s="201">
        <v>1.292282076</v>
      </c>
      <c r="G443" s="201">
        <v>1.1461710060000001</v>
      </c>
      <c r="H443" s="201">
        <v>9.179612642E-4</v>
      </c>
      <c r="I443" s="201">
        <v>0</v>
      </c>
      <c r="J443" s="201">
        <v>0</v>
      </c>
      <c r="K443" s="201">
        <v>3.6496191919999997E-2</v>
      </c>
      <c r="L443" s="201"/>
      <c r="M443" s="201">
        <v>14.97573824</v>
      </c>
      <c r="N443" s="201">
        <v>0.8292254953</v>
      </c>
      <c r="O443" s="201">
        <v>0.6280379425</v>
      </c>
      <c r="P443" s="201">
        <v>1066.8789839999999</v>
      </c>
      <c r="Q443" s="201">
        <v>1000.424855</v>
      </c>
      <c r="R443" s="201"/>
      <c r="S443" s="201"/>
      <c r="T443" s="201">
        <v>3636.1718719999999</v>
      </c>
      <c r="U443" s="201">
        <v>12.23781323</v>
      </c>
      <c r="V443" s="201"/>
      <c r="W443" s="201"/>
      <c r="X443" s="201"/>
      <c r="Y443" s="201"/>
      <c r="Z443" s="201"/>
      <c r="AA443" s="61"/>
      <c r="AB443" s="201"/>
      <c r="AC443" s="61"/>
      <c r="AD443" s="201">
        <v>11.4</v>
      </c>
      <c r="AE443" s="61"/>
      <c r="AF443" s="61">
        <v>0</v>
      </c>
      <c r="AG443" s="61"/>
      <c r="AH443" s="61"/>
      <c r="AI443" s="61"/>
      <c r="AJ443" s="61"/>
      <c r="AK443" s="61"/>
      <c r="AL443" s="291">
        <v>24</v>
      </c>
      <c r="AM443" s="201">
        <v>23</v>
      </c>
      <c r="AN443" s="201">
        <v>15</v>
      </c>
      <c r="AO443" s="61"/>
      <c r="AP443" s="61"/>
      <c r="AQ443" s="61"/>
      <c r="AR443" s="61"/>
      <c r="AS443" s="101" t="s">
        <v>236</v>
      </c>
      <c r="AT443" s="206" t="str">
        <f t="shared" si="6"/>
        <v>44719-442</v>
      </c>
    </row>
    <row r="444" spans="1:46" x14ac:dyDescent="0.35">
      <c r="A444" s="204">
        <v>443</v>
      </c>
      <c r="B444" s="14" t="s">
        <v>83</v>
      </c>
      <c r="C444" s="1" t="s">
        <v>155</v>
      </c>
      <c r="D444" s="1" t="s">
        <v>161</v>
      </c>
      <c r="E444" s="12">
        <v>44719</v>
      </c>
      <c r="F444" s="201">
        <v>1.4250593149999999</v>
      </c>
      <c r="G444" s="201">
        <v>1.415938825</v>
      </c>
      <c r="H444" s="201">
        <v>0.10341018590000001</v>
      </c>
      <c r="I444" s="201">
        <v>0</v>
      </c>
      <c r="J444" s="201">
        <v>0</v>
      </c>
      <c r="K444" s="201">
        <v>4.8687554219999998E-2</v>
      </c>
      <c r="L444" s="201"/>
      <c r="M444" s="201">
        <v>17.617550099999999</v>
      </c>
      <c r="N444" s="201">
        <v>0.34009009690000003</v>
      </c>
      <c r="O444" s="201">
        <v>0.74046369990000005</v>
      </c>
      <c r="P444" s="201">
        <v>1102.188001</v>
      </c>
      <c r="Q444" s="201">
        <v>1060.4211789999999</v>
      </c>
      <c r="R444" s="201"/>
      <c r="S444" s="201"/>
      <c r="T444" s="201">
        <v>3750.6227439999998</v>
      </c>
      <c r="U444" s="201">
        <v>12.053496150000001</v>
      </c>
      <c r="V444" s="201"/>
      <c r="W444" s="201"/>
      <c r="X444" s="201"/>
      <c r="Y444" s="201"/>
      <c r="Z444" s="201"/>
      <c r="AA444" s="61"/>
      <c r="AB444" s="201"/>
      <c r="AC444" s="61"/>
      <c r="AD444" s="201">
        <v>23.4</v>
      </c>
      <c r="AE444" s="61"/>
      <c r="AF444" s="61">
        <v>0</v>
      </c>
      <c r="AG444" s="61"/>
      <c r="AH444" s="61"/>
      <c r="AI444" s="61"/>
      <c r="AJ444" s="61"/>
      <c r="AK444" s="61"/>
      <c r="AL444" s="291">
        <v>24</v>
      </c>
      <c r="AM444" s="201">
        <v>22</v>
      </c>
      <c r="AN444" s="201">
        <v>14</v>
      </c>
      <c r="AO444" s="61"/>
      <c r="AP444" s="61"/>
      <c r="AQ444" s="61"/>
      <c r="AR444" s="61"/>
      <c r="AS444" s="101" t="s">
        <v>237</v>
      </c>
      <c r="AT444" s="206" t="str">
        <f t="shared" si="6"/>
        <v>44719-443</v>
      </c>
    </row>
    <row r="445" spans="1:46" x14ac:dyDescent="0.35">
      <c r="A445" s="204">
        <v>444</v>
      </c>
      <c r="B445" s="14" t="s">
        <v>83</v>
      </c>
      <c r="C445" s="1" t="s">
        <v>155</v>
      </c>
      <c r="D445" s="1" t="s">
        <v>161</v>
      </c>
      <c r="E445" s="12">
        <v>44723</v>
      </c>
      <c r="F445" s="201">
        <v>1.4</v>
      </c>
      <c r="G445" s="201">
        <v>1.2</v>
      </c>
      <c r="H445" s="201">
        <v>0</v>
      </c>
      <c r="I445" s="201">
        <v>0</v>
      </c>
      <c r="J445" s="201">
        <v>0</v>
      </c>
      <c r="K445" s="201">
        <v>0</v>
      </c>
      <c r="L445" s="201"/>
      <c r="M445" s="201">
        <v>18.7</v>
      </c>
      <c r="N445" s="201">
        <v>1.5</v>
      </c>
      <c r="O445" s="201">
        <v>0.2</v>
      </c>
      <c r="P445" s="201">
        <v>1083.2</v>
      </c>
      <c r="Q445" s="201">
        <v>964.8</v>
      </c>
      <c r="R445" s="201"/>
      <c r="S445" s="201"/>
      <c r="T445" s="201">
        <v>3824.7</v>
      </c>
      <c r="U445" s="201">
        <v>14.4</v>
      </c>
      <c r="V445" s="201"/>
      <c r="W445" s="201"/>
      <c r="X445" s="201"/>
      <c r="Y445" s="201"/>
      <c r="Z445" s="201"/>
      <c r="AA445" s="61"/>
      <c r="AB445" s="201"/>
      <c r="AC445" s="61"/>
      <c r="AD445" s="201">
        <v>24.1</v>
      </c>
      <c r="AE445" s="61"/>
      <c r="AF445" s="61">
        <v>0</v>
      </c>
      <c r="AG445" s="61"/>
      <c r="AH445" s="61"/>
      <c r="AI445" s="61"/>
      <c r="AJ445" s="61"/>
      <c r="AK445" s="61"/>
      <c r="AL445" s="291">
        <v>24</v>
      </c>
      <c r="AM445" s="201">
        <v>23</v>
      </c>
      <c r="AN445" s="201">
        <v>15</v>
      </c>
      <c r="AO445" s="61"/>
      <c r="AP445" s="61"/>
      <c r="AQ445" s="61"/>
      <c r="AR445" s="61"/>
      <c r="AS445" s="101" t="s">
        <v>181</v>
      </c>
      <c r="AT445" s="206" t="str">
        <f t="shared" si="6"/>
        <v>44723-444</v>
      </c>
    </row>
    <row r="446" spans="1:46" x14ac:dyDescent="0.35">
      <c r="A446" s="204">
        <v>445</v>
      </c>
      <c r="B446" s="14" t="s">
        <v>83</v>
      </c>
      <c r="C446" s="1" t="s">
        <v>152</v>
      </c>
      <c r="D446" s="1" t="s">
        <v>161</v>
      </c>
      <c r="E446" s="12">
        <v>44723</v>
      </c>
      <c r="F446" s="201">
        <v>1.4</v>
      </c>
      <c r="G446" s="201">
        <v>1.3</v>
      </c>
      <c r="H446" s="201">
        <v>0</v>
      </c>
      <c r="I446" s="201">
        <v>0</v>
      </c>
      <c r="J446" s="201">
        <v>0</v>
      </c>
      <c r="K446" s="201">
        <v>0</v>
      </c>
      <c r="L446" s="201"/>
      <c r="M446" s="201">
        <v>14.4</v>
      </c>
      <c r="N446" s="201">
        <v>1.5</v>
      </c>
      <c r="O446" s="201">
        <v>0.2</v>
      </c>
      <c r="P446" s="201">
        <v>1037.2</v>
      </c>
      <c r="Q446" s="201">
        <v>928.7</v>
      </c>
      <c r="R446" s="201"/>
      <c r="S446" s="201"/>
      <c r="T446" s="201">
        <v>3656.5</v>
      </c>
      <c r="U446" s="201">
        <v>11.6</v>
      </c>
      <c r="V446" s="201"/>
      <c r="W446" s="201"/>
      <c r="X446" s="201"/>
      <c r="Y446" s="201"/>
      <c r="Z446" s="201"/>
      <c r="AA446" s="61"/>
      <c r="AB446" s="201"/>
      <c r="AC446" s="61"/>
      <c r="AD446" s="201">
        <v>6.1</v>
      </c>
      <c r="AE446" s="61"/>
      <c r="AF446" s="61">
        <v>0</v>
      </c>
      <c r="AG446" s="61"/>
      <c r="AH446" s="61"/>
      <c r="AI446" s="61"/>
      <c r="AJ446" s="61"/>
      <c r="AK446" s="61"/>
      <c r="AL446" s="291">
        <v>23</v>
      </c>
      <c r="AM446" s="201">
        <v>22</v>
      </c>
      <c r="AN446" s="201">
        <v>16</v>
      </c>
      <c r="AO446" s="61"/>
      <c r="AP446" s="61"/>
      <c r="AQ446" s="61"/>
      <c r="AR446" s="61"/>
      <c r="AS446" s="101" t="s">
        <v>182</v>
      </c>
      <c r="AT446" s="206" t="str">
        <f t="shared" si="6"/>
        <v>44723-445</v>
      </c>
    </row>
    <row r="447" spans="1:46" x14ac:dyDescent="0.35">
      <c r="A447" s="204">
        <v>446</v>
      </c>
      <c r="B447" s="14" t="s">
        <v>83</v>
      </c>
      <c r="C447" s="1" t="s">
        <v>152</v>
      </c>
      <c r="D447" s="1" t="s">
        <v>161</v>
      </c>
      <c r="E447" s="12">
        <v>44723</v>
      </c>
      <c r="F447" s="201">
        <v>1.4</v>
      </c>
      <c r="G447" s="201">
        <v>1.2</v>
      </c>
      <c r="H447" s="201">
        <v>0</v>
      </c>
      <c r="I447" s="201">
        <v>0</v>
      </c>
      <c r="J447" s="201">
        <v>0</v>
      </c>
      <c r="K447" s="201">
        <v>0</v>
      </c>
      <c r="L447" s="201"/>
      <c r="M447" s="201">
        <v>14</v>
      </c>
      <c r="N447" s="201">
        <v>1.4</v>
      </c>
      <c r="O447" s="201">
        <v>0.1</v>
      </c>
      <c r="P447" s="201">
        <v>1031.8</v>
      </c>
      <c r="Q447" s="201">
        <v>925.4</v>
      </c>
      <c r="R447" s="201"/>
      <c r="S447" s="201"/>
      <c r="T447" s="201">
        <v>3636.7</v>
      </c>
      <c r="U447" s="201">
        <v>11.6</v>
      </c>
      <c r="V447" s="201"/>
      <c r="W447" s="201"/>
      <c r="X447" s="201"/>
      <c r="Y447" s="201"/>
      <c r="Z447" s="201"/>
      <c r="AA447" s="61"/>
      <c r="AB447" s="201"/>
      <c r="AC447" s="61"/>
      <c r="AD447" s="201">
        <v>6.1</v>
      </c>
      <c r="AE447" s="61"/>
      <c r="AF447" s="61">
        <v>0</v>
      </c>
      <c r="AG447" s="61"/>
      <c r="AH447" s="61"/>
      <c r="AI447" s="61"/>
      <c r="AJ447" s="61"/>
      <c r="AK447" s="61"/>
      <c r="AL447" s="291">
        <v>23</v>
      </c>
      <c r="AM447" s="201">
        <v>22</v>
      </c>
      <c r="AN447" s="201">
        <v>17</v>
      </c>
      <c r="AO447" s="61"/>
      <c r="AP447" s="61"/>
      <c r="AQ447" s="61"/>
      <c r="AR447" s="61"/>
      <c r="AS447" s="101" t="s">
        <v>183</v>
      </c>
      <c r="AT447" s="206" t="str">
        <f t="shared" si="6"/>
        <v>44723-446</v>
      </c>
    </row>
    <row r="448" spans="1:46" x14ac:dyDescent="0.35">
      <c r="A448" s="204">
        <v>447</v>
      </c>
      <c r="B448" s="14" t="s">
        <v>83</v>
      </c>
      <c r="C448" s="1" t="s">
        <v>155</v>
      </c>
      <c r="D448" s="1" t="s">
        <v>161</v>
      </c>
      <c r="E448" s="12">
        <v>44723</v>
      </c>
      <c r="F448" s="201">
        <v>1.4</v>
      </c>
      <c r="G448" s="201">
        <v>1.1000000000000001</v>
      </c>
      <c r="H448" s="201">
        <v>0</v>
      </c>
      <c r="I448" s="201">
        <v>0</v>
      </c>
      <c r="J448" s="201">
        <v>0</v>
      </c>
      <c r="K448" s="201">
        <v>0</v>
      </c>
      <c r="L448" s="201"/>
      <c r="M448" s="201">
        <v>14.7</v>
      </c>
      <c r="N448" s="201">
        <v>1.1000000000000001</v>
      </c>
      <c r="O448" s="201">
        <v>0.2</v>
      </c>
      <c r="P448" s="201">
        <v>1051.8</v>
      </c>
      <c r="Q448" s="201">
        <v>955.6</v>
      </c>
      <c r="R448" s="201"/>
      <c r="S448" s="201"/>
      <c r="T448" s="201">
        <v>3596.2</v>
      </c>
      <c r="U448" s="201">
        <v>12.2</v>
      </c>
      <c r="V448" s="201"/>
      <c r="W448" s="201"/>
      <c r="X448" s="201"/>
      <c r="Y448" s="201"/>
      <c r="Z448" s="201"/>
      <c r="AA448" s="61"/>
      <c r="AB448" s="201"/>
      <c r="AC448" s="61"/>
      <c r="AD448" s="201">
        <v>24.6</v>
      </c>
      <c r="AE448" s="61"/>
      <c r="AF448" s="61">
        <v>0</v>
      </c>
      <c r="AG448" s="61"/>
      <c r="AH448" s="61"/>
      <c r="AI448" s="61"/>
      <c r="AJ448" s="61"/>
      <c r="AK448" s="61"/>
      <c r="AL448" s="291">
        <v>22</v>
      </c>
      <c r="AM448" s="201">
        <v>20</v>
      </c>
      <c r="AN448" s="201">
        <v>14</v>
      </c>
      <c r="AO448" s="61"/>
      <c r="AP448" s="61"/>
      <c r="AQ448" s="61"/>
      <c r="AR448" s="61"/>
      <c r="AS448" s="101" t="s">
        <v>172</v>
      </c>
      <c r="AT448" s="206" t="str">
        <f t="shared" si="6"/>
        <v>44723-447</v>
      </c>
    </row>
    <row r="449" spans="1:46" x14ac:dyDescent="0.35">
      <c r="A449" s="204">
        <v>448</v>
      </c>
      <c r="B449" s="14" t="s">
        <v>83</v>
      </c>
      <c r="C449" s="1" t="s">
        <v>152</v>
      </c>
      <c r="D449" s="1" t="s">
        <v>161</v>
      </c>
      <c r="E449" s="12">
        <v>44723</v>
      </c>
      <c r="F449" s="201">
        <v>1.3</v>
      </c>
      <c r="G449" s="201">
        <v>1.1000000000000001</v>
      </c>
      <c r="H449" s="201">
        <v>0</v>
      </c>
      <c r="I449" s="201">
        <v>0</v>
      </c>
      <c r="J449" s="201">
        <v>0</v>
      </c>
      <c r="K449" s="201">
        <v>0</v>
      </c>
      <c r="L449" s="201"/>
      <c r="M449" s="201">
        <v>15.4</v>
      </c>
      <c r="N449" s="201">
        <v>1.3</v>
      </c>
      <c r="O449" s="201">
        <v>0</v>
      </c>
      <c r="P449" s="201">
        <v>1028.5999999999999</v>
      </c>
      <c r="Q449" s="201">
        <v>913.4</v>
      </c>
      <c r="R449" s="201"/>
      <c r="S449" s="201"/>
      <c r="T449" s="201">
        <v>3623.5</v>
      </c>
      <c r="U449" s="201">
        <v>11.3</v>
      </c>
      <c r="V449" s="201"/>
      <c r="W449" s="201"/>
      <c r="X449" s="201"/>
      <c r="Y449" s="201"/>
      <c r="Z449" s="201"/>
      <c r="AA449" s="61"/>
      <c r="AB449" s="201"/>
      <c r="AC449" s="61"/>
      <c r="AD449" s="201">
        <v>6.1</v>
      </c>
      <c r="AE449" s="61"/>
      <c r="AF449" s="61">
        <v>0</v>
      </c>
      <c r="AG449" s="61"/>
      <c r="AH449" s="61"/>
      <c r="AI449" s="61"/>
      <c r="AJ449" s="61"/>
      <c r="AK449" s="61"/>
      <c r="AL449" s="291">
        <v>24</v>
      </c>
      <c r="AM449" s="201">
        <v>22</v>
      </c>
      <c r="AN449" s="201">
        <v>16</v>
      </c>
      <c r="AO449" s="61"/>
      <c r="AP449" s="61"/>
      <c r="AQ449" s="61"/>
      <c r="AR449" s="61"/>
      <c r="AS449" s="101" t="s">
        <v>172</v>
      </c>
      <c r="AT449" s="206" t="str">
        <f t="shared" si="6"/>
        <v>44723-448</v>
      </c>
    </row>
    <row r="450" spans="1:46" x14ac:dyDescent="0.35">
      <c r="A450" s="204">
        <v>449</v>
      </c>
      <c r="B450" s="14" t="s">
        <v>83</v>
      </c>
      <c r="C450" s="1" t="s">
        <v>160</v>
      </c>
      <c r="D450" s="1" t="s">
        <v>161</v>
      </c>
      <c r="E450" s="12">
        <v>44726</v>
      </c>
      <c r="F450" s="201">
        <v>2</v>
      </c>
      <c r="G450" s="201">
        <v>1.7</v>
      </c>
      <c r="H450" s="201">
        <v>0</v>
      </c>
      <c r="I450" s="201">
        <v>0</v>
      </c>
      <c r="J450" s="201">
        <v>0</v>
      </c>
      <c r="K450" s="201">
        <v>0</v>
      </c>
      <c r="L450" s="201"/>
      <c r="M450" s="201">
        <v>4.8</v>
      </c>
      <c r="N450" s="201">
        <v>0</v>
      </c>
      <c r="O450" s="201">
        <v>1.6</v>
      </c>
      <c r="P450" s="201">
        <v>1182.5</v>
      </c>
      <c r="Q450" s="201">
        <v>1158</v>
      </c>
      <c r="R450" s="201"/>
      <c r="S450" s="201"/>
      <c r="T450" s="201">
        <v>2332.1</v>
      </c>
      <c r="U450" s="201">
        <v>499.6</v>
      </c>
      <c r="V450" s="201"/>
      <c r="W450" s="201"/>
      <c r="X450" s="201"/>
      <c r="Y450" s="201"/>
      <c r="Z450" s="201"/>
      <c r="AA450" s="61"/>
      <c r="AB450" s="201"/>
      <c r="AC450" s="61"/>
      <c r="AD450" s="201">
        <v>14.7</v>
      </c>
      <c r="AE450" s="61"/>
      <c r="AF450" s="61">
        <v>0</v>
      </c>
      <c r="AG450" s="61"/>
      <c r="AH450" s="61"/>
      <c r="AI450" s="61"/>
      <c r="AJ450" s="61"/>
      <c r="AK450" s="61"/>
      <c r="AL450" s="291">
        <v>22</v>
      </c>
      <c r="AM450" s="201">
        <v>20</v>
      </c>
      <c r="AN450" s="201">
        <v>14</v>
      </c>
      <c r="AO450" s="61"/>
      <c r="AP450" s="61"/>
      <c r="AQ450" s="61"/>
      <c r="AR450" s="61"/>
      <c r="AS450" s="101" t="s">
        <v>162</v>
      </c>
      <c r="AT450" s="206" t="str">
        <f t="shared" ref="AT450:AT513" si="7">CONCATENATE(E450,"-",A450)</f>
        <v>44726-449</v>
      </c>
    </row>
    <row r="451" spans="1:46" x14ac:dyDescent="0.35">
      <c r="A451" s="204">
        <v>450</v>
      </c>
      <c r="B451" s="14" t="s">
        <v>83</v>
      </c>
      <c r="C451" s="1" t="s">
        <v>160</v>
      </c>
      <c r="D451" s="1" t="s">
        <v>161</v>
      </c>
      <c r="E451" s="12">
        <v>44726</v>
      </c>
      <c r="F451" s="201">
        <v>2</v>
      </c>
      <c r="G451" s="201">
        <v>1.6</v>
      </c>
      <c r="H451" s="201">
        <v>0</v>
      </c>
      <c r="I451" s="201">
        <v>0</v>
      </c>
      <c r="J451" s="201">
        <v>0</v>
      </c>
      <c r="K451" s="201">
        <v>0</v>
      </c>
      <c r="L451" s="201"/>
      <c r="M451" s="201">
        <v>4.5</v>
      </c>
      <c r="N451" s="201">
        <v>0</v>
      </c>
      <c r="O451" s="201">
        <v>1.9</v>
      </c>
      <c r="P451" s="201">
        <v>1198.2</v>
      </c>
      <c r="Q451" s="201">
        <v>1155.8</v>
      </c>
      <c r="R451" s="201"/>
      <c r="S451" s="201"/>
      <c r="T451" s="201">
        <v>2360.6999999999998</v>
      </c>
      <c r="U451" s="201">
        <v>506.9</v>
      </c>
      <c r="V451" s="201"/>
      <c r="W451" s="201"/>
      <c r="X451" s="201"/>
      <c r="Y451" s="201"/>
      <c r="Z451" s="201"/>
      <c r="AA451" s="61"/>
      <c r="AB451" s="201"/>
      <c r="AC451" s="61"/>
      <c r="AD451" s="201">
        <v>14.8</v>
      </c>
      <c r="AE451" s="61"/>
      <c r="AF451" s="61">
        <v>0</v>
      </c>
      <c r="AG451" s="61"/>
      <c r="AH451" s="61"/>
      <c r="AI451" s="61"/>
      <c r="AJ451" s="61"/>
      <c r="AK451" s="61"/>
      <c r="AL451" s="291">
        <v>23</v>
      </c>
      <c r="AM451" s="201">
        <v>20</v>
      </c>
      <c r="AN451" s="201">
        <v>14</v>
      </c>
      <c r="AO451" s="61"/>
      <c r="AP451" s="61"/>
      <c r="AQ451" s="61"/>
      <c r="AR451" s="61"/>
      <c r="AS451" s="101" t="s">
        <v>163</v>
      </c>
      <c r="AT451" s="206" t="str">
        <f t="shared" si="7"/>
        <v>44726-450</v>
      </c>
    </row>
    <row r="452" spans="1:46" x14ac:dyDescent="0.35">
      <c r="A452" s="204">
        <v>451</v>
      </c>
      <c r="B452" s="14" t="s">
        <v>83</v>
      </c>
      <c r="C452" s="1" t="s">
        <v>198</v>
      </c>
      <c r="D452" s="1" t="s">
        <v>161</v>
      </c>
      <c r="E452" s="12">
        <v>44726</v>
      </c>
      <c r="F452" s="201">
        <v>1.4</v>
      </c>
      <c r="G452" s="201">
        <v>1.4</v>
      </c>
      <c r="H452" s="201">
        <v>0</v>
      </c>
      <c r="I452" s="201">
        <v>0</v>
      </c>
      <c r="J452" s="201">
        <v>0</v>
      </c>
      <c r="K452" s="201">
        <v>0</v>
      </c>
      <c r="L452" s="201"/>
      <c r="M452" s="201">
        <v>15.3</v>
      </c>
      <c r="N452" s="201">
        <v>1.1000000000000001</v>
      </c>
      <c r="O452" s="201">
        <v>0.6</v>
      </c>
      <c r="P452" s="201">
        <v>1001.8</v>
      </c>
      <c r="Q452" s="201">
        <v>923.7</v>
      </c>
      <c r="R452" s="201"/>
      <c r="S452" s="201"/>
      <c r="T452" s="201">
        <v>3403.3</v>
      </c>
      <c r="U452" s="201">
        <v>10.7</v>
      </c>
      <c r="V452" s="201"/>
      <c r="W452" s="201"/>
      <c r="X452" s="201"/>
      <c r="Y452" s="201"/>
      <c r="Z452" s="201"/>
      <c r="AA452" s="61"/>
      <c r="AB452" s="201"/>
      <c r="AC452" s="61"/>
      <c r="AD452" s="201">
        <v>11.4</v>
      </c>
      <c r="AE452" s="61"/>
      <c r="AF452" s="61">
        <v>0</v>
      </c>
      <c r="AG452" s="61"/>
      <c r="AH452" s="61"/>
      <c r="AI452" s="61"/>
      <c r="AJ452" s="61"/>
      <c r="AK452" s="61"/>
      <c r="AL452" s="291">
        <v>24</v>
      </c>
      <c r="AM452" s="201">
        <v>23</v>
      </c>
      <c r="AN452" s="201">
        <v>17</v>
      </c>
      <c r="AO452" s="61"/>
      <c r="AP452" s="61"/>
      <c r="AQ452" s="61"/>
      <c r="AR452" s="61"/>
      <c r="AS452" s="101" t="s">
        <v>164</v>
      </c>
      <c r="AT452" s="206" t="str">
        <f t="shared" si="7"/>
        <v>44726-451</v>
      </c>
    </row>
    <row r="453" spans="1:46" x14ac:dyDescent="0.35">
      <c r="A453" s="204">
        <v>452</v>
      </c>
      <c r="B453" s="14" t="s">
        <v>83</v>
      </c>
      <c r="C453" s="1" t="s">
        <v>160</v>
      </c>
      <c r="D453" s="1" t="s">
        <v>161</v>
      </c>
      <c r="E453" s="12">
        <v>44727</v>
      </c>
      <c r="F453" s="201">
        <v>1.9</v>
      </c>
      <c r="G453" s="201">
        <v>1.6</v>
      </c>
      <c r="H453" s="201">
        <v>0</v>
      </c>
      <c r="I453" s="201">
        <v>0</v>
      </c>
      <c r="J453" s="201">
        <v>0</v>
      </c>
      <c r="K453" s="201">
        <v>0</v>
      </c>
      <c r="L453" s="201"/>
      <c r="M453" s="201">
        <v>4.8</v>
      </c>
      <c r="N453" s="201">
        <v>0.1</v>
      </c>
      <c r="O453" s="201">
        <v>1.8</v>
      </c>
      <c r="P453" s="201">
        <v>1212.5</v>
      </c>
      <c r="Q453" s="201">
        <v>1177.3</v>
      </c>
      <c r="R453" s="201"/>
      <c r="S453" s="201"/>
      <c r="T453" s="201">
        <v>2384.4</v>
      </c>
      <c r="U453" s="201">
        <v>509.3</v>
      </c>
      <c r="V453" s="201"/>
      <c r="W453" s="201"/>
      <c r="X453" s="201"/>
      <c r="Y453" s="201"/>
      <c r="Z453" s="201"/>
      <c r="AA453" s="61"/>
      <c r="AB453" s="201"/>
      <c r="AC453" s="61"/>
      <c r="AD453" s="201">
        <v>14.9</v>
      </c>
      <c r="AE453" s="61"/>
      <c r="AF453" s="61">
        <v>0</v>
      </c>
      <c r="AG453" s="61"/>
      <c r="AH453" s="61"/>
      <c r="AI453" s="61"/>
      <c r="AJ453" s="61"/>
      <c r="AK453" s="61"/>
      <c r="AL453" s="291">
        <v>23</v>
      </c>
      <c r="AM453" s="201">
        <v>21</v>
      </c>
      <c r="AN453" s="201">
        <v>14</v>
      </c>
      <c r="AO453" s="61"/>
      <c r="AP453" s="61"/>
      <c r="AQ453" s="61"/>
      <c r="AR453" s="61"/>
      <c r="AS453" s="101" t="s">
        <v>191</v>
      </c>
      <c r="AT453" s="206" t="str">
        <f t="shared" si="7"/>
        <v>44727-452</v>
      </c>
    </row>
    <row r="454" spans="1:46" x14ac:dyDescent="0.35">
      <c r="A454" s="204">
        <v>453</v>
      </c>
      <c r="B454" s="14" t="s">
        <v>83</v>
      </c>
      <c r="C454" s="1" t="s">
        <v>198</v>
      </c>
      <c r="D454" s="1" t="s">
        <v>161</v>
      </c>
      <c r="E454" s="12">
        <v>44727</v>
      </c>
      <c r="F454" s="201">
        <v>2</v>
      </c>
      <c r="G454" s="201">
        <v>1</v>
      </c>
      <c r="H454" s="201">
        <v>0</v>
      </c>
      <c r="I454" s="201">
        <v>0</v>
      </c>
      <c r="J454" s="201">
        <v>0</v>
      </c>
      <c r="K454" s="201">
        <v>0</v>
      </c>
      <c r="L454" s="201"/>
      <c r="M454" s="201">
        <v>2.9</v>
      </c>
      <c r="N454" s="201">
        <v>2.5</v>
      </c>
      <c r="O454" s="201">
        <v>0.6</v>
      </c>
      <c r="P454" s="201">
        <v>1213.3</v>
      </c>
      <c r="Q454" s="201">
        <v>1096.8</v>
      </c>
      <c r="R454" s="201"/>
      <c r="S454" s="201"/>
      <c r="T454" s="201">
        <v>3108.7</v>
      </c>
      <c r="U454" s="201">
        <v>12</v>
      </c>
      <c r="V454" s="201"/>
      <c r="W454" s="201"/>
      <c r="X454" s="201"/>
      <c r="Y454" s="201"/>
      <c r="Z454" s="201"/>
      <c r="AA454" s="61"/>
      <c r="AB454" s="201"/>
      <c r="AC454" s="61"/>
      <c r="AD454" s="201">
        <v>11.2</v>
      </c>
      <c r="AE454" s="61"/>
      <c r="AF454" s="61">
        <v>0</v>
      </c>
      <c r="AG454" s="61"/>
      <c r="AH454" s="61"/>
      <c r="AI454" s="61"/>
      <c r="AJ454" s="61"/>
      <c r="AK454" s="61"/>
      <c r="AL454" s="291">
        <v>20</v>
      </c>
      <c r="AM454" s="201">
        <v>18</v>
      </c>
      <c r="AN454" s="201">
        <v>12</v>
      </c>
      <c r="AO454" s="61"/>
      <c r="AP454" s="61"/>
      <c r="AQ454" s="61"/>
      <c r="AR454" s="61"/>
      <c r="AS454" s="101" t="s">
        <v>238</v>
      </c>
      <c r="AT454" s="206" t="str">
        <f t="shared" si="7"/>
        <v>44727-453</v>
      </c>
    </row>
    <row r="455" spans="1:46" x14ac:dyDescent="0.35">
      <c r="A455" s="204">
        <v>454</v>
      </c>
      <c r="B455" s="14" t="s">
        <v>83</v>
      </c>
      <c r="C455" s="1" t="s">
        <v>160</v>
      </c>
      <c r="D455" s="1" t="s">
        <v>161</v>
      </c>
      <c r="E455" s="12">
        <v>44727</v>
      </c>
      <c r="F455" s="201">
        <v>1.7</v>
      </c>
      <c r="G455" s="201">
        <v>1.5</v>
      </c>
      <c r="H455" s="201">
        <v>0</v>
      </c>
      <c r="I455" s="201">
        <v>0</v>
      </c>
      <c r="J455" s="201">
        <v>0</v>
      </c>
      <c r="K455" s="201">
        <v>0</v>
      </c>
      <c r="L455" s="201"/>
      <c r="M455" s="201">
        <v>5.0999999999999996</v>
      </c>
      <c r="N455" s="201">
        <v>0.6</v>
      </c>
      <c r="O455" s="201">
        <v>1.8</v>
      </c>
      <c r="P455" s="201">
        <v>1231.2</v>
      </c>
      <c r="Q455" s="201">
        <v>1174.5999999999999</v>
      </c>
      <c r="R455" s="201"/>
      <c r="S455" s="201"/>
      <c r="T455" s="201">
        <v>2402.1999999999998</v>
      </c>
      <c r="U455" s="201">
        <v>496.6</v>
      </c>
      <c r="V455" s="201"/>
      <c r="W455" s="201"/>
      <c r="X455" s="201"/>
      <c r="Y455" s="201"/>
      <c r="Z455" s="201"/>
      <c r="AA455" s="61"/>
      <c r="AB455" s="201"/>
      <c r="AC455" s="61"/>
      <c r="AD455" s="201">
        <v>14.9</v>
      </c>
      <c r="AE455" s="61"/>
      <c r="AF455" s="61">
        <v>0</v>
      </c>
      <c r="AG455" s="61"/>
      <c r="AH455" s="61"/>
      <c r="AI455" s="61"/>
      <c r="AJ455" s="61"/>
      <c r="AK455" s="61"/>
      <c r="AL455" s="291">
        <v>23</v>
      </c>
      <c r="AM455" s="201">
        <v>21</v>
      </c>
      <c r="AN455" s="201">
        <v>15</v>
      </c>
      <c r="AO455" s="61"/>
      <c r="AP455" s="61"/>
      <c r="AQ455" s="61"/>
      <c r="AR455" s="61"/>
      <c r="AS455" s="101" t="s">
        <v>171</v>
      </c>
      <c r="AT455" s="206" t="str">
        <f t="shared" si="7"/>
        <v>44727-454</v>
      </c>
    </row>
    <row r="456" spans="1:46" x14ac:dyDescent="0.35">
      <c r="A456" s="204">
        <v>455</v>
      </c>
      <c r="B456" s="14" t="s">
        <v>82</v>
      </c>
      <c r="C456" s="1" t="s">
        <v>245</v>
      </c>
      <c r="D456" s="1" t="s">
        <v>147</v>
      </c>
      <c r="E456" s="12">
        <v>44728</v>
      </c>
      <c r="F456" s="201">
        <v>0.16</v>
      </c>
      <c r="G456" s="201">
        <v>0</v>
      </c>
      <c r="H456" s="201">
        <v>0</v>
      </c>
      <c r="I456" s="201">
        <v>0</v>
      </c>
      <c r="J456" s="201">
        <v>0</v>
      </c>
      <c r="K456" s="201">
        <v>0</v>
      </c>
      <c r="L456" s="201">
        <v>0.17</v>
      </c>
      <c r="M456" s="201">
        <v>34</v>
      </c>
      <c r="N456" s="201">
        <v>0</v>
      </c>
      <c r="O456" s="201">
        <v>0.03</v>
      </c>
      <c r="P456" s="201">
        <v>0</v>
      </c>
      <c r="Q456" s="201">
        <v>550</v>
      </c>
      <c r="R456" s="201">
        <v>0</v>
      </c>
      <c r="S456" s="201">
        <v>0</v>
      </c>
      <c r="T456" s="201">
        <v>0</v>
      </c>
      <c r="U456" s="201">
        <v>0.11</v>
      </c>
      <c r="V456" s="201">
        <v>0</v>
      </c>
      <c r="W456" s="201">
        <v>0</v>
      </c>
      <c r="X456" s="201">
        <v>0</v>
      </c>
      <c r="Y456" s="201">
        <v>0</v>
      </c>
      <c r="Z456" s="201"/>
      <c r="AA456" s="61">
        <v>0.05</v>
      </c>
      <c r="AB456" s="201">
        <v>0.13</v>
      </c>
      <c r="AC456" s="61"/>
      <c r="AD456" s="201">
        <v>78.900000000000006</v>
      </c>
      <c r="AE456" s="61">
        <v>699</v>
      </c>
      <c r="AF456" s="61">
        <v>53</v>
      </c>
      <c r="AG456" s="61">
        <v>48</v>
      </c>
      <c r="AH456" s="61">
        <v>3.3677260000000002</v>
      </c>
      <c r="AI456" s="61"/>
      <c r="AJ456" s="61"/>
      <c r="AK456" s="61">
        <v>3</v>
      </c>
      <c r="AL456" s="291"/>
      <c r="AM456" s="201"/>
      <c r="AN456" s="201"/>
      <c r="AO456" s="61">
        <v>4.8973240000000002</v>
      </c>
      <c r="AP456" s="61">
        <v>5</v>
      </c>
      <c r="AQ456" s="61"/>
      <c r="AR456" s="61">
        <v>17</v>
      </c>
      <c r="AS456" s="101" t="s">
        <v>148</v>
      </c>
      <c r="AT456" s="206" t="str">
        <f t="shared" si="7"/>
        <v>44728-455</v>
      </c>
    </row>
    <row r="457" spans="1:46" x14ac:dyDescent="0.35">
      <c r="A457" s="204">
        <v>456</v>
      </c>
      <c r="B457" s="14" t="s">
        <v>83</v>
      </c>
      <c r="C457" s="1" t="s">
        <v>160</v>
      </c>
      <c r="D457" s="1" t="s">
        <v>161</v>
      </c>
      <c r="E457" s="12">
        <v>44729</v>
      </c>
      <c r="F457" s="201">
        <v>1.8</v>
      </c>
      <c r="G457" s="201">
        <v>1.6</v>
      </c>
      <c r="H457" s="201">
        <v>0.2</v>
      </c>
      <c r="I457" s="201">
        <v>0.1</v>
      </c>
      <c r="J457" s="201">
        <v>0</v>
      </c>
      <c r="K457" s="201">
        <v>0.1</v>
      </c>
      <c r="L457" s="201"/>
      <c r="M457" s="201">
        <v>4.9000000000000004</v>
      </c>
      <c r="N457" s="201">
        <v>0.2</v>
      </c>
      <c r="O457" s="201">
        <v>1.4</v>
      </c>
      <c r="P457" s="201">
        <v>1219.4000000000001</v>
      </c>
      <c r="Q457" s="201">
        <v>1149.3</v>
      </c>
      <c r="R457" s="201"/>
      <c r="S457" s="201"/>
      <c r="T457" s="201">
        <v>2461.8000000000002</v>
      </c>
      <c r="U457" s="201">
        <v>494.8</v>
      </c>
      <c r="V457" s="201"/>
      <c r="W457" s="201"/>
      <c r="X457" s="201"/>
      <c r="Y457" s="201"/>
      <c r="Z457" s="201"/>
      <c r="AA457" s="61"/>
      <c r="AB457" s="201"/>
      <c r="AC457" s="61"/>
      <c r="AD457" s="201">
        <v>15</v>
      </c>
      <c r="AE457" s="61"/>
      <c r="AF457" s="61">
        <v>0</v>
      </c>
      <c r="AG457" s="61"/>
      <c r="AH457" s="61"/>
      <c r="AI457" s="61"/>
      <c r="AJ457" s="61"/>
      <c r="AK457" s="61"/>
      <c r="AL457" s="291">
        <v>21</v>
      </c>
      <c r="AM457" s="201">
        <v>20</v>
      </c>
      <c r="AN457" s="201">
        <v>19</v>
      </c>
      <c r="AO457" s="61"/>
      <c r="AP457" s="61"/>
      <c r="AQ457" s="61"/>
      <c r="AR457" s="61"/>
      <c r="AS457" s="101" t="s">
        <v>181</v>
      </c>
      <c r="AT457" s="206" t="str">
        <f t="shared" si="7"/>
        <v>44729-456</v>
      </c>
    </row>
    <row r="458" spans="1:46" x14ac:dyDescent="0.35">
      <c r="A458" s="204">
        <v>457</v>
      </c>
      <c r="B458" s="14" t="s">
        <v>83</v>
      </c>
      <c r="C458" s="1" t="s">
        <v>160</v>
      </c>
      <c r="D458" s="1" t="s">
        <v>161</v>
      </c>
      <c r="E458" s="12">
        <v>44729</v>
      </c>
      <c r="F458" s="201">
        <v>1.7</v>
      </c>
      <c r="G458" s="201">
        <v>1.6</v>
      </c>
      <c r="H458" s="201">
        <v>0</v>
      </c>
      <c r="I458" s="201">
        <v>0.1</v>
      </c>
      <c r="J458" s="201">
        <v>0</v>
      </c>
      <c r="K458" s="201">
        <v>0.1</v>
      </c>
      <c r="L458" s="201"/>
      <c r="M458" s="201">
        <v>4.3</v>
      </c>
      <c r="N458" s="201">
        <v>0.2</v>
      </c>
      <c r="O458" s="201">
        <v>1.2</v>
      </c>
      <c r="P458" s="201">
        <v>1185.2</v>
      </c>
      <c r="Q458" s="201">
        <v>1114.8</v>
      </c>
      <c r="R458" s="201"/>
      <c r="S458" s="201"/>
      <c r="T458" s="201">
        <v>2392.5</v>
      </c>
      <c r="U458" s="201">
        <v>480.5</v>
      </c>
      <c r="V458" s="201"/>
      <c r="W458" s="201"/>
      <c r="X458" s="201"/>
      <c r="Y458" s="201"/>
      <c r="Z458" s="201"/>
      <c r="AA458" s="61"/>
      <c r="AB458" s="201"/>
      <c r="AC458" s="61"/>
      <c r="AD458" s="201">
        <v>15</v>
      </c>
      <c r="AE458" s="61"/>
      <c r="AF458" s="61">
        <v>0</v>
      </c>
      <c r="AG458" s="61"/>
      <c r="AH458" s="61"/>
      <c r="AI458" s="61"/>
      <c r="AJ458" s="61"/>
      <c r="AK458" s="61"/>
      <c r="AL458" s="291">
        <v>22</v>
      </c>
      <c r="AM458" s="201">
        <v>21</v>
      </c>
      <c r="AN458" s="201">
        <v>15</v>
      </c>
      <c r="AO458" s="61"/>
      <c r="AP458" s="61"/>
      <c r="AQ458" s="61"/>
      <c r="AR458" s="61"/>
      <c r="AS458" s="101" t="s">
        <v>182</v>
      </c>
      <c r="AT458" s="206" t="str">
        <f t="shared" si="7"/>
        <v>44729-457</v>
      </c>
    </row>
    <row r="459" spans="1:46" x14ac:dyDescent="0.35">
      <c r="A459" s="204">
        <v>458</v>
      </c>
      <c r="B459" s="14" t="s">
        <v>83</v>
      </c>
      <c r="C459" s="1" t="s">
        <v>152</v>
      </c>
      <c r="D459" s="1" t="s">
        <v>161</v>
      </c>
      <c r="E459" s="12">
        <v>44729</v>
      </c>
      <c r="F459" s="201">
        <v>1.3</v>
      </c>
      <c r="G459" s="201">
        <v>1.4</v>
      </c>
      <c r="H459" s="201">
        <v>0</v>
      </c>
      <c r="I459" s="201">
        <v>0.1</v>
      </c>
      <c r="J459" s="201">
        <v>0.1</v>
      </c>
      <c r="K459" s="201">
        <v>0.1</v>
      </c>
      <c r="L459" s="201"/>
      <c r="M459" s="201">
        <v>13</v>
      </c>
      <c r="N459" s="201">
        <v>1.5</v>
      </c>
      <c r="O459" s="201">
        <v>0.2</v>
      </c>
      <c r="P459" s="201">
        <v>1004.9</v>
      </c>
      <c r="Q459" s="201">
        <v>889.9</v>
      </c>
      <c r="R459" s="201"/>
      <c r="S459" s="201"/>
      <c r="T459" s="201">
        <v>3494.1</v>
      </c>
      <c r="U459" s="201">
        <v>10.4</v>
      </c>
      <c r="V459" s="201"/>
      <c r="W459" s="201"/>
      <c r="X459" s="201"/>
      <c r="Y459" s="201"/>
      <c r="Z459" s="201"/>
      <c r="AA459" s="61"/>
      <c r="AB459" s="201"/>
      <c r="AC459" s="61"/>
      <c r="AD459" s="201">
        <v>6.2</v>
      </c>
      <c r="AE459" s="61"/>
      <c r="AF459" s="61">
        <v>0</v>
      </c>
      <c r="AG459" s="61"/>
      <c r="AH459" s="61"/>
      <c r="AI459" s="61"/>
      <c r="AJ459" s="61"/>
      <c r="AK459" s="61"/>
      <c r="AL459" s="291">
        <v>23</v>
      </c>
      <c r="AM459" s="201">
        <v>22</v>
      </c>
      <c r="AN459" s="201">
        <v>17</v>
      </c>
      <c r="AO459" s="61"/>
      <c r="AP459" s="61"/>
      <c r="AQ459" s="61"/>
      <c r="AR459" s="61"/>
      <c r="AS459" s="101" t="s">
        <v>183</v>
      </c>
      <c r="AT459" s="206" t="str">
        <f t="shared" si="7"/>
        <v>44729-458</v>
      </c>
    </row>
    <row r="460" spans="1:46" x14ac:dyDescent="0.35">
      <c r="A460" s="204">
        <v>459</v>
      </c>
      <c r="B460" s="14" t="s">
        <v>83</v>
      </c>
      <c r="C460" s="1" t="s">
        <v>160</v>
      </c>
      <c r="D460" s="1" t="s">
        <v>161</v>
      </c>
      <c r="E460" s="12">
        <v>44730</v>
      </c>
      <c r="F460" s="201">
        <v>1.7</v>
      </c>
      <c r="G460" s="201">
        <v>1.5</v>
      </c>
      <c r="H460" s="201">
        <v>0</v>
      </c>
      <c r="I460" s="201">
        <v>0.1</v>
      </c>
      <c r="J460" s="201">
        <v>0</v>
      </c>
      <c r="K460" s="201">
        <v>0.1</v>
      </c>
      <c r="L460" s="201"/>
      <c r="M460" s="201">
        <v>4.7</v>
      </c>
      <c r="N460" s="201">
        <v>0</v>
      </c>
      <c r="O460" s="201">
        <v>1.8</v>
      </c>
      <c r="P460" s="201">
        <v>1195.4000000000001</v>
      </c>
      <c r="Q460" s="201">
        <v>1127.2</v>
      </c>
      <c r="R460" s="201"/>
      <c r="S460" s="201"/>
      <c r="T460" s="201">
        <v>2383.9</v>
      </c>
      <c r="U460" s="201">
        <v>488.1</v>
      </c>
      <c r="V460" s="201"/>
      <c r="W460" s="201"/>
      <c r="X460" s="201"/>
      <c r="Y460" s="201"/>
      <c r="Z460" s="201"/>
      <c r="AA460" s="61"/>
      <c r="AB460" s="201"/>
      <c r="AC460" s="61"/>
      <c r="AD460" s="201">
        <v>14.7</v>
      </c>
      <c r="AE460" s="61"/>
      <c r="AF460" s="61">
        <v>0</v>
      </c>
      <c r="AG460" s="61"/>
      <c r="AH460" s="61"/>
      <c r="AI460" s="61"/>
      <c r="AJ460" s="61"/>
      <c r="AK460" s="61"/>
      <c r="AL460" s="291">
        <v>23</v>
      </c>
      <c r="AM460" s="201">
        <v>21</v>
      </c>
      <c r="AN460" s="201">
        <v>14</v>
      </c>
      <c r="AO460" s="61"/>
      <c r="AP460" s="61"/>
      <c r="AQ460" s="61"/>
      <c r="AR460" s="61"/>
      <c r="AS460" s="101" t="s">
        <v>191</v>
      </c>
      <c r="AT460" s="206" t="str">
        <f t="shared" si="7"/>
        <v>44730-459</v>
      </c>
    </row>
    <row r="461" spans="1:46" x14ac:dyDescent="0.35">
      <c r="A461" s="204">
        <v>460</v>
      </c>
      <c r="B461" s="14" t="s">
        <v>83</v>
      </c>
      <c r="C461" s="1" t="s">
        <v>152</v>
      </c>
      <c r="D461" s="1" t="s">
        <v>161</v>
      </c>
      <c r="E461" s="12">
        <v>44730</v>
      </c>
      <c r="F461" s="201">
        <v>1.3</v>
      </c>
      <c r="G461" s="201">
        <v>1.4</v>
      </c>
      <c r="H461" s="201">
        <v>0</v>
      </c>
      <c r="I461" s="201">
        <v>0.1</v>
      </c>
      <c r="J461" s="201">
        <v>0</v>
      </c>
      <c r="K461" s="201">
        <v>0</v>
      </c>
      <c r="L461" s="201"/>
      <c r="M461" s="201">
        <v>13.9</v>
      </c>
      <c r="N461" s="201">
        <v>1.3</v>
      </c>
      <c r="O461" s="201">
        <v>0</v>
      </c>
      <c r="P461" s="201">
        <v>1011.9</v>
      </c>
      <c r="Q461" s="201">
        <v>898.6</v>
      </c>
      <c r="R461" s="201"/>
      <c r="S461" s="201"/>
      <c r="T461" s="201">
        <v>3516.3</v>
      </c>
      <c r="U461" s="201">
        <v>11.3</v>
      </c>
      <c r="V461" s="201"/>
      <c r="W461" s="201"/>
      <c r="X461" s="201"/>
      <c r="Y461" s="201"/>
      <c r="Z461" s="201"/>
      <c r="AA461" s="61"/>
      <c r="AB461" s="201"/>
      <c r="AC461" s="61"/>
      <c r="AD461" s="201">
        <v>6.2</v>
      </c>
      <c r="AE461" s="61"/>
      <c r="AF461" s="61">
        <v>0</v>
      </c>
      <c r="AG461" s="61"/>
      <c r="AH461" s="61"/>
      <c r="AI461" s="61"/>
      <c r="AJ461" s="61"/>
      <c r="AK461" s="61"/>
      <c r="AL461" s="291">
        <v>24</v>
      </c>
      <c r="AM461" s="201">
        <v>22</v>
      </c>
      <c r="AN461" s="201">
        <v>16</v>
      </c>
      <c r="AO461" s="61"/>
      <c r="AP461" s="61"/>
      <c r="AQ461" s="61"/>
      <c r="AR461" s="61"/>
      <c r="AS461" s="101" t="s">
        <v>172</v>
      </c>
      <c r="AT461" s="206" t="str">
        <f t="shared" si="7"/>
        <v>44730-460</v>
      </c>
    </row>
    <row r="462" spans="1:46" x14ac:dyDescent="0.35">
      <c r="A462" s="204">
        <v>461</v>
      </c>
      <c r="B462" s="14" t="s">
        <v>83</v>
      </c>
      <c r="C462" s="1" t="s">
        <v>160</v>
      </c>
      <c r="D462" s="1" t="s">
        <v>161</v>
      </c>
      <c r="E462" s="12">
        <v>44730</v>
      </c>
      <c r="F462" s="201">
        <v>1.7</v>
      </c>
      <c r="G462" s="201">
        <v>1.4</v>
      </c>
      <c r="H462" s="201">
        <v>0.3</v>
      </c>
      <c r="I462" s="201">
        <v>0.1</v>
      </c>
      <c r="J462" s="201">
        <v>0</v>
      </c>
      <c r="K462" s="201">
        <v>0.1</v>
      </c>
      <c r="L462" s="201"/>
      <c r="M462" s="201">
        <v>4.8</v>
      </c>
      <c r="N462" s="201">
        <v>0.1</v>
      </c>
      <c r="O462" s="201">
        <v>1.5</v>
      </c>
      <c r="P462" s="201">
        <v>1192.5999999999999</v>
      </c>
      <c r="Q462" s="201">
        <v>1128.3</v>
      </c>
      <c r="R462" s="201"/>
      <c r="S462" s="201"/>
      <c r="T462" s="201">
        <v>2375.6999999999998</v>
      </c>
      <c r="U462" s="201">
        <v>488.1</v>
      </c>
      <c r="V462" s="201"/>
      <c r="W462" s="201"/>
      <c r="X462" s="201"/>
      <c r="Y462" s="201"/>
      <c r="Z462" s="201"/>
      <c r="AA462" s="61"/>
      <c r="AB462" s="201"/>
      <c r="AC462" s="61"/>
      <c r="AD462" s="201">
        <v>14.6</v>
      </c>
      <c r="AE462" s="61"/>
      <c r="AF462" s="61">
        <v>0</v>
      </c>
      <c r="AG462" s="61"/>
      <c r="AH462" s="61"/>
      <c r="AI462" s="61"/>
      <c r="AJ462" s="61"/>
      <c r="AK462" s="61"/>
      <c r="AL462" s="291">
        <v>23</v>
      </c>
      <c r="AM462" s="201">
        <v>21</v>
      </c>
      <c r="AN462" s="201">
        <v>15</v>
      </c>
      <c r="AO462" s="61"/>
      <c r="AP462" s="61"/>
      <c r="AQ462" s="61"/>
      <c r="AR462" s="61"/>
      <c r="AS462" s="101" t="s">
        <v>171</v>
      </c>
      <c r="AT462" s="206" t="str">
        <f t="shared" si="7"/>
        <v>44730-461</v>
      </c>
    </row>
    <row r="463" spans="1:46" x14ac:dyDescent="0.35">
      <c r="A463" s="204">
        <v>462</v>
      </c>
      <c r="B463" s="14" t="s">
        <v>83</v>
      </c>
      <c r="C463" s="1" t="s">
        <v>152</v>
      </c>
      <c r="D463" s="1" t="s">
        <v>161</v>
      </c>
      <c r="E463" s="12">
        <v>44737</v>
      </c>
      <c r="F463" s="201">
        <v>1.4</v>
      </c>
      <c r="G463" s="201">
        <v>1.3</v>
      </c>
      <c r="H463" s="201">
        <v>0</v>
      </c>
      <c r="I463" s="201">
        <v>0</v>
      </c>
      <c r="J463" s="201">
        <v>0</v>
      </c>
      <c r="K463" s="201">
        <v>0</v>
      </c>
      <c r="L463" s="201"/>
      <c r="M463" s="201">
        <v>14</v>
      </c>
      <c r="N463" s="201">
        <v>0.9</v>
      </c>
      <c r="O463" s="201">
        <v>0.3</v>
      </c>
      <c r="P463" s="201">
        <v>967.4</v>
      </c>
      <c r="Q463" s="201">
        <v>989.3</v>
      </c>
      <c r="R463" s="201"/>
      <c r="S463" s="201"/>
      <c r="T463" s="201">
        <v>3505.4</v>
      </c>
      <c r="U463" s="201">
        <v>11.2</v>
      </c>
      <c r="V463" s="201"/>
      <c r="W463" s="201"/>
      <c r="X463" s="201"/>
      <c r="Y463" s="201"/>
      <c r="Z463" s="201"/>
      <c r="AA463" s="61"/>
      <c r="AB463" s="201"/>
      <c r="AC463" s="61"/>
      <c r="AD463" s="201">
        <v>6.2</v>
      </c>
      <c r="AE463" s="61"/>
      <c r="AF463" s="61">
        <v>0</v>
      </c>
      <c r="AG463" s="61"/>
      <c r="AH463" s="61"/>
      <c r="AI463" s="61"/>
      <c r="AJ463" s="61"/>
      <c r="AK463" s="61"/>
      <c r="AL463" s="291">
        <v>23</v>
      </c>
      <c r="AM463" s="201">
        <v>22</v>
      </c>
      <c r="AN463" s="201">
        <v>18</v>
      </c>
      <c r="AO463" s="61"/>
      <c r="AP463" s="61"/>
      <c r="AQ463" s="61"/>
      <c r="AR463" s="61"/>
      <c r="AS463" s="101" t="s">
        <v>162</v>
      </c>
      <c r="AT463" s="206" t="str">
        <f t="shared" si="7"/>
        <v>44737-462</v>
      </c>
    </row>
    <row r="464" spans="1:46" x14ac:dyDescent="0.35">
      <c r="A464" s="204">
        <v>463</v>
      </c>
      <c r="B464" s="14" t="s">
        <v>83</v>
      </c>
      <c r="C464" s="1" t="s">
        <v>160</v>
      </c>
      <c r="D464" s="1" t="s">
        <v>161</v>
      </c>
      <c r="E464" s="12">
        <v>44737</v>
      </c>
      <c r="F464" s="201">
        <v>1.7</v>
      </c>
      <c r="G464" s="201">
        <v>1.2</v>
      </c>
      <c r="H464" s="201">
        <v>0</v>
      </c>
      <c r="I464" s="201">
        <v>0</v>
      </c>
      <c r="J464" s="201">
        <v>0</v>
      </c>
      <c r="K464" s="201">
        <v>0</v>
      </c>
      <c r="L464" s="201"/>
      <c r="M464" s="201">
        <v>5.9</v>
      </c>
      <c r="N464" s="201">
        <v>0</v>
      </c>
      <c r="O464" s="201">
        <v>1.7</v>
      </c>
      <c r="P464" s="201">
        <v>1088.5999999999999</v>
      </c>
      <c r="Q464" s="201">
        <v>1180.4000000000001</v>
      </c>
      <c r="R464" s="201"/>
      <c r="S464" s="201"/>
      <c r="T464" s="201">
        <v>2302.6999999999998</v>
      </c>
      <c r="U464" s="201">
        <v>455.1</v>
      </c>
      <c r="V464" s="201"/>
      <c r="W464" s="201"/>
      <c r="X464" s="201"/>
      <c r="Y464" s="201"/>
      <c r="Z464" s="201"/>
      <c r="AA464" s="61"/>
      <c r="AB464" s="201"/>
      <c r="AC464" s="61"/>
      <c r="AD464" s="201">
        <v>14.9</v>
      </c>
      <c r="AE464" s="61"/>
      <c r="AF464" s="61">
        <v>0</v>
      </c>
      <c r="AG464" s="61"/>
      <c r="AH464" s="61"/>
      <c r="AI464" s="61"/>
      <c r="AJ464" s="61"/>
      <c r="AK464" s="61"/>
      <c r="AL464" s="291">
        <v>22</v>
      </c>
      <c r="AM464" s="201">
        <v>20</v>
      </c>
      <c r="AN464" s="201">
        <v>14</v>
      </c>
      <c r="AO464" s="61"/>
      <c r="AP464" s="61"/>
      <c r="AQ464" s="61"/>
      <c r="AR464" s="61"/>
      <c r="AS464" s="101" t="s">
        <v>163</v>
      </c>
      <c r="AT464" s="206" t="str">
        <f t="shared" si="7"/>
        <v>44737-463</v>
      </c>
    </row>
    <row r="465" spans="1:46" x14ac:dyDescent="0.35">
      <c r="A465" s="204">
        <v>464</v>
      </c>
      <c r="B465" s="14" t="s">
        <v>83</v>
      </c>
      <c r="C465" s="1" t="s">
        <v>198</v>
      </c>
      <c r="D465" s="1" t="s">
        <v>161</v>
      </c>
      <c r="E465" s="12">
        <v>44737</v>
      </c>
      <c r="F465" s="201">
        <v>1.3</v>
      </c>
      <c r="G465" s="201">
        <v>1.2</v>
      </c>
      <c r="H465" s="201">
        <v>0</v>
      </c>
      <c r="I465" s="201">
        <v>0</v>
      </c>
      <c r="J465" s="201">
        <v>0</v>
      </c>
      <c r="K465" s="201">
        <v>0</v>
      </c>
      <c r="L465" s="201"/>
      <c r="M465" s="201">
        <v>15</v>
      </c>
      <c r="N465" s="201">
        <v>0.8</v>
      </c>
      <c r="O465" s="201">
        <v>0</v>
      </c>
      <c r="P465" s="201">
        <v>964.8</v>
      </c>
      <c r="Q465" s="201">
        <v>993.9</v>
      </c>
      <c r="R465" s="201"/>
      <c r="S465" s="201"/>
      <c r="T465" s="201">
        <v>3503.6</v>
      </c>
      <c r="U465" s="201">
        <v>13</v>
      </c>
      <c r="V465" s="201"/>
      <c r="W465" s="201"/>
      <c r="X465" s="201"/>
      <c r="Y465" s="201"/>
      <c r="Z465" s="201"/>
      <c r="AA465" s="61"/>
      <c r="AB465" s="201"/>
      <c r="AC465" s="61"/>
      <c r="AD465" s="201">
        <v>11.3</v>
      </c>
      <c r="AE465" s="61"/>
      <c r="AF465" s="61">
        <v>0</v>
      </c>
      <c r="AG465" s="61"/>
      <c r="AH465" s="61"/>
      <c r="AI465" s="61"/>
      <c r="AJ465" s="61"/>
      <c r="AK465" s="61"/>
      <c r="AL465" s="291">
        <v>24</v>
      </c>
      <c r="AM465" s="201">
        <v>23</v>
      </c>
      <c r="AN465" s="201">
        <v>15</v>
      </c>
      <c r="AO465" s="61"/>
      <c r="AP465" s="61"/>
      <c r="AQ465" s="61"/>
      <c r="AR465" s="61"/>
      <c r="AS465" s="101" t="s">
        <v>164</v>
      </c>
      <c r="AT465" s="206" t="str">
        <f t="shared" si="7"/>
        <v>44737-464</v>
      </c>
    </row>
    <row r="466" spans="1:46" x14ac:dyDescent="0.35">
      <c r="A466" s="204">
        <v>465</v>
      </c>
      <c r="B466" s="14" t="s">
        <v>83</v>
      </c>
      <c r="C466" s="1" t="s">
        <v>198</v>
      </c>
      <c r="D466" s="1" t="s">
        <v>161</v>
      </c>
      <c r="E466" s="12">
        <v>44738</v>
      </c>
      <c r="F466" s="201">
        <v>1.3</v>
      </c>
      <c r="G466" s="201">
        <v>1.2</v>
      </c>
      <c r="H466" s="201">
        <v>0.1</v>
      </c>
      <c r="I466" s="201">
        <v>0</v>
      </c>
      <c r="J466" s="201">
        <v>0.1</v>
      </c>
      <c r="K466" s="201">
        <v>0</v>
      </c>
      <c r="L466" s="201"/>
      <c r="M466" s="201">
        <v>13.2</v>
      </c>
      <c r="N466" s="201">
        <v>0.7</v>
      </c>
      <c r="O466" s="201">
        <v>0.8</v>
      </c>
      <c r="P466" s="201">
        <v>984.9</v>
      </c>
      <c r="Q466" s="201">
        <v>1023.8</v>
      </c>
      <c r="R466" s="201"/>
      <c r="S466" s="201"/>
      <c r="T466" s="201">
        <v>3478.7</v>
      </c>
      <c r="U466" s="201">
        <v>12.9</v>
      </c>
      <c r="V466" s="201"/>
      <c r="W466" s="201"/>
      <c r="X466" s="201"/>
      <c r="Y466" s="201"/>
      <c r="Z466" s="201"/>
      <c r="AA466" s="61"/>
      <c r="AB466" s="201"/>
      <c r="AC466" s="61"/>
      <c r="AD466" s="201">
        <v>11.3</v>
      </c>
      <c r="AE466" s="61"/>
      <c r="AF466" s="61">
        <v>0</v>
      </c>
      <c r="AG466" s="61"/>
      <c r="AH466" s="61"/>
      <c r="AI466" s="61"/>
      <c r="AJ466" s="61"/>
      <c r="AK466" s="61"/>
      <c r="AL466" s="291">
        <v>24</v>
      </c>
      <c r="AM466" s="201">
        <v>23</v>
      </c>
      <c r="AN466" s="201">
        <v>15</v>
      </c>
      <c r="AO466" s="61"/>
      <c r="AP466" s="61"/>
      <c r="AQ466" s="61"/>
      <c r="AR466" s="61"/>
      <c r="AS466" s="101" t="s">
        <v>191</v>
      </c>
      <c r="AT466" s="206" t="str">
        <f t="shared" si="7"/>
        <v>44738-465</v>
      </c>
    </row>
    <row r="467" spans="1:46" x14ac:dyDescent="0.35">
      <c r="A467" s="204">
        <v>466</v>
      </c>
      <c r="B467" s="14" t="s">
        <v>83</v>
      </c>
      <c r="C467" s="1" t="s">
        <v>160</v>
      </c>
      <c r="D467" s="1" t="s">
        <v>161</v>
      </c>
      <c r="E467" s="12">
        <v>44738</v>
      </c>
      <c r="F467" s="201">
        <v>1.7</v>
      </c>
      <c r="G467" s="201">
        <v>1.4</v>
      </c>
      <c r="H467" s="201">
        <v>0</v>
      </c>
      <c r="I467" s="201">
        <v>0</v>
      </c>
      <c r="J467" s="201">
        <v>0</v>
      </c>
      <c r="K467" s="201">
        <v>0.1</v>
      </c>
      <c r="L467" s="201"/>
      <c r="M467" s="201">
        <v>6.3</v>
      </c>
      <c r="N467" s="201">
        <v>0</v>
      </c>
      <c r="O467" s="201">
        <v>2.1</v>
      </c>
      <c r="P467" s="201">
        <v>1117.3</v>
      </c>
      <c r="Q467" s="201">
        <v>1217.0999999999999</v>
      </c>
      <c r="R467" s="201"/>
      <c r="S467" s="201"/>
      <c r="T467" s="201">
        <v>2347.5</v>
      </c>
      <c r="U467" s="201">
        <v>468.6</v>
      </c>
      <c r="V467" s="201"/>
      <c r="W467" s="201"/>
      <c r="X467" s="201"/>
      <c r="Y467" s="201"/>
      <c r="Z467" s="201"/>
      <c r="AA467" s="61"/>
      <c r="AB467" s="201"/>
      <c r="AC467" s="61"/>
      <c r="AD467" s="201">
        <v>14.9</v>
      </c>
      <c r="AE467" s="61"/>
      <c r="AF467" s="61">
        <v>0</v>
      </c>
      <c r="AG467" s="61"/>
      <c r="AH467" s="61"/>
      <c r="AI467" s="61"/>
      <c r="AJ467" s="61"/>
      <c r="AK467" s="61"/>
      <c r="AL467" s="291">
        <v>22</v>
      </c>
      <c r="AM467" s="201">
        <v>20</v>
      </c>
      <c r="AN467" s="201">
        <v>14</v>
      </c>
      <c r="AO467" s="61"/>
      <c r="AP467" s="61"/>
      <c r="AQ467" s="61"/>
      <c r="AR467" s="61"/>
      <c r="AS467" s="101" t="s">
        <v>172</v>
      </c>
      <c r="AT467" s="206" t="str">
        <f t="shared" si="7"/>
        <v>44738-466</v>
      </c>
    </row>
    <row r="468" spans="1:46" x14ac:dyDescent="0.35">
      <c r="A468" s="204">
        <v>467</v>
      </c>
      <c r="B468" s="14" t="s">
        <v>83</v>
      </c>
      <c r="C468" s="1" t="s">
        <v>152</v>
      </c>
      <c r="D468" s="1" t="s">
        <v>161</v>
      </c>
      <c r="E468" s="12">
        <v>44738</v>
      </c>
      <c r="F468" s="201">
        <v>1.3</v>
      </c>
      <c r="G468" s="201">
        <v>1.3</v>
      </c>
      <c r="H468" s="201">
        <v>0</v>
      </c>
      <c r="I468" s="201">
        <v>0</v>
      </c>
      <c r="J468" s="201">
        <v>0</v>
      </c>
      <c r="K468" s="201">
        <v>0</v>
      </c>
      <c r="L468" s="201"/>
      <c r="M468" s="201">
        <v>16.100000000000001</v>
      </c>
      <c r="N468" s="201">
        <v>1.1000000000000001</v>
      </c>
      <c r="O468" s="201">
        <v>0.3</v>
      </c>
      <c r="P468" s="201">
        <v>993.5</v>
      </c>
      <c r="Q468" s="201">
        <v>1021.1</v>
      </c>
      <c r="R468" s="201"/>
      <c r="S468" s="201"/>
      <c r="T468" s="201">
        <v>3611</v>
      </c>
      <c r="U468" s="201">
        <v>11.8</v>
      </c>
      <c r="V468" s="201"/>
      <c r="W468" s="201"/>
      <c r="X468" s="201"/>
      <c r="Y468" s="201"/>
      <c r="Z468" s="201"/>
      <c r="AA468" s="61"/>
      <c r="AB468" s="201"/>
      <c r="AC468" s="61"/>
      <c r="AD468" s="201">
        <v>6.2</v>
      </c>
      <c r="AE468" s="61"/>
      <c r="AF468" s="61">
        <v>0</v>
      </c>
      <c r="AG468" s="61"/>
      <c r="AH468" s="61"/>
      <c r="AI468" s="61"/>
      <c r="AJ468" s="61"/>
      <c r="AK468" s="61"/>
      <c r="AL468" s="291">
        <v>24</v>
      </c>
      <c r="AM468" s="201">
        <v>22</v>
      </c>
      <c r="AN468" s="201">
        <v>16</v>
      </c>
      <c r="AO468" s="61"/>
      <c r="AP468" s="61"/>
      <c r="AQ468" s="61"/>
      <c r="AR468" s="61"/>
      <c r="AS468" s="101" t="s">
        <v>236</v>
      </c>
      <c r="AT468" s="206" t="str">
        <f t="shared" si="7"/>
        <v>44738-467</v>
      </c>
    </row>
    <row r="469" spans="1:46" x14ac:dyDescent="0.35">
      <c r="A469" s="204">
        <v>468</v>
      </c>
      <c r="B469" s="14" t="s">
        <v>83</v>
      </c>
      <c r="C469" s="1" t="s">
        <v>160</v>
      </c>
      <c r="D469" s="1" t="s">
        <v>161</v>
      </c>
      <c r="E469" s="12">
        <v>44755</v>
      </c>
      <c r="F469" s="201">
        <v>1.604730322</v>
      </c>
      <c r="G469" s="201">
        <v>1.537439762</v>
      </c>
      <c r="H469" s="201">
        <v>0.47159060940000003</v>
      </c>
      <c r="I469" s="201">
        <v>0.1540942505</v>
      </c>
      <c r="J469" s="201">
        <v>0</v>
      </c>
      <c r="K469" s="201">
        <v>0</v>
      </c>
      <c r="L469" s="201"/>
      <c r="M469" s="201">
        <v>5.2684000409999996</v>
      </c>
      <c r="N469" s="201">
        <v>0</v>
      </c>
      <c r="O469" s="201">
        <v>1.65898166</v>
      </c>
      <c r="P469" s="201">
        <v>1161.390022</v>
      </c>
      <c r="Q469" s="201">
        <v>1239.1082630000001</v>
      </c>
      <c r="R469" s="201"/>
      <c r="S469" s="201"/>
      <c r="T469" s="201">
        <v>2463.7821049999998</v>
      </c>
      <c r="U469" s="201">
        <v>486.21354120000001</v>
      </c>
      <c r="V469" s="201"/>
      <c r="W469" s="201"/>
      <c r="X469" s="201"/>
      <c r="Y469" s="201"/>
      <c r="Z469" s="201"/>
      <c r="AA469" s="61"/>
      <c r="AB469" s="201"/>
      <c r="AC469" s="61"/>
      <c r="AD469" s="201">
        <v>14.8</v>
      </c>
      <c r="AE469" s="61"/>
      <c r="AF469" s="61">
        <v>0</v>
      </c>
      <c r="AG469" s="61"/>
      <c r="AH469" s="61"/>
      <c r="AI469" s="61"/>
      <c r="AJ469" s="61"/>
      <c r="AK469" s="61"/>
      <c r="AL469" s="291">
        <v>22</v>
      </c>
      <c r="AM469" s="201">
        <v>21</v>
      </c>
      <c r="AN469" s="201">
        <v>15</v>
      </c>
      <c r="AO469" s="61"/>
      <c r="AP469" s="61"/>
      <c r="AQ469" s="61"/>
      <c r="AR469" s="61"/>
      <c r="AS469" s="101" t="s">
        <v>162</v>
      </c>
      <c r="AT469" s="206" t="str">
        <f t="shared" si="7"/>
        <v>44755-468</v>
      </c>
    </row>
    <row r="470" spans="1:46" x14ac:dyDescent="0.35">
      <c r="A470" s="204">
        <v>469</v>
      </c>
      <c r="B470" s="14" t="s">
        <v>83</v>
      </c>
      <c r="C470" s="1" t="s">
        <v>152</v>
      </c>
      <c r="D470" s="1" t="s">
        <v>161</v>
      </c>
      <c r="E470" s="12">
        <v>44755</v>
      </c>
      <c r="F470" s="201">
        <v>1.1195293500000001</v>
      </c>
      <c r="G470" s="201">
        <v>1.0679997290000001</v>
      </c>
      <c r="H470" s="201">
        <v>0</v>
      </c>
      <c r="I470" s="201">
        <v>9.0822639999999996E-2</v>
      </c>
      <c r="J470" s="201">
        <v>0.100654956</v>
      </c>
      <c r="K470" s="201">
        <v>0</v>
      </c>
      <c r="L470" s="201"/>
      <c r="M470" s="201">
        <v>12.18023466</v>
      </c>
      <c r="N470" s="201">
        <v>0.64397276199999998</v>
      </c>
      <c r="O470" s="201">
        <v>0</v>
      </c>
      <c r="P470" s="201">
        <v>999.05028719999996</v>
      </c>
      <c r="Q470" s="201">
        <v>994.6651233</v>
      </c>
      <c r="R470" s="201"/>
      <c r="S470" s="201"/>
      <c r="T470" s="201">
        <v>3524.273956</v>
      </c>
      <c r="U470" s="201">
        <v>9.9248190449999996</v>
      </c>
      <c r="V470" s="201"/>
      <c r="W470" s="201"/>
      <c r="X470" s="201"/>
      <c r="Y470" s="201"/>
      <c r="Z470" s="201"/>
      <c r="AA470" s="61"/>
      <c r="AB470" s="201"/>
      <c r="AC470" s="61"/>
      <c r="AD470" s="201">
        <v>6.2</v>
      </c>
      <c r="AE470" s="61"/>
      <c r="AF470" s="61">
        <v>0</v>
      </c>
      <c r="AG470" s="61"/>
      <c r="AH470" s="61"/>
      <c r="AI470" s="61"/>
      <c r="AJ470" s="61"/>
      <c r="AK470" s="61"/>
      <c r="AL470" s="291">
        <v>24</v>
      </c>
      <c r="AM470" s="201">
        <v>23</v>
      </c>
      <c r="AN470" s="201">
        <v>15</v>
      </c>
      <c r="AO470" s="61"/>
      <c r="AP470" s="61"/>
      <c r="AQ470" s="61"/>
      <c r="AR470" s="61"/>
      <c r="AS470" s="101" t="s">
        <v>163</v>
      </c>
      <c r="AT470" s="206" t="str">
        <f t="shared" si="7"/>
        <v>44755-469</v>
      </c>
    </row>
    <row r="471" spans="1:46" x14ac:dyDescent="0.35">
      <c r="A471" s="204">
        <v>470</v>
      </c>
      <c r="B471" s="14" t="s">
        <v>83</v>
      </c>
      <c r="C471" s="1" t="s">
        <v>160</v>
      </c>
      <c r="D471" s="1" t="s">
        <v>161</v>
      </c>
      <c r="E471" s="12">
        <v>44755</v>
      </c>
      <c r="F471" s="201">
        <v>1.5380311579999999</v>
      </c>
      <c r="G471" s="201">
        <v>1.4905360510000001</v>
      </c>
      <c r="H471" s="201">
        <v>0</v>
      </c>
      <c r="I471" s="201">
        <v>0</v>
      </c>
      <c r="J471" s="201">
        <v>0</v>
      </c>
      <c r="K471" s="201">
        <v>0</v>
      </c>
      <c r="L471" s="201"/>
      <c r="M471" s="201">
        <v>3.7180989960000002</v>
      </c>
      <c r="N471" s="201">
        <v>0</v>
      </c>
      <c r="O471" s="201">
        <v>0.89474648899999998</v>
      </c>
      <c r="P471" s="201">
        <v>1182.9829299999999</v>
      </c>
      <c r="Q471" s="201">
        <v>1251.39805</v>
      </c>
      <c r="R471" s="201"/>
      <c r="S471" s="201"/>
      <c r="T471" s="201">
        <v>2492.2865179999999</v>
      </c>
      <c r="U471" s="201">
        <v>485.06551760000002</v>
      </c>
      <c r="V471" s="201"/>
      <c r="W471" s="201"/>
      <c r="X471" s="201"/>
      <c r="Y471" s="201"/>
      <c r="Z471" s="201"/>
      <c r="AA471" s="61"/>
      <c r="AB471" s="201"/>
      <c r="AC471" s="61"/>
      <c r="AD471" s="201">
        <v>14.8</v>
      </c>
      <c r="AE471" s="61"/>
      <c r="AF471" s="61">
        <v>0</v>
      </c>
      <c r="AG471" s="61"/>
      <c r="AH471" s="61"/>
      <c r="AI471" s="61"/>
      <c r="AJ471" s="61"/>
      <c r="AK471" s="61"/>
      <c r="AL471" s="291">
        <v>22</v>
      </c>
      <c r="AM471" s="201">
        <v>20</v>
      </c>
      <c r="AN471" s="201">
        <v>14</v>
      </c>
      <c r="AO471" s="61"/>
      <c r="AP471" s="61"/>
      <c r="AQ471" s="61"/>
      <c r="AR471" s="61"/>
      <c r="AS471" s="101" t="s">
        <v>164</v>
      </c>
      <c r="AT471" s="206" t="str">
        <f t="shared" si="7"/>
        <v>44755-470</v>
      </c>
    </row>
    <row r="472" spans="1:46" x14ac:dyDescent="0.35">
      <c r="A472" s="204">
        <v>471</v>
      </c>
      <c r="B472" s="14" t="s">
        <v>83</v>
      </c>
      <c r="C472" s="1" t="s">
        <v>160</v>
      </c>
      <c r="D472" s="1" t="s">
        <v>161</v>
      </c>
      <c r="E472" s="12">
        <v>44756</v>
      </c>
      <c r="F472" s="201">
        <v>1.591020707</v>
      </c>
      <c r="G472" s="201">
        <v>1.568033137</v>
      </c>
      <c r="H472" s="201">
        <v>0.18181666199999999</v>
      </c>
      <c r="I472" s="201">
        <v>0</v>
      </c>
      <c r="J472" s="201">
        <v>0</v>
      </c>
      <c r="K472" s="201">
        <v>0</v>
      </c>
      <c r="L472" s="201"/>
      <c r="M472" s="201">
        <v>3.3525097719999999</v>
      </c>
      <c r="N472" s="201">
        <v>0</v>
      </c>
      <c r="O472" s="201">
        <v>1.2202737269999999</v>
      </c>
      <c r="P472" s="201">
        <v>1166.675017</v>
      </c>
      <c r="Q472" s="201">
        <v>1206.4536720000001</v>
      </c>
      <c r="R472" s="201"/>
      <c r="S472" s="201"/>
      <c r="T472" s="201">
        <v>2467.8786829999999</v>
      </c>
      <c r="U472" s="201">
        <v>485.37241230000001</v>
      </c>
      <c r="V472" s="201"/>
      <c r="W472" s="201"/>
      <c r="X472" s="201"/>
      <c r="Y472" s="201"/>
      <c r="Z472" s="201"/>
      <c r="AA472" s="61"/>
      <c r="AB472" s="201"/>
      <c r="AC472" s="61"/>
      <c r="AD472" s="201">
        <v>14.9</v>
      </c>
      <c r="AE472" s="61"/>
      <c r="AF472" s="61">
        <v>0</v>
      </c>
      <c r="AG472" s="61"/>
      <c r="AH472" s="61"/>
      <c r="AI472" s="61"/>
      <c r="AJ472" s="61"/>
      <c r="AK472" s="61"/>
      <c r="AL472" s="291">
        <v>22</v>
      </c>
      <c r="AM472" s="201">
        <v>20</v>
      </c>
      <c r="AN472" s="201">
        <v>15</v>
      </c>
      <c r="AO472" s="61"/>
      <c r="AP472" s="61"/>
      <c r="AQ472" s="61"/>
      <c r="AR472" s="61"/>
      <c r="AS472" s="101" t="s">
        <v>191</v>
      </c>
      <c r="AT472" s="206" t="str">
        <f t="shared" si="7"/>
        <v>44756-471</v>
      </c>
    </row>
    <row r="473" spans="1:46" x14ac:dyDescent="0.35">
      <c r="A473" s="204">
        <v>472</v>
      </c>
      <c r="B473" s="14" t="s">
        <v>83</v>
      </c>
      <c r="C473" s="1" t="s">
        <v>152</v>
      </c>
      <c r="D473" s="1" t="s">
        <v>161</v>
      </c>
      <c r="E473" s="12">
        <v>44756</v>
      </c>
      <c r="F473" s="201">
        <v>1.1885904759999999</v>
      </c>
      <c r="G473" s="201">
        <v>1.148153035</v>
      </c>
      <c r="H473" s="201">
        <v>0.29521019399999998</v>
      </c>
      <c r="I473" s="201">
        <v>0.15043499599999999</v>
      </c>
      <c r="J473" s="201">
        <v>0</v>
      </c>
      <c r="K473" s="201">
        <v>1.5312769E-2</v>
      </c>
      <c r="L473" s="201"/>
      <c r="M473" s="201">
        <v>12.61981697</v>
      </c>
      <c r="N473" s="201">
        <v>0.93397408900000001</v>
      </c>
      <c r="O473" s="201">
        <v>0.64270877299999996</v>
      </c>
      <c r="P473" s="201">
        <v>993.94022510000002</v>
      </c>
      <c r="Q473" s="201">
        <v>947.8658835</v>
      </c>
      <c r="R473" s="201"/>
      <c r="S473" s="201"/>
      <c r="T473" s="201">
        <v>3494.518082</v>
      </c>
      <c r="U473" s="201">
        <v>10.044846570000001</v>
      </c>
      <c r="V473" s="201"/>
      <c r="W473" s="201"/>
      <c r="X473" s="201"/>
      <c r="Y473" s="201"/>
      <c r="Z473" s="201"/>
      <c r="AA473" s="61"/>
      <c r="AB473" s="201"/>
      <c r="AC473" s="61"/>
      <c r="AD473" s="201">
        <v>6.2</v>
      </c>
      <c r="AE473" s="61"/>
      <c r="AF473" s="61">
        <v>0</v>
      </c>
      <c r="AG473" s="61"/>
      <c r="AH473" s="61"/>
      <c r="AI473" s="61"/>
      <c r="AJ473" s="61"/>
      <c r="AK473" s="61"/>
      <c r="AL473" s="291">
        <v>24</v>
      </c>
      <c r="AM473" s="201">
        <v>22</v>
      </c>
      <c r="AN473" s="201">
        <v>16</v>
      </c>
      <c r="AO473" s="61"/>
      <c r="AP473" s="61"/>
      <c r="AQ473" s="61"/>
      <c r="AR473" s="61"/>
      <c r="AS473" s="101" t="s">
        <v>172</v>
      </c>
      <c r="AT473" s="206" t="str">
        <f t="shared" si="7"/>
        <v>44756-472</v>
      </c>
    </row>
    <row r="474" spans="1:46" x14ac:dyDescent="0.35">
      <c r="A474" s="204">
        <v>473</v>
      </c>
      <c r="B474" s="14" t="s">
        <v>83</v>
      </c>
      <c r="C474" s="1" t="s">
        <v>160</v>
      </c>
      <c r="D474" s="1" t="s">
        <v>161</v>
      </c>
      <c r="E474" s="12">
        <v>44756</v>
      </c>
      <c r="F474" s="201">
        <v>1.758480203</v>
      </c>
      <c r="G474" s="201">
        <v>1.4071283539999999</v>
      </c>
      <c r="H474" s="201">
        <v>0.159392268</v>
      </c>
      <c r="I474" s="201">
        <v>0.27575799899999998</v>
      </c>
      <c r="J474" s="201">
        <v>0</v>
      </c>
      <c r="K474" s="201">
        <v>2.3386192E-2</v>
      </c>
      <c r="L474" s="201"/>
      <c r="M474" s="201">
        <v>3.6075984069999998</v>
      </c>
      <c r="N474" s="201">
        <v>0</v>
      </c>
      <c r="O474" s="201">
        <v>1.706065229</v>
      </c>
      <c r="P474" s="201">
        <v>1152.125663</v>
      </c>
      <c r="Q474" s="201">
        <v>1188.295627</v>
      </c>
      <c r="R474" s="201"/>
      <c r="S474" s="201"/>
      <c r="T474" s="201">
        <v>2424.3787499999999</v>
      </c>
      <c r="U474" s="201">
        <v>476.68857279999997</v>
      </c>
      <c r="V474" s="201"/>
      <c r="W474" s="201"/>
      <c r="X474" s="201"/>
      <c r="Y474" s="201"/>
      <c r="Z474" s="201"/>
      <c r="AA474" s="61"/>
      <c r="AB474" s="201"/>
      <c r="AC474" s="61"/>
      <c r="AD474" s="201">
        <v>15</v>
      </c>
      <c r="AE474" s="61"/>
      <c r="AF474" s="61">
        <v>0</v>
      </c>
      <c r="AG474" s="61"/>
      <c r="AH474" s="61"/>
      <c r="AI474" s="61"/>
      <c r="AJ474" s="61"/>
      <c r="AK474" s="61"/>
      <c r="AL474" s="291">
        <v>22</v>
      </c>
      <c r="AM474" s="201">
        <v>20</v>
      </c>
      <c r="AN474" s="201">
        <v>13</v>
      </c>
      <c r="AO474" s="61"/>
      <c r="AP474" s="61"/>
      <c r="AQ474" s="61"/>
      <c r="AR474" s="61"/>
      <c r="AS474" s="101" t="s">
        <v>171</v>
      </c>
      <c r="AT474" s="206" t="str">
        <f t="shared" si="7"/>
        <v>44756-473</v>
      </c>
    </row>
    <row r="475" spans="1:46" x14ac:dyDescent="0.35">
      <c r="A475" s="204">
        <v>474</v>
      </c>
      <c r="B475" s="14" t="s">
        <v>83</v>
      </c>
      <c r="C475" s="1" t="s">
        <v>152</v>
      </c>
      <c r="D475" s="1" t="s">
        <v>161</v>
      </c>
      <c r="E475" s="12">
        <v>44757</v>
      </c>
      <c r="F475" s="201">
        <v>1.0097204209999999</v>
      </c>
      <c r="G475" s="201">
        <v>1.0664338659999999</v>
      </c>
      <c r="H475" s="201">
        <v>7.387096604E-2</v>
      </c>
      <c r="I475" s="201">
        <v>0</v>
      </c>
      <c r="J475" s="201">
        <v>0</v>
      </c>
      <c r="K475" s="201">
        <v>7.4679822579999999E-2</v>
      </c>
      <c r="L475" s="201"/>
      <c r="M475" s="201">
        <v>13.58449325</v>
      </c>
      <c r="N475" s="201">
        <v>1.112672305</v>
      </c>
      <c r="O475" s="201">
        <v>0.73205420129999998</v>
      </c>
      <c r="P475" s="201">
        <v>10.28220037</v>
      </c>
      <c r="Q475" s="201">
        <v>961.91894319999994</v>
      </c>
      <c r="R475" s="201"/>
      <c r="S475" s="201"/>
      <c r="T475" s="201">
        <v>3466.437113</v>
      </c>
      <c r="U475" s="201">
        <v>10.28220037</v>
      </c>
      <c r="V475" s="201"/>
      <c r="W475" s="201"/>
      <c r="X475" s="201"/>
      <c r="Y475" s="201"/>
      <c r="Z475" s="201"/>
      <c r="AA475" s="61"/>
      <c r="AB475" s="201"/>
      <c r="AC475" s="61"/>
      <c r="AD475" s="201">
        <v>6.1</v>
      </c>
      <c r="AE475" s="61"/>
      <c r="AF475" s="61">
        <v>0</v>
      </c>
      <c r="AG475" s="61"/>
      <c r="AH475" s="61"/>
      <c r="AI475" s="61"/>
      <c r="AJ475" s="61"/>
      <c r="AK475" s="61"/>
      <c r="AL475" s="291">
        <v>24</v>
      </c>
      <c r="AM475" s="201">
        <v>23</v>
      </c>
      <c r="AN475" s="201">
        <v>16</v>
      </c>
      <c r="AO475" s="61"/>
      <c r="AP475" s="61"/>
      <c r="AQ475" s="61"/>
      <c r="AR475" s="61"/>
      <c r="AS475" s="101" t="s">
        <v>181</v>
      </c>
      <c r="AT475" s="206" t="str">
        <f t="shared" si="7"/>
        <v>44757-474</v>
      </c>
    </row>
    <row r="476" spans="1:46" x14ac:dyDescent="0.35">
      <c r="A476" s="204">
        <v>475</v>
      </c>
      <c r="B476" s="14" t="s">
        <v>83</v>
      </c>
      <c r="C476" s="1" t="s">
        <v>160</v>
      </c>
      <c r="D476" s="1" t="s">
        <v>161</v>
      </c>
      <c r="E476" s="12">
        <v>44757</v>
      </c>
      <c r="F476" s="201">
        <v>1.4250961099999999</v>
      </c>
      <c r="G476" s="201">
        <v>1.4063301969999999</v>
      </c>
      <c r="H476" s="201">
        <v>0.22017637679999999</v>
      </c>
      <c r="I476" s="201">
        <v>0.15609534259999999</v>
      </c>
      <c r="J476" s="201">
        <v>0</v>
      </c>
      <c r="K476" s="201">
        <v>1.179989626E-2</v>
      </c>
      <c r="L476" s="201"/>
      <c r="M476" s="201">
        <v>5.1996036009999997</v>
      </c>
      <c r="N476" s="201">
        <v>0</v>
      </c>
      <c r="O476" s="201">
        <v>2.203311588</v>
      </c>
      <c r="P476" s="201">
        <v>485.79420859999999</v>
      </c>
      <c r="Q476" s="201">
        <v>1232.0851740000001</v>
      </c>
      <c r="R476" s="201"/>
      <c r="S476" s="201"/>
      <c r="T476" s="201">
        <v>2447.1616199999999</v>
      </c>
      <c r="U476" s="201">
        <v>485.79420859999999</v>
      </c>
      <c r="V476" s="201"/>
      <c r="W476" s="201"/>
      <c r="X476" s="201"/>
      <c r="Y476" s="201"/>
      <c r="Z476" s="201"/>
      <c r="AA476" s="61"/>
      <c r="AB476" s="201"/>
      <c r="AC476" s="61"/>
      <c r="AD476" s="201">
        <v>14.8</v>
      </c>
      <c r="AE476" s="61"/>
      <c r="AF476" s="61">
        <v>0</v>
      </c>
      <c r="AG476" s="61"/>
      <c r="AH476" s="61"/>
      <c r="AI476" s="61"/>
      <c r="AJ476" s="61"/>
      <c r="AK476" s="61"/>
      <c r="AL476" s="291">
        <v>22</v>
      </c>
      <c r="AM476" s="201">
        <v>21</v>
      </c>
      <c r="AN476" s="201">
        <v>15</v>
      </c>
      <c r="AO476" s="61"/>
      <c r="AP476" s="61"/>
      <c r="AQ476" s="61"/>
      <c r="AR476" s="61"/>
      <c r="AS476" s="101" t="s">
        <v>182</v>
      </c>
      <c r="AT476" s="206" t="str">
        <f t="shared" si="7"/>
        <v>44757-475</v>
      </c>
    </row>
    <row r="477" spans="1:46" x14ac:dyDescent="0.35">
      <c r="A477" s="204">
        <v>476</v>
      </c>
      <c r="B477" s="14" t="s">
        <v>83</v>
      </c>
      <c r="C477" s="1" t="s">
        <v>160</v>
      </c>
      <c r="D477" s="1" t="s">
        <v>161</v>
      </c>
      <c r="E477" s="12">
        <v>44757</v>
      </c>
      <c r="F477" s="201">
        <v>1.4250454379999999</v>
      </c>
      <c r="G477" s="201">
        <v>1.4724915439999999</v>
      </c>
      <c r="H477" s="201">
        <v>0</v>
      </c>
      <c r="I477" s="201">
        <v>8.2647115859999995E-2</v>
      </c>
      <c r="J477" s="201">
        <v>0</v>
      </c>
      <c r="K477" s="201">
        <v>2.5330119870000001E-2</v>
      </c>
      <c r="L477" s="201"/>
      <c r="M477" s="201">
        <v>4.6110004699999996</v>
      </c>
      <c r="N477" s="201">
        <v>0</v>
      </c>
      <c r="O477" s="201">
        <v>1.590574277</v>
      </c>
      <c r="P477" s="201">
        <v>480.36582090000002</v>
      </c>
      <c r="Q477" s="201">
        <v>1227.1181799999999</v>
      </c>
      <c r="R477" s="201"/>
      <c r="S477" s="201"/>
      <c r="T477" s="201">
        <v>2415.0872439999998</v>
      </c>
      <c r="U477" s="201">
        <v>480.36582090000002</v>
      </c>
      <c r="V477" s="201"/>
      <c r="W477" s="201"/>
      <c r="X477" s="201"/>
      <c r="Y477" s="201"/>
      <c r="Z477" s="201"/>
      <c r="AA477" s="61"/>
      <c r="AB477" s="201"/>
      <c r="AC477" s="61"/>
      <c r="AD477" s="201">
        <v>14.9</v>
      </c>
      <c r="AE477" s="61"/>
      <c r="AF477" s="61">
        <v>0</v>
      </c>
      <c r="AG477" s="61"/>
      <c r="AH477" s="61"/>
      <c r="AI477" s="61"/>
      <c r="AJ477" s="61"/>
      <c r="AK477" s="61"/>
      <c r="AL477" s="291">
        <v>22</v>
      </c>
      <c r="AM477" s="201">
        <v>20</v>
      </c>
      <c r="AN477" s="201">
        <v>15</v>
      </c>
      <c r="AO477" s="61"/>
      <c r="AP477" s="61"/>
      <c r="AQ477" s="61"/>
      <c r="AR477" s="61"/>
      <c r="AS477" s="101" t="s">
        <v>183</v>
      </c>
      <c r="AT477" s="206" t="str">
        <f t="shared" si="7"/>
        <v>44757-476</v>
      </c>
    </row>
    <row r="478" spans="1:46" x14ac:dyDescent="0.35">
      <c r="A478" s="204">
        <v>477</v>
      </c>
      <c r="B478" s="14" t="s">
        <v>83</v>
      </c>
      <c r="C478" s="1" t="s">
        <v>152</v>
      </c>
      <c r="D478" s="1" t="s">
        <v>161</v>
      </c>
      <c r="E478" s="12">
        <v>44758</v>
      </c>
      <c r="F478" s="201">
        <v>1.1397460129999999</v>
      </c>
      <c r="G478" s="201">
        <v>1.2817593519999999</v>
      </c>
      <c r="H478" s="201">
        <v>0</v>
      </c>
      <c r="I478" s="201">
        <v>0</v>
      </c>
      <c r="J478" s="201">
        <v>0</v>
      </c>
      <c r="K478" s="201">
        <v>1.0344784440000001E-3</v>
      </c>
      <c r="L478" s="201"/>
      <c r="M478" s="201">
        <v>11.402101707</v>
      </c>
      <c r="N478" s="201">
        <v>0.93194245220000005</v>
      </c>
      <c r="O478" s="201">
        <v>0.33383956390000002</v>
      </c>
      <c r="P478" s="201">
        <v>10.345779520000001</v>
      </c>
      <c r="Q478" s="201">
        <v>970.9842635</v>
      </c>
      <c r="R478" s="201"/>
      <c r="S478" s="201"/>
      <c r="T478" s="201">
        <v>3470.2332120000001</v>
      </c>
      <c r="U478" s="201">
        <v>10.345779520000001</v>
      </c>
      <c r="V478" s="201"/>
      <c r="W478" s="201"/>
      <c r="X478" s="201"/>
      <c r="Y478" s="201"/>
      <c r="Z478" s="201"/>
      <c r="AA478" s="61"/>
      <c r="AB478" s="201"/>
      <c r="AC478" s="61"/>
      <c r="AD478" s="201">
        <v>6.1</v>
      </c>
      <c r="AE478" s="61"/>
      <c r="AF478" s="61">
        <v>0</v>
      </c>
      <c r="AG478" s="61"/>
      <c r="AH478" s="61"/>
      <c r="AI478" s="61"/>
      <c r="AJ478" s="61"/>
      <c r="AK478" s="61"/>
      <c r="AL478" s="291">
        <v>23</v>
      </c>
      <c r="AM478" s="201">
        <v>21</v>
      </c>
      <c r="AN478" s="201">
        <v>15</v>
      </c>
      <c r="AO478" s="61"/>
      <c r="AP478" s="61"/>
      <c r="AQ478" s="61"/>
      <c r="AR478" s="61"/>
      <c r="AS478" s="101" t="s">
        <v>192</v>
      </c>
      <c r="AT478" s="206" t="str">
        <f t="shared" si="7"/>
        <v>44758-477</v>
      </c>
    </row>
    <row r="479" spans="1:46" x14ac:dyDescent="0.35">
      <c r="A479" s="204">
        <v>478</v>
      </c>
      <c r="B479" s="14" t="s">
        <v>83</v>
      </c>
      <c r="C479" s="1" t="s">
        <v>160</v>
      </c>
      <c r="D479" s="1" t="s">
        <v>161</v>
      </c>
      <c r="E479" s="12">
        <v>44758</v>
      </c>
      <c r="F479" s="201">
        <v>1.377103427</v>
      </c>
      <c r="G479" s="201">
        <v>1.347887289</v>
      </c>
      <c r="H479" s="201">
        <v>0</v>
      </c>
      <c r="I479" s="201">
        <v>0.1230918318</v>
      </c>
      <c r="J479" s="201">
        <v>0</v>
      </c>
      <c r="K479" s="201">
        <v>1.0863178520000001E-2</v>
      </c>
      <c r="L479" s="201"/>
      <c r="M479" s="201">
        <v>4.7212838430000001</v>
      </c>
      <c r="N479" s="201">
        <v>0</v>
      </c>
      <c r="O479" s="201">
        <v>2.2220491529999999</v>
      </c>
      <c r="P479" s="201">
        <v>1166.3884049999999</v>
      </c>
      <c r="Q479" s="201">
        <v>1211.3399959999999</v>
      </c>
      <c r="R479" s="201"/>
      <c r="S479" s="201"/>
      <c r="T479" s="201">
        <v>2419.7376680000002</v>
      </c>
      <c r="U479" s="201">
        <v>482.40388860000002</v>
      </c>
      <c r="V479" s="201"/>
      <c r="W479" s="201"/>
      <c r="X479" s="201"/>
      <c r="Y479" s="201"/>
      <c r="Z479" s="201"/>
      <c r="AA479" s="61"/>
      <c r="AB479" s="201"/>
      <c r="AC479" s="61"/>
      <c r="AD479" s="201">
        <v>14.8</v>
      </c>
      <c r="AE479" s="61"/>
      <c r="AF479" s="61">
        <v>0</v>
      </c>
      <c r="AG479" s="61"/>
      <c r="AH479" s="61"/>
      <c r="AI479" s="61"/>
      <c r="AJ479" s="61"/>
      <c r="AK479" s="61"/>
      <c r="AL479" s="291">
        <v>22</v>
      </c>
      <c r="AM479" s="201">
        <v>20</v>
      </c>
      <c r="AN479" s="201">
        <v>14</v>
      </c>
      <c r="AO479" s="61"/>
      <c r="AP479" s="61"/>
      <c r="AQ479" s="61"/>
      <c r="AR479" s="61"/>
      <c r="AS479" s="101" t="s">
        <v>191</v>
      </c>
      <c r="AT479" s="206" t="str">
        <f t="shared" si="7"/>
        <v>44758-478</v>
      </c>
    </row>
    <row r="480" spans="1:46" x14ac:dyDescent="0.35">
      <c r="A480" s="204">
        <v>479</v>
      </c>
      <c r="B480" s="14" t="s">
        <v>83</v>
      </c>
      <c r="C480" s="1" t="s">
        <v>160</v>
      </c>
      <c r="D480" s="1" t="s">
        <v>161</v>
      </c>
      <c r="E480" s="12">
        <v>44758</v>
      </c>
      <c r="F480" s="201">
        <v>1.476239361</v>
      </c>
      <c r="G480" s="201">
        <v>1.5495100559999999</v>
      </c>
      <c r="H480" s="201">
        <v>0</v>
      </c>
      <c r="I480" s="201">
        <v>0.3542884416</v>
      </c>
      <c r="J480" s="201">
        <v>0</v>
      </c>
      <c r="K480" s="201">
        <v>2.5023234549999999E-2</v>
      </c>
      <c r="L480" s="201"/>
      <c r="M480" s="201">
        <v>4.7812218050000004</v>
      </c>
      <c r="N480" s="201">
        <v>0</v>
      </c>
      <c r="O480" s="201">
        <v>1.918288142</v>
      </c>
      <c r="P480" s="201">
        <v>1159.298074</v>
      </c>
      <c r="Q480" s="201">
        <v>1201.4139130000001</v>
      </c>
      <c r="R480" s="201"/>
      <c r="S480" s="201"/>
      <c r="T480" s="201">
        <v>2416.5017560000001</v>
      </c>
      <c r="U480" s="201">
        <v>479.94516709999999</v>
      </c>
      <c r="V480" s="201"/>
      <c r="W480" s="201"/>
      <c r="X480" s="201"/>
      <c r="Y480" s="201"/>
      <c r="Z480" s="201"/>
      <c r="AA480" s="61"/>
      <c r="AB480" s="201"/>
      <c r="AC480" s="61"/>
      <c r="AD480" s="201">
        <v>14.9</v>
      </c>
      <c r="AE480" s="61"/>
      <c r="AF480" s="61">
        <v>0</v>
      </c>
      <c r="AG480" s="61"/>
      <c r="AH480" s="61"/>
      <c r="AI480" s="61"/>
      <c r="AJ480" s="61"/>
      <c r="AK480" s="61"/>
      <c r="AL480" s="291">
        <v>23</v>
      </c>
      <c r="AM480" s="201">
        <v>21</v>
      </c>
      <c r="AN480" s="201">
        <v>15</v>
      </c>
      <c r="AO480" s="61"/>
      <c r="AP480" s="61"/>
      <c r="AQ480" s="61"/>
      <c r="AR480" s="61"/>
      <c r="AS480" s="101" t="s">
        <v>258</v>
      </c>
      <c r="AT480" s="206" t="str">
        <f t="shared" si="7"/>
        <v>44758-479</v>
      </c>
    </row>
    <row r="481" spans="1:46" x14ac:dyDescent="0.35">
      <c r="A481" s="204">
        <v>480</v>
      </c>
      <c r="B481" s="14" t="s">
        <v>83</v>
      </c>
      <c r="C481" s="1" t="s">
        <v>160</v>
      </c>
      <c r="D481" s="1" t="s">
        <v>161</v>
      </c>
      <c r="E481" s="12">
        <v>44763</v>
      </c>
      <c r="F481" s="201">
        <v>2</v>
      </c>
      <c r="G481" s="201">
        <v>1.5</v>
      </c>
      <c r="H481" s="201">
        <v>0</v>
      </c>
      <c r="I481" s="201">
        <v>0</v>
      </c>
      <c r="J481" s="201">
        <v>0</v>
      </c>
      <c r="K481" s="201">
        <v>0</v>
      </c>
      <c r="L481" s="201"/>
      <c r="M481" s="201">
        <v>7</v>
      </c>
      <c r="N481" s="201">
        <v>0</v>
      </c>
      <c r="O481" s="201">
        <v>2.2000000000000002</v>
      </c>
      <c r="P481" s="201">
        <v>1209.0999999999999</v>
      </c>
      <c r="Q481" s="201">
        <v>1281.7</v>
      </c>
      <c r="R481" s="201"/>
      <c r="S481" s="201"/>
      <c r="T481" s="201">
        <v>2558.9</v>
      </c>
      <c r="U481" s="201">
        <v>501.1</v>
      </c>
      <c r="V481" s="201"/>
      <c r="W481" s="201"/>
      <c r="X481" s="201"/>
      <c r="Y481" s="201"/>
      <c r="Z481" s="201"/>
      <c r="AA481" s="61"/>
      <c r="AB481" s="201"/>
      <c r="AC481" s="61"/>
      <c r="AD481" s="201">
        <v>14.7</v>
      </c>
      <c r="AE481" s="61"/>
      <c r="AF481" s="61">
        <v>0</v>
      </c>
      <c r="AG481" s="61"/>
      <c r="AH481" s="61"/>
      <c r="AI481" s="61"/>
      <c r="AJ481" s="61"/>
      <c r="AK481" s="61"/>
      <c r="AL481" s="291">
        <v>22</v>
      </c>
      <c r="AM481" s="201">
        <v>20</v>
      </c>
      <c r="AN481" s="201">
        <v>15</v>
      </c>
      <c r="AO481" s="61"/>
      <c r="AP481" s="61"/>
      <c r="AQ481" s="61"/>
      <c r="AR481" s="61"/>
      <c r="AS481" s="101" t="s">
        <v>181</v>
      </c>
      <c r="AT481" s="206" t="str">
        <f t="shared" si="7"/>
        <v>44763-480</v>
      </c>
    </row>
    <row r="482" spans="1:46" x14ac:dyDescent="0.35">
      <c r="A482" s="204">
        <v>481</v>
      </c>
      <c r="B482" s="14" t="s">
        <v>83</v>
      </c>
      <c r="C482" s="1" t="s">
        <v>160</v>
      </c>
      <c r="D482" s="1" t="s">
        <v>161</v>
      </c>
      <c r="E482" s="12">
        <v>44763</v>
      </c>
      <c r="F482" s="201">
        <v>1.8</v>
      </c>
      <c r="G482" s="201">
        <v>1.4</v>
      </c>
      <c r="H482" s="201">
        <v>0</v>
      </c>
      <c r="I482" s="201">
        <v>0</v>
      </c>
      <c r="J482" s="201">
        <v>0</v>
      </c>
      <c r="K482" s="201">
        <v>0</v>
      </c>
      <c r="L482" s="201"/>
      <c r="M482" s="201">
        <v>6.7</v>
      </c>
      <c r="N482" s="201">
        <v>0</v>
      </c>
      <c r="O482" s="201">
        <v>1.7</v>
      </c>
      <c r="P482" s="201">
        <v>1209.3</v>
      </c>
      <c r="Q482" s="201">
        <v>1282</v>
      </c>
      <c r="R482" s="201"/>
      <c r="S482" s="201"/>
      <c r="T482" s="201">
        <v>2555.5</v>
      </c>
      <c r="U482" s="201">
        <v>501.7</v>
      </c>
      <c r="V482" s="201"/>
      <c r="W482" s="201"/>
      <c r="X482" s="201"/>
      <c r="Y482" s="201"/>
      <c r="Z482" s="201"/>
      <c r="AA482" s="61"/>
      <c r="AB482" s="201"/>
      <c r="AC482" s="61"/>
      <c r="AD482" s="201">
        <v>14.8</v>
      </c>
      <c r="AE482" s="61"/>
      <c r="AF482" s="61">
        <v>0</v>
      </c>
      <c r="AG482" s="61"/>
      <c r="AH482" s="61"/>
      <c r="AI482" s="61"/>
      <c r="AJ482" s="61"/>
      <c r="AK482" s="61"/>
      <c r="AL482" s="291">
        <v>22</v>
      </c>
      <c r="AM482" s="201">
        <v>20</v>
      </c>
      <c r="AN482" s="201">
        <v>14</v>
      </c>
      <c r="AO482" s="61"/>
      <c r="AP482" s="61"/>
      <c r="AQ482" s="61"/>
      <c r="AR482" s="61"/>
      <c r="AS482" s="101" t="s">
        <v>182</v>
      </c>
      <c r="AT482" s="206" t="str">
        <f t="shared" si="7"/>
        <v>44763-481</v>
      </c>
    </row>
    <row r="483" spans="1:46" x14ac:dyDescent="0.35">
      <c r="A483" s="204">
        <v>482</v>
      </c>
      <c r="B483" s="14" t="s">
        <v>83</v>
      </c>
      <c r="C483" s="1" t="s">
        <v>245</v>
      </c>
      <c r="D483" s="1" t="s">
        <v>161</v>
      </c>
      <c r="E483" s="12">
        <v>44763</v>
      </c>
      <c r="F483" s="201">
        <v>0.2</v>
      </c>
      <c r="G483" s="201">
        <v>0</v>
      </c>
      <c r="H483" s="201">
        <v>0.1</v>
      </c>
      <c r="I483" s="201">
        <v>0</v>
      </c>
      <c r="J483" s="201">
        <v>0</v>
      </c>
      <c r="K483" s="201">
        <v>0</v>
      </c>
      <c r="L483" s="201"/>
      <c r="M483" s="201">
        <v>25.9</v>
      </c>
      <c r="N483" s="201">
        <v>0</v>
      </c>
      <c r="O483" s="201">
        <v>0.5</v>
      </c>
      <c r="P483" s="201">
        <v>8</v>
      </c>
      <c r="Q483" s="201">
        <v>500.8</v>
      </c>
      <c r="R483" s="201"/>
      <c r="S483" s="201"/>
      <c r="T483" s="201">
        <v>11.4</v>
      </c>
      <c r="U483" s="201">
        <v>2.2999999999999998</v>
      </c>
      <c r="V483" s="201"/>
      <c r="W483" s="201"/>
      <c r="X483" s="201"/>
      <c r="Y483" s="201"/>
      <c r="Z483" s="201"/>
      <c r="AA483" s="61"/>
      <c r="AB483" s="201"/>
      <c r="AC483" s="61"/>
      <c r="AD483" s="201">
        <v>78.099999999999994</v>
      </c>
      <c r="AE483" s="61"/>
      <c r="AF483" s="61">
        <v>0</v>
      </c>
      <c r="AG483" s="61"/>
      <c r="AH483" s="61"/>
      <c r="AI483" s="61"/>
      <c r="AJ483" s="61"/>
      <c r="AK483" s="61"/>
      <c r="AL483" s="291">
        <v>20</v>
      </c>
      <c r="AM483" s="201">
        <v>18</v>
      </c>
      <c r="AN483" s="201">
        <v>13</v>
      </c>
      <c r="AO483" s="61"/>
      <c r="AP483" s="61"/>
      <c r="AQ483" s="61"/>
      <c r="AR483" s="61"/>
      <c r="AS483" s="101" t="s">
        <v>183</v>
      </c>
      <c r="AT483" s="206" t="str">
        <f t="shared" si="7"/>
        <v>44763-482</v>
      </c>
    </row>
    <row r="484" spans="1:46" x14ac:dyDescent="0.35">
      <c r="A484" s="204">
        <v>483</v>
      </c>
      <c r="B484" s="14" t="s">
        <v>83</v>
      </c>
      <c r="C484" s="1" t="s">
        <v>160</v>
      </c>
      <c r="D484" s="1" t="s">
        <v>161</v>
      </c>
      <c r="E484" s="12">
        <v>44764</v>
      </c>
      <c r="F484" s="201">
        <v>1.7</v>
      </c>
      <c r="G484" s="201">
        <v>1.5</v>
      </c>
      <c r="H484" s="201">
        <v>0</v>
      </c>
      <c r="I484" s="201">
        <v>0</v>
      </c>
      <c r="J484" s="201">
        <v>0</v>
      </c>
      <c r="K484" s="201">
        <v>0</v>
      </c>
      <c r="L484" s="201"/>
      <c r="M484" s="201">
        <v>5.9</v>
      </c>
      <c r="N484" s="201">
        <v>0</v>
      </c>
      <c r="O484" s="201">
        <v>2.2000000000000002</v>
      </c>
      <c r="P484" s="201">
        <v>1198.5999999999999</v>
      </c>
      <c r="Q484" s="201">
        <v>1271.5</v>
      </c>
      <c r="R484" s="201"/>
      <c r="S484" s="201"/>
      <c r="T484" s="201">
        <v>2560.3000000000002</v>
      </c>
      <c r="U484" s="201">
        <v>503.6</v>
      </c>
      <c r="V484" s="201"/>
      <c r="W484" s="201"/>
      <c r="X484" s="201"/>
      <c r="Y484" s="201"/>
      <c r="Z484" s="201"/>
      <c r="AA484" s="61"/>
      <c r="AB484" s="201"/>
      <c r="AC484" s="61"/>
      <c r="AD484" s="201">
        <v>14.6</v>
      </c>
      <c r="AE484" s="61"/>
      <c r="AF484" s="61">
        <v>0</v>
      </c>
      <c r="AG484" s="61"/>
      <c r="AH484" s="61"/>
      <c r="AI484" s="61"/>
      <c r="AJ484" s="61"/>
      <c r="AK484" s="61"/>
      <c r="AL484" s="291">
        <v>22</v>
      </c>
      <c r="AM484" s="201">
        <v>20</v>
      </c>
      <c r="AN484" s="201">
        <v>14</v>
      </c>
      <c r="AO484" s="61"/>
      <c r="AP484" s="61"/>
      <c r="AQ484" s="61"/>
      <c r="AR484" s="61"/>
      <c r="AS484" s="101" t="s">
        <v>191</v>
      </c>
      <c r="AT484" s="206" t="str">
        <f t="shared" si="7"/>
        <v>44764-483</v>
      </c>
    </row>
    <row r="485" spans="1:46" x14ac:dyDescent="0.35">
      <c r="A485" s="204">
        <v>484</v>
      </c>
      <c r="B485" s="14" t="s">
        <v>83</v>
      </c>
      <c r="C485" s="1" t="s">
        <v>160</v>
      </c>
      <c r="D485" s="1" t="s">
        <v>161</v>
      </c>
      <c r="E485" s="12">
        <v>44764</v>
      </c>
      <c r="F485" s="201">
        <v>1.8</v>
      </c>
      <c r="G485" s="201">
        <v>1.6</v>
      </c>
      <c r="H485" s="201">
        <v>0</v>
      </c>
      <c r="I485" s="201">
        <v>0</v>
      </c>
      <c r="J485" s="201">
        <v>0</v>
      </c>
      <c r="K485" s="201">
        <v>0</v>
      </c>
      <c r="L485" s="201"/>
      <c r="M485" s="201">
        <v>6.4</v>
      </c>
      <c r="N485" s="201">
        <v>0</v>
      </c>
      <c r="O485" s="201">
        <v>2.1</v>
      </c>
      <c r="P485" s="201">
        <v>1231.7</v>
      </c>
      <c r="Q485" s="201">
        <v>1310.9</v>
      </c>
      <c r="R485" s="201"/>
      <c r="S485" s="201"/>
      <c r="T485" s="201">
        <v>2614.1999999999998</v>
      </c>
      <c r="U485" s="201">
        <v>513.79999999999995</v>
      </c>
      <c r="V485" s="201"/>
      <c r="W485" s="201"/>
      <c r="X485" s="201"/>
      <c r="Y485" s="201"/>
      <c r="Z485" s="201"/>
      <c r="AA485" s="61"/>
      <c r="AB485" s="201"/>
      <c r="AC485" s="61"/>
      <c r="AD485" s="201">
        <v>14.5</v>
      </c>
      <c r="AE485" s="61"/>
      <c r="AF485" s="61">
        <v>0</v>
      </c>
      <c r="AG485" s="61"/>
      <c r="AH485" s="61"/>
      <c r="AI485" s="61"/>
      <c r="AJ485" s="61"/>
      <c r="AK485" s="61"/>
      <c r="AL485" s="291">
        <v>22</v>
      </c>
      <c r="AM485" s="201">
        <v>20</v>
      </c>
      <c r="AN485" s="201">
        <v>13</v>
      </c>
      <c r="AO485" s="61"/>
      <c r="AP485" s="61"/>
      <c r="AQ485" s="61"/>
      <c r="AR485" s="61"/>
      <c r="AS485" s="101" t="s">
        <v>171</v>
      </c>
      <c r="AT485" s="206" t="str">
        <f t="shared" si="7"/>
        <v>44764-484</v>
      </c>
    </row>
    <row r="486" spans="1:46" x14ac:dyDescent="0.35">
      <c r="A486" s="204">
        <v>485</v>
      </c>
      <c r="B486" s="14" t="s">
        <v>83</v>
      </c>
      <c r="C486" s="1" t="s">
        <v>245</v>
      </c>
      <c r="D486" s="1" t="s">
        <v>161</v>
      </c>
      <c r="E486" s="12">
        <v>44764</v>
      </c>
      <c r="F486" s="201">
        <v>1.7</v>
      </c>
      <c r="G486" s="201">
        <v>0.2</v>
      </c>
      <c r="H486" s="201">
        <v>0</v>
      </c>
      <c r="I486" s="201">
        <v>0.1</v>
      </c>
      <c r="J486" s="201">
        <v>0</v>
      </c>
      <c r="K486" s="201">
        <v>0</v>
      </c>
      <c r="L486" s="201"/>
      <c r="M486" s="201">
        <v>24.8</v>
      </c>
      <c r="N486" s="201">
        <v>0</v>
      </c>
      <c r="O486" s="201">
        <v>0.7</v>
      </c>
      <c r="P486" s="201">
        <v>10.8</v>
      </c>
      <c r="Q486" s="201">
        <v>401.7</v>
      </c>
      <c r="R486" s="201"/>
      <c r="S486" s="201"/>
      <c r="T486" s="201">
        <v>16</v>
      </c>
      <c r="U486" s="201">
        <v>1.8</v>
      </c>
      <c r="V486" s="201"/>
      <c r="W486" s="201"/>
      <c r="X486" s="201"/>
      <c r="Y486" s="201"/>
      <c r="Z486" s="201"/>
      <c r="AA486" s="61"/>
      <c r="AB486" s="201"/>
      <c r="AC486" s="61"/>
      <c r="AD486" s="201">
        <v>78.5</v>
      </c>
      <c r="AE486" s="61"/>
      <c r="AF486" s="61">
        <v>0</v>
      </c>
      <c r="AG486" s="61"/>
      <c r="AH486" s="61"/>
      <c r="AI486" s="61"/>
      <c r="AJ486" s="61"/>
      <c r="AK486" s="61"/>
      <c r="AL486" s="291">
        <v>19</v>
      </c>
      <c r="AM486" s="201">
        <v>17</v>
      </c>
      <c r="AN486" s="201">
        <v>11</v>
      </c>
      <c r="AO486" s="61"/>
      <c r="AP486" s="61"/>
      <c r="AQ486" s="61"/>
      <c r="AR486" s="61"/>
      <c r="AS486" s="101" t="s">
        <v>259</v>
      </c>
      <c r="AT486" s="206" t="str">
        <f t="shared" si="7"/>
        <v>44764-485</v>
      </c>
    </row>
    <row r="487" spans="1:46" x14ac:dyDescent="0.35">
      <c r="A487" s="204">
        <v>486</v>
      </c>
      <c r="B487" s="14" t="s">
        <v>83</v>
      </c>
      <c r="C487" s="1" t="s">
        <v>152</v>
      </c>
      <c r="D487" s="1" t="s">
        <v>161</v>
      </c>
      <c r="E487" s="12">
        <v>44767</v>
      </c>
      <c r="F487" s="201">
        <v>1.3</v>
      </c>
      <c r="G487" s="201">
        <v>1.2</v>
      </c>
      <c r="H487" s="201">
        <v>0</v>
      </c>
      <c r="I487" s="201">
        <v>0</v>
      </c>
      <c r="J487" s="201">
        <v>0</v>
      </c>
      <c r="K487" s="201">
        <v>0</v>
      </c>
      <c r="L487" s="201"/>
      <c r="M487" s="201">
        <v>16</v>
      </c>
      <c r="N487" s="201">
        <v>2</v>
      </c>
      <c r="O487" s="201">
        <v>0.1</v>
      </c>
      <c r="P487" s="201">
        <v>990.3</v>
      </c>
      <c r="Q487" s="201">
        <v>978.4</v>
      </c>
      <c r="R487" s="201"/>
      <c r="S487" s="201"/>
      <c r="T487" s="201">
        <v>3505.5</v>
      </c>
      <c r="U487" s="201">
        <v>10.6</v>
      </c>
      <c r="V487" s="201"/>
      <c r="W487" s="201"/>
      <c r="X487" s="201"/>
      <c r="Y487" s="201"/>
      <c r="Z487" s="201"/>
      <c r="AA487" s="61"/>
      <c r="AB487" s="201"/>
      <c r="AC487" s="61"/>
      <c r="AD487" s="201">
        <v>6.1</v>
      </c>
      <c r="AE487" s="61"/>
      <c r="AF487" s="61">
        <v>0</v>
      </c>
      <c r="AG487" s="61"/>
      <c r="AH487" s="61"/>
      <c r="AI487" s="61"/>
      <c r="AJ487" s="61"/>
      <c r="AK487" s="61"/>
      <c r="AL487" s="291">
        <v>24</v>
      </c>
      <c r="AM487" s="201">
        <v>23</v>
      </c>
      <c r="AN487" s="201">
        <v>15</v>
      </c>
      <c r="AO487" s="61"/>
      <c r="AP487" s="61"/>
      <c r="AQ487" s="61"/>
      <c r="AR487" s="61"/>
      <c r="AS487" s="101" t="s">
        <v>162</v>
      </c>
      <c r="AT487" s="206" t="str">
        <f t="shared" si="7"/>
        <v>44767-486</v>
      </c>
    </row>
    <row r="488" spans="1:46" x14ac:dyDescent="0.35">
      <c r="A488" s="204">
        <v>487</v>
      </c>
      <c r="B488" s="14" t="s">
        <v>83</v>
      </c>
      <c r="C488" s="1" t="s">
        <v>198</v>
      </c>
      <c r="D488" s="1" t="s">
        <v>161</v>
      </c>
      <c r="E488" s="12">
        <v>44767</v>
      </c>
      <c r="F488" s="201">
        <v>1.2</v>
      </c>
      <c r="G488" s="201">
        <v>1.1000000000000001</v>
      </c>
      <c r="H488" s="201">
        <v>0</v>
      </c>
      <c r="I488" s="201">
        <v>0</v>
      </c>
      <c r="J488" s="201">
        <v>0</v>
      </c>
      <c r="K488" s="201">
        <v>0</v>
      </c>
      <c r="L488" s="201"/>
      <c r="M488" s="201">
        <v>17</v>
      </c>
      <c r="N488" s="201">
        <v>2</v>
      </c>
      <c r="O488" s="201">
        <v>0.5</v>
      </c>
      <c r="P488" s="201">
        <v>1042.0999999999999</v>
      </c>
      <c r="Q488" s="201">
        <v>1010.9</v>
      </c>
      <c r="R488" s="201"/>
      <c r="S488" s="201"/>
      <c r="T488" s="201">
        <v>3663.3</v>
      </c>
      <c r="U488" s="201">
        <v>11</v>
      </c>
      <c r="V488" s="201"/>
      <c r="W488" s="201"/>
      <c r="X488" s="201"/>
      <c r="Y488" s="201"/>
      <c r="Z488" s="201"/>
      <c r="AA488" s="61"/>
      <c r="AB488" s="201"/>
      <c r="AC488" s="61"/>
      <c r="AD488" s="201">
        <v>11.3</v>
      </c>
      <c r="AE488" s="61"/>
      <c r="AF488" s="61">
        <v>0</v>
      </c>
      <c r="AG488" s="61"/>
      <c r="AH488" s="61"/>
      <c r="AI488" s="61"/>
      <c r="AJ488" s="61"/>
      <c r="AK488" s="61"/>
      <c r="AL488" s="291">
        <v>25</v>
      </c>
      <c r="AM488" s="201">
        <v>24</v>
      </c>
      <c r="AN488" s="201">
        <v>18</v>
      </c>
      <c r="AO488" s="61"/>
      <c r="AP488" s="61"/>
      <c r="AQ488" s="61"/>
      <c r="AR488" s="61"/>
      <c r="AS488" s="101" t="s">
        <v>163</v>
      </c>
      <c r="AT488" s="206" t="str">
        <f t="shared" si="7"/>
        <v>44767-487</v>
      </c>
    </row>
    <row r="489" spans="1:46" x14ac:dyDescent="0.35">
      <c r="A489" s="204">
        <v>488</v>
      </c>
      <c r="B489" s="14" t="s">
        <v>83</v>
      </c>
      <c r="C489" s="1" t="s">
        <v>152</v>
      </c>
      <c r="D489" s="1" t="s">
        <v>161</v>
      </c>
      <c r="E489" s="12">
        <v>44767</v>
      </c>
      <c r="F489" s="201">
        <v>1.2</v>
      </c>
      <c r="G489" s="201">
        <v>1</v>
      </c>
      <c r="H489" s="201">
        <v>0</v>
      </c>
      <c r="I489" s="201">
        <v>0</v>
      </c>
      <c r="J489" s="201">
        <v>0</v>
      </c>
      <c r="K489" s="201">
        <v>0</v>
      </c>
      <c r="L489" s="201"/>
      <c r="M489" s="201">
        <v>15.4</v>
      </c>
      <c r="N489" s="201">
        <v>1.9</v>
      </c>
      <c r="O489" s="201">
        <v>0.3</v>
      </c>
      <c r="P489" s="201">
        <v>1007</v>
      </c>
      <c r="Q489" s="201">
        <v>985.4</v>
      </c>
      <c r="R489" s="201"/>
      <c r="S489" s="201"/>
      <c r="T489" s="201">
        <v>3542.5</v>
      </c>
      <c r="U489" s="201">
        <v>10.7</v>
      </c>
      <c r="V489" s="201"/>
      <c r="W489" s="201"/>
      <c r="X489" s="201"/>
      <c r="Y489" s="201"/>
      <c r="Z489" s="201"/>
      <c r="AA489" s="61"/>
      <c r="AB489" s="201"/>
      <c r="AC489" s="61"/>
      <c r="AD489" s="201">
        <v>6.1</v>
      </c>
      <c r="AE489" s="61"/>
      <c r="AF489" s="61">
        <v>0</v>
      </c>
      <c r="AG489" s="61"/>
      <c r="AH489" s="61"/>
      <c r="AI489" s="61"/>
      <c r="AJ489" s="61"/>
      <c r="AK489" s="61"/>
      <c r="AL489" s="291">
        <v>24</v>
      </c>
      <c r="AM489" s="201">
        <v>23</v>
      </c>
      <c r="AN489" s="201">
        <v>15</v>
      </c>
      <c r="AO489" s="61"/>
      <c r="AP489" s="61"/>
      <c r="AQ489" s="61"/>
      <c r="AR489" s="61"/>
      <c r="AS489" s="101" t="s">
        <v>164</v>
      </c>
      <c r="AT489" s="206" t="str">
        <f t="shared" si="7"/>
        <v>44767-488</v>
      </c>
    </row>
    <row r="490" spans="1:46" x14ac:dyDescent="0.35">
      <c r="A490" s="204">
        <v>489</v>
      </c>
      <c r="B490" s="14" t="s">
        <v>83</v>
      </c>
      <c r="C490" s="1" t="s">
        <v>152</v>
      </c>
      <c r="D490" s="1" t="s">
        <v>161</v>
      </c>
      <c r="E490" s="12">
        <v>44769</v>
      </c>
      <c r="F490" s="201">
        <v>1.2</v>
      </c>
      <c r="G490" s="201">
        <v>1.3</v>
      </c>
      <c r="H490" s="201">
        <v>0</v>
      </c>
      <c r="I490" s="201">
        <v>0</v>
      </c>
      <c r="J490" s="201">
        <v>0</v>
      </c>
      <c r="K490" s="201">
        <v>0</v>
      </c>
      <c r="L490" s="201"/>
      <c r="M490" s="201">
        <v>15.3</v>
      </c>
      <c r="N490" s="201">
        <v>1.3</v>
      </c>
      <c r="O490" s="201">
        <v>0.8</v>
      </c>
      <c r="P490" s="201">
        <v>992.3</v>
      </c>
      <c r="Q490" s="201">
        <v>979.2</v>
      </c>
      <c r="R490" s="201"/>
      <c r="S490" s="201"/>
      <c r="T490" s="201">
        <v>3495.4</v>
      </c>
      <c r="U490" s="201">
        <v>10.5</v>
      </c>
      <c r="V490" s="201"/>
      <c r="W490" s="201"/>
      <c r="X490" s="201"/>
      <c r="Y490" s="201"/>
      <c r="Z490" s="201"/>
      <c r="AA490" s="61"/>
      <c r="AB490" s="201"/>
      <c r="AC490" s="61"/>
      <c r="AD490" s="201">
        <v>6.1</v>
      </c>
      <c r="AE490" s="61"/>
      <c r="AF490" s="61">
        <v>0</v>
      </c>
      <c r="AG490" s="61"/>
      <c r="AH490" s="61"/>
      <c r="AI490" s="61"/>
      <c r="AJ490" s="61"/>
      <c r="AK490" s="61"/>
      <c r="AL490" s="291">
        <v>24</v>
      </c>
      <c r="AM490" s="201">
        <v>22</v>
      </c>
      <c r="AN490" s="201">
        <v>16</v>
      </c>
      <c r="AO490" s="61"/>
      <c r="AP490" s="61"/>
      <c r="AQ490" s="61"/>
      <c r="AR490" s="61"/>
      <c r="AS490" s="101" t="s">
        <v>172</v>
      </c>
      <c r="AT490" s="206" t="str">
        <f t="shared" si="7"/>
        <v>44769-489</v>
      </c>
    </row>
    <row r="491" spans="1:46" x14ac:dyDescent="0.35">
      <c r="A491" s="204">
        <v>490</v>
      </c>
      <c r="B491" s="14" t="s">
        <v>83</v>
      </c>
      <c r="C491" s="1" t="s">
        <v>198</v>
      </c>
      <c r="D491" s="1" t="s">
        <v>161</v>
      </c>
      <c r="E491" s="12">
        <v>44769</v>
      </c>
      <c r="F491" s="201">
        <v>1.2</v>
      </c>
      <c r="G491" s="201">
        <v>1.3</v>
      </c>
      <c r="H491" s="201">
        <v>0</v>
      </c>
      <c r="I491" s="201">
        <v>0</v>
      </c>
      <c r="J491" s="201">
        <v>0</v>
      </c>
      <c r="K491" s="201">
        <v>0</v>
      </c>
      <c r="L491" s="201"/>
      <c r="M491" s="201">
        <v>15.2</v>
      </c>
      <c r="N491" s="201">
        <v>1</v>
      </c>
      <c r="O491" s="201">
        <v>0.7</v>
      </c>
      <c r="P491" s="201">
        <v>1000</v>
      </c>
      <c r="Q491" s="201">
        <v>981.7</v>
      </c>
      <c r="R491" s="201"/>
      <c r="S491" s="201"/>
      <c r="T491" s="201">
        <v>3495.3</v>
      </c>
      <c r="U491" s="201">
        <v>11.5</v>
      </c>
      <c r="V491" s="201"/>
      <c r="W491" s="201"/>
      <c r="X491" s="201"/>
      <c r="Y491" s="201"/>
      <c r="Z491" s="201"/>
      <c r="AA491" s="61"/>
      <c r="AB491" s="201"/>
      <c r="AC491" s="61"/>
      <c r="AD491" s="201">
        <v>11.4</v>
      </c>
      <c r="AE491" s="61"/>
      <c r="AF491" s="61">
        <v>0</v>
      </c>
      <c r="AG491" s="61"/>
      <c r="AH491" s="61"/>
      <c r="AI491" s="61"/>
      <c r="AJ491" s="61"/>
      <c r="AK491" s="61"/>
      <c r="AL491" s="291">
        <v>24</v>
      </c>
      <c r="AM491" s="201">
        <v>23</v>
      </c>
      <c r="AN491" s="201">
        <v>13</v>
      </c>
      <c r="AO491" s="61"/>
      <c r="AP491" s="61"/>
      <c r="AQ491" s="61"/>
      <c r="AR491" s="61"/>
      <c r="AS491" s="101" t="s">
        <v>236</v>
      </c>
      <c r="AT491" s="206" t="str">
        <f t="shared" si="7"/>
        <v>44769-490</v>
      </c>
    </row>
    <row r="492" spans="1:46" x14ac:dyDescent="0.35">
      <c r="A492" s="204">
        <v>491</v>
      </c>
      <c r="B492" s="14" t="s">
        <v>83</v>
      </c>
      <c r="C492" s="1" t="s">
        <v>152</v>
      </c>
      <c r="D492" s="1" t="s">
        <v>161</v>
      </c>
      <c r="E492" s="12">
        <v>44769</v>
      </c>
      <c r="F492" s="201">
        <v>1.2</v>
      </c>
      <c r="G492" s="201">
        <v>1.3</v>
      </c>
      <c r="H492" s="201">
        <v>0</v>
      </c>
      <c r="I492" s="201">
        <v>0</v>
      </c>
      <c r="J492" s="201">
        <v>0</v>
      </c>
      <c r="K492" s="201">
        <v>0</v>
      </c>
      <c r="L492" s="201"/>
      <c r="M492" s="201">
        <v>15.3</v>
      </c>
      <c r="N492" s="201">
        <v>1.1000000000000001</v>
      </c>
      <c r="O492" s="201">
        <v>0.3</v>
      </c>
      <c r="P492" s="201">
        <v>1019.7</v>
      </c>
      <c r="Q492" s="201">
        <v>998.8</v>
      </c>
      <c r="R492" s="201"/>
      <c r="S492" s="201"/>
      <c r="T492" s="201">
        <v>3580.1</v>
      </c>
      <c r="U492" s="201">
        <v>10.7</v>
      </c>
      <c r="V492" s="201"/>
      <c r="W492" s="201"/>
      <c r="X492" s="201"/>
      <c r="Y492" s="201"/>
      <c r="Z492" s="201"/>
      <c r="AA492" s="61"/>
      <c r="AB492" s="201"/>
      <c r="AC492" s="61"/>
      <c r="AD492" s="201">
        <v>6.1</v>
      </c>
      <c r="AE492" s="61"/>
      <c r="AF492" s="61">
        <v>0</v>
      </c>
      <c r="AG492" s="61"/>
      <c r="AH492" s="61"/>
      <c r="AI492" s="61"/>
      <c r="AJ492" s="61"/>
      <c r="AK492" s="61"/>
      <c r="AL492" s="291">
        <v>24</v>
      </c>
      <c r="AM492" s="201">
        <v>22</v>
      </c>
      <c r="AN492" s="201">
        <v>16</v>
      </c>
      <c r="AO492" s="61"/>
      <c r="AP492" s="61"/>
      <c r="AQ492" s="61"/>
      <c r="AR492" s="61"/>
      <c r="AS492" s="101" t="s">
        <v>192</v>
      </c>
      <c r="AT492" s="206" t="str">
        <f t="shared" si="7"/>
        <v>44769-491</v>
      </c>
    </row>
    <row r="493" spans="1:46" x14ac:dyDescent="0.35">
      <c r="A493" s="204">
        <v>492</v>
      </c>
      <c r="B493" s="14" t="s">
        <v>83</v>
      </c>
      <c r="C493" s="1" t="s">
        <v>160</v>
      </c>
      <c r="D493" s="1" t="s">
        <v>161</v>
      </c>
      <c r="E493" s="12">
        <v>44770</v>
      </c>
      <c r="F493" s="201">
        <v>1.7</v>
      </c>
      <c r="G493" s="201">
        <v>1.6</v>
      </c>
      <c r="H493" s="201">
        <v>0</v>
      </c>
      <c r="I493" s="201">
        <v>0</v>
      </c>
      <c r="J493" s="201">
        <v>0</v>
      </c>
      <c r="K493" s="201">
        <v>0</v>
      </c>
      <c r="L493" s="201"/>
      <c r="M493" s="201">
        <v>6.5</v>
      </c>
      <c r="N493" s="201">
        <v>0</v>
      </c>
      <c r="O493" s="201">
        <v>1.3</v>
      </c>
      <c r="P493" s="201">
        <v>1217.4000000000001</v>
      </c>
      <c r="Q493" s="201">
        <v>1284.9000000000001</v>
      </c>
      <c r="R493" s="201"/>
      <c r="S493" s="201"/>
      <c r="T493" s="201">
        <v>2549.6</v>
      </c>
      <c r="U493" s="201">
        <v>495.6</v>
      </c>
      <c r="V493" s="201"/>
      <c r="W493" s="201"/>
      <c r="X493" s="201"/>
      <c r="Y493" s="201"/>
      <c r="Z493" s="201"/>
      <c r="AA493" s="61"/>
      <c r="AB493" s="201"/>
      <c r="AC493" s="61"/>
      <c r="AD493" s="201">
        <v>15.4</v>
      </c>
      <c r="AE493" s="61"/>
      <c r="AF493" s="61">
        <v>0</v>
      </c>
      <c r="AG493" s="61"/>
      <c r="AH493" s="61"/>
      <c r="AI493" s="61"/>
      <c r="AJ493" s="61"/>
      <c r="AK493" s="61"/>
      <c r="AL493" s="291">
        <v>22</v>
      </c>
      <c r="AM493" s="201">
        <v>20</v>
      </c>
      <c r="AN493" s="201">
        <v>13</v>
      </c>
      <c r="AO493" s="61"/>
      <c r="AP493" s="61"/>
      <c r="AQ493" s="61"/>
      <c r="AR493" s="61"/>
      <c r="AS493" s="101" t="s">
        <v>181</v>
      </c>
      <c r="AT493" s="206" t="str">
        <f t="shared" si="7"/>
        <v>44770-492</v>
      </c>
    </row>
    <row r="494" spans="1:46" x14ac:dyDescent="0.35">
      <c r="A494" s="204">
        <v>493</v>
      </c>
      <c r="B494" s="14" t="s">
        <v>83</v>
      </c>
      <c r="C494" s="1" t="s">
        <v>152</v>
      </c>
      <c r="D494" s="1" t="s">
        <v>161</v>
      </c>
      <c r="E494" s="12">
        <v>44770</v>
      </c>
      <c r="F494" s="201">
        <v>1.2</v>
      </c>
      <c r="G494" s="201">
        <v>1</v>
      </c>
      <c r="H494" s="201">
        <v>0</v>
      </c>
      <c r="I494" s="201">
        <v>0</v>
      </c>
      <c r="J494" s="201">
        <v>0</v>
      </c>
      <c r="K494" s="201">
        <v>0</v>
      </c>
      <c r="L494" s="201"/>
      <c r="M494" s="201">
        <v>15.4</v>
      </c>
      <c r="N494" s="201">
        <v>0.7</v>
      </c>
      <c r="O494" s="201">
        <v>0</v>
      </c>
      <c r="P494" s="201">
        <v>1063.5999999999999</v>
      </c>
      <c r="Q494" s="201">
        <v>1038.9000000000001</v>
      </c>
      <c r="R494" s="201"/>
      <c r="S494" s="201"/>
      <c r="T494" s="201">
        <v>3747.5</v>
      </c>
      <c r="U494" s="201">
        <v>12.6</v>
      </c>
      <c r="V494" s="201"/>
      <c r="W494" s="201"/>
      <c r="X494" s="201"/>
      <c r="Y494" s="201"/>
      <c r="Z494" s="201"/>
      <c r="AA494" s="61"/>
      <c r="AB494" s="201"/>
      <c r="AC494" s="61"/>
      <c r="AD494" s="201">
        <v>6.1</v>
      </c>
      <c r="AE494" s="61"/>
      <c r="AF494" s="61">
        <v>0</v>
      </c>
      <c r="AG494" s="61"/>
      <c r="AH494" s="61"/>
      <c r="AI494" s="61"/>
      <c r="AJ494" s="61"/>
      <c r="AK494" s="61"/>
      <c r="AL494" s="291">
        <v>24</v>
      </c>
      <c r="AM494" s="201">
        <v>23</v>
      </c>
      <c r="AN494" s="201">
        <v>16</v>
      </c>
      <c r="AO494" s="61"/>
      <c r="AP494" s="61"/>
      <c r="AQ494" s="61"/>
      <c r="AR494" s="61"/>
      <c r="AS494" s="101" t="s">
        <v>182</v>
      </c>
      <c r="AT494" s="206" t="str">
        <f t="shared" si="7"/>
        <v>44770-493</v>
      </c>
    </row>
    <row r="495" spans="1:46" x14ac:dyDescent="0.35">
      <c r="A495" s="204">
        <v>494</v>
      </c>
      <c r="B495" s="14" t="s">
        <v>83</v>
      </c>
      <c r="C495" s="1" t="s">
        <v>160</v>
      </c>
      <c r="D495" s="1" t="s">
        <v>161</v>
      </c>
      <c r="E495" s="12">
        <v>44770</v>
      </c>
      <c r="F495" s="201">
        <v>1.9</v>
      </c>
      <c r="G495" s="201">
        <v>1.6</v>
      </c>
      <c r="H495" s="201">
        <v>0</v>
      </c>
      <c r="I495" s="201">
        <v>0</v>
      </c>
      <c r="J495" s="201">
        <v>0</v>
      </c>
      <c r="K495" s="201">
        <v>0</v>
      </c>
      <c r="L495" s="201"/>
      <c r="M495" s="201">
        <v>6.6</v>
      </c>
      <c r="N495" s="201">
        <v>0</v>
      </c>
      <c r="O495" s="201">
        <v>0.9</v>
      </c>
      <c r="P495" s="201">
        <v>1228.2</v>
      </c>
      <c r="Q495" s="201">
        <v>1310.8</v>
      </c>
      <c r="R495" s="201"/>
      <c r="S495" s="201"/>
      <c r="T495" s="201">
        <v>2566.6</v>
      </c>
      <c r="U495" s="201">
        <v>496.2</v>
      </c>
      <c r="V495" s="201"/>
      <c r="W495" s="201"/>
      <c r="X495" s="201"/>
      <c r="Y495" s="201"/>
      <c r="Z495" s="201"/>
      <c r="AA495" s="61"/>
      <c r="AB495" s="201"/>
      <c r="AC495" s="61"/>
      <c r="AD495" s="201">
        <v>15.4</v>
      </c>
      <c r="AE495" s="61"/>
      <c r="AF495" s="61">
        <v>0</v>
      </c>
      <c r="AG495" s="61"/>
      <c r="AH495" s="61"/>
      <c r="AI495" s="61"/>
      <c r="AJ495" s="61"/>
      <c r="AK495" s="61"/>
      <c r="AL495" s="291">
        <v>22</v>
      </c>
      <c r="AM495" s="201">
        <v>20</v>
      </c>
      <c r="AN495" s="201">
        <v>14</v>
      </c>
      <c r="AO495" s="61"/>
      <c r="AP495" s="61"/>
      <c r="AQ495" s="61"/>
      <c r="AR495" s="61"/>
      <c r="AS495" s="101" t="s">
        <v>183</v>
      </c>
      <c r="AT495" s="206" t="str">
        <f t="shared" si="7"/>
        <v>44770-494</v>
      </c>
    </row>
    <row r="496" spans="1:46" x14ac:dyDescent="0.35">
      <c r="A496" s="204">
        <v>495</v>
      </c>
      <c r="B496" s="14" t="s">
        <v>83</v>
      </c>
      <c r="C496" s="1" t="s">
        <v>160</v>
      </c>
      <c r="D496" s="1" t="s">
        <v>161</v>
      </c>
      <c r="E496" s="12">
        <v>44771</v>
      </c>
      <c r="F496" s="201">
        <v>1.7</v>
      </c>
      <c r="G496" s="201">
        <v>1.5</v>
      </c>
      <c r="H496" s="201">
        <v>0</v>
      </c>
      <c r="I496" s="201">
        <v>0</v>
      </c>
      <c r="J496" s="201">
        <v>0</v>
      </c>
      <c r="K496" s="201">
        <v>0</v>
      </c>
      <c r="L496" s="201"/>
      <c r="M496" s="201">
        <v>6.5</v>
      </c>
      <c r="N496" s="201">
        <v>0</v>
      </c>
      <c r="O496" s="201">
        <v>1.3</v>
      </c>
      <c r="P496" s="201">
        <v>1211.0999999999999</v>
      </c>
      <c r="Q496" s="201">
        <v>1298.7</v>
      </c>
      <c r="R496" s="201"/>
      <c r="S496" s="201"/>
      <c r="T496" s="201">
        <v>2545.8000000000002</v>
      </c>
      <c r="U496" s="201">
        <v>495.4</v>
      </c>
      <c r="V496" s="201"/>
      <c r="W496" s="201"/>
      <c r="X496" s="201"/>
      <c r="Y496" s="201"/>
      <c r="Z496" s="201"/>
      <c r="AA496" s="61"/>
      <c r="AB496" s="201"/>
      <c r="AC496" s="61"/>
      <c r="AD496" s="201">
        <v>15</v>
      </c>
      <c r="AE496" s="61"/>
      <c r="AF496" s="61">
        <v>0</v>
      </c>
      <c r="AG496" s="61"/>
      <c r="AH496" s="61"/>
      <c r="AI496" s="61"/>
      <c r="AJ496" s="61"/>
      <c r="AK496" s="61"/>
      <c r="AL496" s="291">
        <v>22</v>
      </c>
      <c r="AM496" s="201">
        <v>21</v>
      </c>
      <c r="AN496" s="201">
        <v>14</v>
      </c>
      <c r="AO496" s="61"/>
      <c r="AP496" s="61"/>
      <c r="AQ496" s="61"/>
      <c r="AR496" s="61"/>
      <c r="AS496" s="101" t="s">
        <v>191</v>
      </c>
      <c r="AT496" s="206" t="str">
        <f t="shared" si="7"/>
        <v>44771-495</v>
      </c>
    </row>
    <row r="497" spans="1:46" x14ac:dyDescent="0.35">
      <c r="A497" s="204">
        <v>496</v>
      </c>
      <c r="B497" s="14" t="s">
        <v>83</v>
      </c>
      <c r="C497" s="1" t="s">
        <v>152</v>
      </c>
      <c r="D497" s="1" t="s">
        <v>161</v>
      </c>
      <c r="E497" s="12">
        <v>44771</v>
      </c>
      <c r="F497" s="201">
        <v>1.3</v>
      </c>
      <c r="G497" s="201">
        <v>1.2</v>
      </c>
      <c r="H497" s="201">
        <v>0</v>
      </c>
      <c r="I497" s="201">
        <v>0</v>
      </c>
      <c r="J497" s="201">
        <v>0</v>
      </c>
      <c r="K497" s="201">
        <v>0</v>
      </c>
      <c r="L497" s="201"/>
      <c r="M497" s="201">
        <v>14.3</v>
      </c>
      <c r="N497" s="201">
        <v>1.5</v>
      </c>
      <c r="O497" s="201">
        <v>0.4</v>
      </c>
      <c r="P497" s="201">
        <v>1034.0999999999999</v>
      </c>
      <c r="Q497" s="201">
        <v>999.9</v>
      </c>
      <c r="R497" s="201"/>
      <c r="S497" s="201"/>
      <c r="T497" s="201">
        <v>3645.7</v>
      </c>
      <c r="U497" s="201">
        <v>11.7</v>
      </c>
      <c r="V497" s="201"/>
      <c r="W497" s="201"/>
      <c r="X497" s="201"/>
      <c r="Y497" s="201"/>
      <c r="Z497" s="201"/>
      <c r="AA497" s="61"/>
      <c r="AB497" s="201"/>
      <c r="AC497" s="61"/>
      <c r="AD497" s="201">
        <v>6.1</v>
      </c>
      <c r="AE497" s="61"/>
      <c r="AF497" s="61">
        <v>0</v>
      </c>
      <c r="AG497" s="61"/>
      <c r="AH497" s="61"/>
      <c r="AI497" s="61"/>
      <c r="AJ497" s="61"/>
      <c r="AK497" s="61"/>
      <c r="AL497" s="291">
        <v>24</v>
      </c>
      <c r="AM497" s="201">
        <v>22</v>
      </c>
      <c r="AN497" s="201">
        <v>16</v>
      </c>
      <c r="AO497" s="61"/>
      <c r="AP497" s="61"/>
      <c r="AQ497" s="61"/>
      <c r="AR497" s="61"/>
      <c r="AS497" s="101" t="s">
        <v>192</v>
      </c>
      <c r="AT497" s="206" t="str">
        <f t="shared" si="7"/>
        <v>44771-496</v>
      </c>
    </row>
    <row r="498" spans="1:46" x14ac:dyDescent="0.35">
      <c r="A498" s="204">
        <v>497</v>
      </c>
      <c r="B498" s="14" t="s">
        <v>83</v>
      </c>
      <c r="C498" s="1" t="s">
        <v>160</v>
      </c>
      <c r="D498" s="1" t="s">
        <v>161</v>
      </c>
      <c r="E498" s="12">
        <v>44771</v>
      </c>
      <c r="F498" s="201">
        <v>1.7</v>
      </c>
      <c r="G498" s="201">
        <v>1.4</v>
      </c>
      <c r="H498" s="201">
        <v>0</v>
      </c>
      <c r="I498" s="201">
        <v>0</v>
      </c>
      <c r="J498" s="201">
        <v>0</v>
      </c>
      <c r="K498" s="201">
        <v>0</v>
      </c>
      <c r="L498" s="201"/>
      <c r="M498" s="201">
        <v>6.5</v>
      </c>
      <c r="N498" s="201">
        <v>0</v>
      </c>
      <c r="O498" s="201">
        <v>1.6</v>
      </c>
      <c r="P498" s="201">
        <v>1207.0999999999999</v>
      </c>
      <c r="Q498" s="201">
        <v>1284.5999999999999</v>
      </c>
      <c r="R498" s="201"/>
      <c r="S498" s="201"/>
      <c r="T498" s="201">
        <v>2536.6</v>
      </c>
      <c r="U498" s="201">
        <v>489.2</v>
      </c>
      <c r="V498" s="201"/>
      <c r="W498" s="201"/>
      <c r="X498" s="201"/>
      <c r="Y498" s="201"/>
      <c r="Z498" s="201"/>
      <c r="AA498" s="61"/>
      <c r="AB498" s="201"/>
      <c r="AC498" s="61"/>
      <c r="AD498" s="201">
        <v>15</v>
      </c>
      <c r="AE498" s="61"/>
      <c r="AF498" s="61">
        <v>0</v>
      </c>
      <c r="AG498" s="61"/>
      <c r="AH498" s="61"/>
      <c r="AI498" s="61"/>
      <c r="AJ498" s="61"/>
      <c r="AK498" s="61"/>
      <c r="AL498" s="291">
        <v>22</v>
      </c>
      <c r="AM498" s="201">
        <v>20</v>
      </c>
      <c r="AN498" s="201">
        <v>13</v>
      </c>
      <c r="AO498" s="61"/>
      <c r="AP498" s="61"/>
      <c r="AQ498" s="61"/>
      <c r="AR498" s="61"/>
      <c r="AS498" s="101" t="s">
        <v>171</v>
      </c>
      <c r="AT498" s="206" t="str">
        <f t="shared" si="7"/>
        <v>44771-497</v>
      </c>
    </row>
    <row r="499" spans="1:46" x14ac:dyDescent="0.35">
      <c r="A499" s="204">
        <v>498</v>
      </c>
      <c r="B499" s="14" t="s">
        <v>73</v>
      </c>
      <c r="C499" s="1" t="s">
        <v>245</v>
      </c>
      <c r="D499" s="1" t="s">
        <v>150</v>
      </c>
      <c r="E499" s="12">
        <v>44829</v>
      </c>
      <c r="F499" s="201">
        <v>0</v>
      </c>
      <c r="G499" s="201">
        <v>0</v>
      </c>
      <c r="H499" s="201">
        <v>0</v>
      </c>
      <c r="I499" s="201">
        <v>0</v>
      </c>
      <c r="J499" s="201">
        <v>1</v>
      </c>
      <c r="K499" s="201">
        <v>0</v>
      </c>
      <c r="L499" s="201">
        <v>0</v>
      </c>
      <c r="M499" s="201">
        <v>23</v>
      </c>
      <c r="N499" s="201">
        <v>0</v>
      </c>
      <c r="O499" s="201">
        <v>0</v>
      </c>
      <c r="P499" s="201">
        <v>0</v>
      </c>
      <c r="Q499" s="201">
        <v>476</v>
      </c>
      <c r="R499" s="201">
        <v>0</v>
      </c>
      <c r="S499" s="201">
        <v>0</v>
      </c>
      <c r="T499" s="201">
        <v>0</v>
      </c>
      <c r="U499" s="201">
        <v>0</v>
      </c>
      <c r="V499" s="201">
        <v>0</v>
      </c>
      <c r="W499" s="201">
        <v>0</v>
      </c>
      <c r="X499" s="201">
        <v>0</v>
      </c>
      <c r="Y499" s="201">
        <v>0</v>
      </c>
      <c r="Z499" s="201"/>
      <c r="AA499" s="61"/>
      <c r="AB499" s="201">
        <v>0</v>
      </c>
      <c r="AC499" s="61"/>
      <c r="AD499" s="201"/>
      <c r="AE499" s="61"/>
      <c r="AF499" s="61"/>
      <c r="AG499" s="61"/>
      <c r="AH499" s="61"/>
      <c r="AI499" s="61"/>
      <c r="AJ499" s="61"/>
      <c r="AK499" s="61"/>
      <c r="AL499" s="291">
        <v>22</v>
      </c>
      <c r="AM499" s="201">
        <v>21</v>
      </c>
      <c r="AN499" s="201">
        <v>16</v>
      </c>
      <c r="AO499" s="61"/>
      <c r="AP499" s="61"/>
      <c r="AQ499" s="61"/>
      <c r="AR499" s="61"/>
      <c r="AS499" s="101"/>
      <c r="AT499" s="206" t="str">
        <f t="shared" si="7"/>
        <v>44829-498</v>
      </c>
    </row>
    <row r="500" spans="1:46" x14ac:dyDescent="0.35">
      <c r="A500" s="204">
        <v>499</v>
      </c>
      <c r="B500" s="14" t="s">
        <v>81</v>
      </c>
      <c r="C500" s="1" t="s">
        <v>152</v>
      </c>
      <c r="D500" s="1" t="s">
        <v>232</v>
      </c>
      <c r="E500" s="12">
        <v>44833</v>
      </c>
      <c r="F500" s="201">
        <v>0</v>
      </c>
      <c r="G500" s="201">
        <v>0</v>
      </c>
      <c r="H500" s="201">
        <v>0</v>
      </c>
      <c r="I500" s="201">
        <v>0</v>
      </c>
      <c r="J500" s="201">
        <v>0</v>
      </c>
      <c r="K500" s="201">
        <v>0</v>
      </c>
      <c r="L500" s="201">
        <v>0</v>
      </c>
      <c r="M500" s="201">
        <v>11</v>
      </c>
      <c r="N500" s="201">
        <v>0</v>
      </c>
      <c r="O500" s="201">
        <v>0</v>
      </c>
      <c r="P500" s="201">
        <v>1150</v>
      </c>
      <c r="Q500" s="201">
        <v>989</v>
      </c>
      <c r="R500" s="201">
        <v>0</v>
      </c>
      <c r="S500" s="201">
        <v>0</v>
      </c>
      <c r="T500" s="201">
        <v>2680</v>
      </c>
      <c r="U500" s="201">
        <v>10</v>
      </c>
      <c r="V500" s="201"/>
      <c r="W500" s="201">
        <v>0</v>
      </c>
      <c r="X500" s="201">
        <v>0</v>
      </c>
      <c r="Y500" s="201">
        <v>0</v>
      </c>
      <c r="Z500" s="201"/>
      <c r="AA500" s="61">
        <v>0</v>
      </c>
      <c r="AB500" s="201">
        <v>0</v>
      </c>
      <c r="AC500" s="61">
        <v>6</v>
      </c>
      <c r="AD500" s="201">
        <v>6.06</v>
      </c>
      <c r="AE500" s="61"/>
      <c r="AF500" s="61">
        <v>6.68</v>
      </c>
      <c r="AG500" s="61"/>
      <c r="AH500" s="61"/>
      <c r="AI500" s="61"/>
      <c r="AJ500" s="61"/>
      <c r="AK500" s="61"/>
      <c r="AL500" s="291">
        <v>24</v>
      </c>
      <c r="AM500" s="201">
        <v>23</v>
      </c>
      <c r="AN500" s="201">
        <v>15</v>
      </c>
      <c r="AO500" s="61"/>
      <c r="AP500" s="61"/>
      <c r="AQ500" s="61"/>
      <c r="AR500" s="61"/>
      <c r="AS500" s="101"/>
      <c r="AT500" s="206" t="str">
        <f t="shared" si="7"/>
        <v>44833-499</v>
      </c>
    </row>
    <row r="501" spans="1:46" x14ac:dyDescent="0.35">
      <c r="A501" s="204">
        <v>500</v>
      </c>
      <c r="B501" s="14" t="s">
        <v>81</v>
      </c>
      <c r="C501" s="1" t="s">
        <v>152</v>
      </c>
      <c r="D501" s="1" t="s">
        <v>232</v>
      </c>
      <c r="E501" s="12">
        <v>44833</v>
      </c>
      <c r="F501" s="201">
        <v>0</v>
      </c>
      <c r="G501" s="201">
        <v>0</v>
      </c>
      <c r="H501" s="201">
        <v>0</v>
      </c>
      <c r="I501" s="201">
        <v>0</v>
      </c>
      <c r="J501" s="201">
        <v>0</v>
      </c>
      <c r="K501" s="201">
        <v>0</v>
      </c>
      <c r="L501" s="201">
        <v>0</v>
      </c>
      <c r="M501" s="201">
        <v>12</v>
      </c>
      <c r="N501" s="201">
        <v>0</v>
      </c>
      <c r="O501" s="201">
        <v>0</v>
      </c>
      <c r="P501" s="201">
        <v>1200</v>
      </c>
      <c r="Q501" s="201">
        <v>969</v>
      </c>
      <c r="R501" s="201">
        <v>0</v>
      </c>
      <c r="S501" s="201">
        <v>0</v>
      </c>
      <c r="T501" s="201">
        <v>2670</v>
      </c>
      <c r="U501" s="201">
        <v>10</v>
      </c>
      <c r="V501" s="201"/>
      <c r="W501" s="201">
        <v>0</v>
      </c>
      <c r="X501" s="201">
        <v>0</v>
      </c>
      <c r="Y501" s="201">
        <v>0</v>
      </c>
      <c r="Z501" s="201"/>
      <c r="AA501" s="61">
        <v>0</v>
      </c>
      <c r="AB501" s="201">
        <v>0</v>
      </c>
      <c r="AC501" s="61">
        <v>6</v>
      </c>
      <c r="AD501" s="201">
        <v>6.1</v>
      </c>
      <c r="AE501" s="61"/>
      <c r="AF501" s="61">
        <v>6.7</v>
      </c>
      <c r="AG501" s="61"/>
      <c r="AH501" s="61"/>
      <c r="AI501" s="61"/>
      <c r="AJ501" s="61"/>
      <c r="AK501" s="61"/>
      <c r="AL501" s="291">
        <v>24</v>
      </c>
      <c r="AM501" s="201">
        <v>23</v>
      </c>
      <c r="AN501" s="201">
        <v>15</v>
      </c>
      <c r="AO501" s="61"/>
      <c r="AP501" s="61"/>
      <c r="AQ501" s="61"/>
      <c r="AR501" s="61"/>
      <c r="AS501" s="101"/>
      <c r="AT501" s="206" t="str">
        <f t="shared" si="7"/>
        <v>44833-500</v>
      </c>
    </row>
    <row r="502" spans="1:46" x14ac:dyDescent="0.35">
      <c r="A502" s="204">
        <v>501</v>
      </c>
      <c r="B502" s="14" t="s">
        <v>81</v>
      </c>
      <c r="C502" s="1" t="s">
        <v>149</v>
      </c>
      <c r="D502" s="1" t="s">
        <v>232</v>
      </c>
      <c r="E502" s="12">
        <v>44833</v>
      </c>
      <c r="F502" s="201">
        <v>0</v>
      </c>
      <c r="G502" s="201">
        <v>0</v>
      </c>
      <c r="H502" s="201">
        <v>0</v>
      </c>
      <c r="I502" s="201">
        <v>0</v>
      </c>
      <c r="J502" s="201">
        <v>0</v>
      </c>
      <c r="K502" s="201">
        <v>0</v>
      </c>
      <c r="L502" s="201">
        <v>0</v>
      </c>
      <c r="M502" s="201">
        <v>2</v>
      </c>
      <c r="N502" s="201">
        <v>1</v>
      </c>
      <c r="O502" s="201">
        <v>0</v>
      </c>
      <c r="P502" s="201">
        <v>1264</v>
      </c>
      <c r="Q502" s="201">
        <v>925</v>
      </c>
      <c r="R502" s="201">
        <v>0</v>
      </c>
      <c r="S502" s="201">
        <v>0</v>
      </c>
      <c r="T502" s="201">
        <v>2600</v>
      </c>
      <c r="U502" s="201">
        <v>10</v>
      </c>
      <c r="V502" s="201"/>
      <c r="W502" s="201">
        <v>0</v>
      </c>
      <c r="X502" s="201">
        <v>0</v>
      </c>
      <c r="Y502" s="201">
        <v>0</v>
      </c>
      <c r="Z502" s="201"/>
      <c r="AA502" s="61">
        <v>0</v>
      </c>
      <c r="AB502" s="201">
        <v>0</v>
      </c>
      <c r="AC502" s="61">
        <v>0</v>
      </c>
      <c r="AD502" s="201">
        <v>18.079999999999998</v>
      </c>
      <c r="AE502" s="61"/>
      <c r="AF502" s="61">
        <v>2.6</v>
      </c>
      <c r="AG502" s="61"/>
      <c r="AH502" s="61"/>
      <c r="AI502" s="61"/>
      <c r="AJ502" s="61"/>
      <c r="AK502" s="61"/>
      <c r="AL502" s="13"/>
      <c r="AM502" s="201"/>
      <c r="AN502" s="201"/>
      <c r="AO502" s="61"/>
      <c r="AP502" s="61"/>
      <c r="AQ502" s="61"/>
      <c r="AR502" s="61"/>
      <c r="AS502" s="101"/>
      <c r="AT502" s="206" t="str">
        <f t="shared" si="7"/>
        <v>44833-501</v>
      </c>
    </row>
    <row r="503" spans="1:46" x14ac:dyDescent="0.35">
      <c r="A503" s="204">
        <v>502</v>
      </c>
      <c r="B503" s="14" t="s">
        <v>81</v>
      </c>
      <c r="C503" s="1" t="s">
        <v>149</v>
      </c>
      <c r="D503" s="1" t="s">
        <v>232</v>
      </c>
      <c r="E503" s="12">
        <v>44833</v>
      </c>
      <c r="F503" s="201">
        <v>0</v>
      </c>
      <c r="G503" s="201">
        <v>0</v>
      </c>
      <c r="H503" s="201">
        <v>0</v>
      </c>
      <c r="I503" s="201">
        <v>0</v>
      </c>
      <c r="J503" s="201">
        <v>0</v>
      </c>
      <c r="K503" s="201">
        <v>0</v>
      </c>
      <c r="L503" s="201">
        <v>0</v>
      </c>
      <c r="M503" s="201">
        <v>2</v>
      </c>
      <c r="N503" s="201">
        <v>1</v>
      </c>
      <c r="O503" s="201">
        <v>0</v>
      </c>
      <c r="P503" s="201">
        <v>1249</v>
      </c>
      <c r="Q503" s="201">
        <v>940</v>
      </c>
      <c r="R503" s="201">
        <v>0</v>
      </c>
      <c r="S503" s="201">
        <v>0</v>
      </c>
      <c r="T503" s="201">
        <v>2670</v>
      </c>
      <c r="U503" s="201">
        <v>10</v>
      </c>
      <c r="V503" s="201"/>
      <c r="W503" s="201">
        <v>0</v>
      </c>
      <c r="X503" s="201">
        <v>0</v>
      </c>
      <c r="Y503" s="201">
        <v>0</v>
      </c>
      <c r="Z503" s="201"/>
      <c r="AA503" s="61">
        <v>0</v>
      </c>
      <c r="AB503" s="201">
        <v>0</v>
      </c>
      <c r="AC503" s="61">
        <v>0</v>
      </c>
      <c r="AD503" s="201">
        <v>18.170000000000002</v>
      </c>
      <c r="AE503" s="61"/>
      <c r="AF503" s="61">
        <v>2.62</v>
      </c>
      <c r="AG503" s="61"/>
      <c r="AH503" s="61"/>
      <c r="AI503" s="61"/>
      <c r="AJ503" s="61"/>
      <c r="AK503" s="61"/>
      <c r="AL503" s="13"/>
      <c r="AM503" s="201"/>
      <c r="AN503" s="201"/>
      <c r="AO503" s="61"/>
      <c r="AP503" s="61"/>
      <c r="AQ503" s="61"/>
      <c r="AR503" s="61"/>
      <c r="AS503" s="101"/>
      <c r="AT503" s="206" t="str">
        <f t="shared" si="7"/>
        <v>44833-502</v>
      </c>
    </row>
    <row r="504" spans="1:46" x14ac:dyDescent="0.35">
      <c r="A504" s="204">
        <v>503</v>
      </c>
      <c r="B504" s="14" t="s">
        <v>81</v>
      </c>
      <c r="C504" s="1" t="s">
        <v>245</v>
      </c>
      <c r="D504" s="1" t="s">
        <v>232</v>
      </c>
      <c r="E504" s="12">
        <v>44833</v>
      </c>
      <c r="F504" s="201">
        <v>0</v>
      </c>
      <c r="G504" s="201">
        <v>0</v>
      </c>
      <c r="H504" s="201">
        <v>0</v>
      </c>
      <c r="I504" s="201">
        <v>0</v>
      </c>
      <c r="J504" s="201">
        <v>0</v>
      </c>
      <c r="K504" s="201">
        <v>0</v>
      </c>
      <c r="L504" s="201">
        <v>0</v>
      </c>
      <c r="M504" s="201">
        <v>24</v>
      </c>
      <c r="N504" s="201">
        <v>0</v>
      </c>
      <c r="O504" s="201">
        <v>0</v>
      </c>
      <c r="P504" s="201">
        <v>1</v>
      </c>
      <c r="Q504" s="201">
        <v>682</v>
      </c>
      <c r="R504" s="201">
        <v>0</v>
      </c>
      <c r="S504" s="201">
        <v>0</v>
      </c>
      <c r="T504" s="201">
        <v>1</v>
      </c>
      <c r="U504" s="201">
        <v>0</v>
      </c>
      <c r="V504" s="201"/>
      <c r="W504" s="201">
        <v>0</v>
      </c>
      <c r="X504" s="201">
        <v>0</v>
      </c>
      <c r="Y504" s="201">
        <v>0</v>
      </c>
      <c r="Z504" s="201"/>
      <c r="AA504" s="61">
        <v>0</v>
      </c>
      <c r="AB504" s="201">
        <v>0</v>
      </c>
      <c r="AC504" s="61">
        <v>0</v>
      </c>
      <c r="AD504" s="201">
        <v>77.88</v>
      </c>
      <c r="AE504" s="61"/>
      <c r="AF504" s="61"/>
      <c r="AG504" s="61"/>
      <c r="AH504" s="61"/>
      <c r="AI504" s="61"/>
      <c r="AJ504" s="61"/>
      <c r="AK504" s="61"/>
      <c r="AL504" s="13"/>
      <c r="AM504" s="201"/>
      <c r="AN504" s="201"/>
      <c r="AO504" s="61"/>
      <c r="AP504" s="61"/>
      <c r="AQ504" s="61"/>
      <c r="AR504" s="61"/>
      <c r="AS504" s="101"/>
      <c r="AT504" s="206" t="str">
        <f t="shared" si="7"/>
        <v>44833-503</v>
      </c>
    </row>
    <row r="505" spans="1:46" x14ac:dyDescent="0.35">
      <c r="A505" s="204">
        <v>504</v>
      </c>
      <c r="B505" s="14" t="s">
        <v>81</v>
      </c>
      <c r="C505" s="1" t="s">
        <v>245</v>
      </c>
      <c r="D505" s="1" t="s">
        <v>232</v>
      </c>
      <c r="E505" s="12">
        <v>44833</v>
      </c>
      <c r="F505" s="201">
        <v>0</v>
      </c>
      <c r="G505" s="201">
        <v>0</v>
      </c>
      <c r="H505" s="201">
        <v>0</v>
      </c>
      <c r="I505" s="201">
        <v>0</v>
      </c>
      <c r="J505" s="201">
        <v>0</v>
      </c>
      <c r="K505" s="201">
        <v>0</v>
      </c>
      <c r="L505" s="201">
        <v>0</v>
      </c>
      <c r="M505" s="201">
        <v>24</v>
      </c>
      <c r="N505" s="201">
        <v>0</v>
      </c>
      <c r="O505" s="201">
        <v>0</v>
      </c>
      <c r="P505" s="201">
        <v>1</v>
      </c>
      <c r="Q505" s="201">
        <v>666</v>
      </c>
      <c r="R505" s="201">
        <v>0</v>
      </c>
      <c r="S505" s="201">
        <v>0</v>
      </c>
      <c r="T505" s="201">
        <v>1</v>
      </c>
      <c r="U505" s="201">
        <v>0</v>
      </c>
      <c r="V505" s="201"/>
      <c r="W505" s="201">
        <v>0</v>
      </c>
      <c r="X505" s="201">
        <v>0</v>
      </c>
      <c r="Y505" s="201">
        <v>0</v>
      </c>
      <c r="Z505" s="201"/>
      <c r="AA505" s="61">
        <v>0</v>
      </c>
      <c r="AB505" s="201">
        <v>0</v>
      </c>
      <c r="AC505" s="61">
        <v>0</v>
      </c>
      <c r="AD505" s="201">
        <v>77.73</v>
      </c>
      <c r="AE505" s="61"/>
      <c r="AF505" s="61"/>
      <c r="AG505" s="61"/>
      <c r="AH505" s="61"/>
      <c r="AI505" s="61"/>
      <c r="AJ505" s="61"/>
      <c r="AK505" s="61"/>
      <c r="AL505" s="13"/>
      <c r="AM505" s="201"/>
      <c r="AN505" s="201"/>
      <c r="AO505" s="61"/>
      <c r="AP505" s="61"/>
      <c r="AQ505" s="61"/>
      <c r="AR505" s="61"/>
      <c r="AS505" s="101"/>
      <c r="AT505" s="206" t="str">
        <f t="shared" si="7"/>
        <v>44833-504</v>
      </c>
    </row>
    <row r="506" spans="1:46" x14ac:dyDescent="0.35">
      <c r="A506" s="204">
        <v>505</v>
      </c>
      <c r="B506" s="14" t="s">
        <v>81</v>
      </c>
      <c r="C506" s="1" t="s">
        <v>262</v>
      </c>
      <c r="D506" s="1" t="s">
        <v>232</v>
      </c>
      <c r="E506" s="12">
        <v>44833</v>
      </c>
      <c r="F506" s="201">
        <v>0</v>
      </c>
      <c r="G506" s="201">
        <v>0</v>
      </c>
      <c r="H506" s="201">
        <v>0</v>
      </c>
      <c r="I506" s="201">
        <v>0</v>
      </c>
      <c r="J506" s="201">
        <v>0</v>
      </c>
      <c r="K506" s="201">
        <v>0</v>
      </c>
      <c r="L506" s="201">
        <v>0</v>
      </c>
      <c r="M506" s="201">
        <v>5</v>
      </c>
      <c r="N506" s="201">
        <v>2</v>
      </c>
      <c r="O506" s="201">
        <v>0</v>
      </c>
      <c r="P506" s="201">
        <v>1550</v>
      </c>
      <c r="Q506" s="201">
        <v>1189</v>
      </c>
      <c r="R506" s="201">
        <v>0</v>
      </c>
      <c r="S506" s="201">
        <v>0</v>
      </c>
      <c r="T506" s="201">
        <v>1100</v>
      </c>
      <c r="U506" s="201">
        <v>1089</v>
      </c>
      <c r="V506" s="201"/>
      <c r="W506" s="201">
        <v>0</v>
      </c>
      <c r="X506" s="201">
        <v>0</v>
      </c>
      <c r="Y506" s="201">
        <v>0</v>
      </c>
      <c r="Z506" s="201"/>
      <c r="AA506" s="61">
        <v>0</v>
      </c>
      <c r="AB506" s="201">
        <v>0</v>
      </c>
      <c r="AC506" s="61">
        <v>0</v>
      </c>
      <c r="AD506" s="201">
        <v>15.42</v>
      </c>
      <c r="AE506" s="61"/>
      <c r="AF506" s="61">
        <v>8.48</v>
      </c>
      <c r="AG506" s="61">
        <v>17.13</v>
      </c>
      <c r="AH506" s="61">
        <v>4.7300000000000004</v>
      </c>
      <c r="AI506" s="61">
        <v>10.82</v>
      </c>
      <c r="AJ506" s="61"/>
      <c r="AK506" s="61">
        <v>3.88</v>
      </c>
      <c r="AL506" s="13"/>
      <c r="AM506" s="201"/>
      <c r="AN506" s="201"/>
      <c r="AO506" s="61">
        <v>0</v>
      </c>
      <c r="AP506" s="61">
        <v>0</v>
      </c>
      <c r="AQ506" s="61"/>
      <c r="AR506" s="61"/>
      <c r="AS506" s="101"/>
      <c r="AT506" s="206" t="str">
        <f t="shared" si="7"/>
        <v>44833-505</v>
      </c>
    </row>
    <row r="507" spans="1:46" x14ac:dyDescent="0.35">
      <c r="A507" s="204">
        <v>506</v>
      </c>
      <c r="B507" s="14" t="s">
        <v>81</v>
      </c>
      <c r="C507" s="1" t="s">
        <v>262</v>
      </c>
      <c r="D507" s="1" t="s">
        <v>232</v>
      </c>
      <c r="E507" s="12">
        <v>44833</v>
      </c>
      <c r="F507" s="201">
        <v>0</v>
      </c>
      <c r="G507" s="201">
        <v>0</v>
      </c>
      <c r="H507" s="201">
        <v>0</v>
      </c>
      <c r="I507" s="201">
        <v>0</v>
      </c>
      <c r="J507" s="201">
        <v>0</v>
      </c>
      <c r="K507" s="201">
        <v>0</v>
      </c>
      <c r="L507" s="201">
        <v>0</v>
      </c>
      <c r="M507" s="201">
        <v>5</v>
      </c>
      <c r="N507" s="201">
        <v>2</v>
      </c>
      <c r="O507" s="201">
        <v>0</v>
      </c>
      <c r="P507" s="201">
        <v>1530</v>
      </c>
      <c r="Q507" s="201">
        <v>1209</v>
      </c>
      <c r="R507" s="201">
        <v>0</v>
      </c>
      <c r="S507" s="201">
        <v>0</v>
      </c>
      <c r="T507" s="201">
        <v>1160</v>
      </c>
      <c r="U507" s="201">
        <v>997</v>
      </c>
      <c r="V507" s="201"/>
      <c r="W507" s="201">
        <v>0</v>
      </c>
      <c r="X507" s="201">
        <v>0</v>
      </c>
      <c r="Y507" s="201">
        <v>0</v>
      </c>
      <c r="Z507" s="201"/>
      <c r="AA507" s="61">
        <v>0</v>
      </c>
      <c r="AB507" s="201">
        <v>0</v>
      </c>
      <c r="AC507" s="61">
        <v>0</v>
      </c>
      <c r="AD507" s="201">
        <v>15.34</v>
      </c>
      <c r="AE507" s="61"/>
      <c r="AF507" s="61">
        <v>8.5299999999999994</v>
      </c>
      <c r="AG507" s="61">
        <v>17.170000000000002</v>
      </c>
      <c r="AH507" s="61">
        <v>4.75</v>
      </c>
      <c r="AI507" s="61">
        <v>10.79</v>
      </c>
      <c r="AJ507" s="61"/>
      <c r="AK507" s="61">
        <v>3.82</v>
      </c>
      <c r="AL507" s="13"/>
      <c r="AM507" s="201"/>
      <c r="AN507" s="201"/>
      <c r="AO507" s="61">
        <v>0</v>
      </c>
      <c r="AP507" s="61">
        <v>0</v>
      </c>
      <c r="AQ507" s="61"/>
      <c r="AR507" s="61"/>
      <c r="AS507" s="101"/>
      <c r="AT507" s="206" t="str">
        <f t="shared" si="7"/>
        <v>44833-506</v>
      </c>
    </row>
    <row r="508" spans="1:46" x14ac:dyDescent="0.35">
      <c r="A508" s="204">
        <v>507</v>
      </c>
      <c r="B508" s="14" t="s">
        <v>73</v>
      </c>
      <c r="C508" s="1" t="s">
        <v>154</v>
      </c>
      <c r="D508" s="1" t="s">
        <v>150</v>
      </c>
      <c r="E508" s="12">
        <v>44834</v>
      </c>
      <c r="F508" s="201">
        <v>1</v>
      </c>
      <c r="G508" s="201">
        <v>0</v>
      </c>
      <c r="H508" s="201">
        <v>0</v>
      </c>
      <c r="I508" s="201">
        <v>0</v>
      </c>
      <c r="J508" s="201">
        <v>0</v>
      </c>
      <c r="K508" s="201">
        <v>0</v>
      </c>
      <c r="L508" s="201">
        <v>0</v>
      </c>
      <c r="M508" s="201">
        <v>8</v>
      </c>
      <c r="N508" s="201">
        <v>1</v>
      </c>
      <c r="O508" s="201">
        <v>0</v>
      </c>
      <c r="P508" s="201">
        <v>1755</v>
      </c>
      <c r="Q508" s="201">
        <v>938</v>
      </c>
      <c r="R508" s="201">
        <v>1</v>
      </c>
      <c r="S508" s="201">
        <v>0</v>
      </c>
      <c r="T508" s="201">
        <v>1139</v>
      </c>
      <c r="U508" s="201">
        <v>981</v>
      </c>
      <c r="V508" s="201">
        <v>0</v>
      </c>
      <c r="W508" s="201">
        <v>0</v>
      </c>
      <c r="X508" s="201">
        <v>0</v>
      </c>
      <c r="Y508" s="201">
        <v>44</v>
      </c>
      <c r="Z508" s="201"/>
      <c r="AA508" s="61"/>
      <c r="AB508" s="201">
        <v>0</v>
      </c>
      <c r="AC508" s="61"/>
      <c r="AD508" s="201"/>
      <c r="AE508" s="61"/>
      <c r="AF508" s="61"/>
      <c r="AG508" s="61"/>
      <c r="AH508" s="61"/>
      <c r="AI508" s="61"/>
      <c r="AJ508" s="61"/>
      <c r="AK508" s="61"/>
      <c r="AL508" s="291">
        <v>21</v>
      </c>
      <c r="AM508" s="201">
        <v>20</v>
      </c>
      <c r="AN508" s="201">
        <v>13</v>
      </c>
      <c r="AO508" s="61"/>
      <c r="AP508" s="61"/>
      <c r="AQ508" s="61"/>
      <c r="AR508" s="61"/>
      <c r="AS508" s="101"/>
      <c r="AT508" s="206" t="str">
        <f t="shared" si="7"/>
        <v>44834-507</v>
      </c>
    </row>
    <row r="509" spans="1:46" x14ac:dyDescent="0.35">
      <c r="A509" s="204">
        <v>508</v>
      </c>
      <c r="B509" s="14" t="s">
        <v>73</v>
      </c>
      <c r="C509" s="1" t="s">
        <v>245</v>
      </c>
      <c r="D509" s="1" t="s">
        <v>150</v>
      </c>
      <c r="E509" s="12">
        <v>44849</v>
      </c>
      <c r="F509" s="201">
        <v>1</v>
      </c>
      <c r="G509" s="201">
        <v>0</v>
      </c>
      <c r="H509" s="201">
        <v>0</v>
      </c>
      <c r="I509" s="201">
        <v>1</v>
      </c>
      <c r="J509" s="201">
        <v>0</v>
      </c>
      <c r="K509" s="201">
        <v>0</v>
      </c>
      <c r="L509" s="201">
        <v>0</v>
      </c>
      <c r="M509" s="201">
        <v>24</v>
      </c>
      <c r="N509" s="201">
        <v>0</v>
      </c>
      <c r="O509" s="201">
        <v>0</v>
      </c>
      <c r="P509" s="201">
        <v>0</v>
      </c>
      <c r="Q509" s="201">
        <v>406</v>
      </c>
      <c r="R509" s="201">
        <v>0</v>
      </c>
      <c r="S509" s="201">
        <v>0</v>
      </c>
      <c r="T509" s="201">
        <v>0</v>
      </c>
      <c r="U509" s="201">
        <v>0</v>
      </c>
      <c r="V509" s="201">
        <v>0</v>
      </c>
      <c r="W509" s="201">
        <v>0</v>
      </c>
      <c r="X509" s="201">
        <v>1</v>
      </c>
      <c r="Y509" s="201">
        <v>0</v>
      </c>
      <c r="Z509" s="201"/>
      <c r="AA509" s="61"/>
      <c r="AB509" s="201">
        <v>0</v>
      </c>
      <c r="AC509" s="61"/>
      <c r="AD509" s="201">
        <v>80.73</v>
      </c>
      <c r="AE509" s="61"/>
      <c r="AF509" s="61"/>
      <c r="AG509" s="61"/>
      <c r="AH509" s="61"/>
      <c r="AI509" s="61"/>
      <c r="AJ509" s="61"/>
      <c r="AK509" s="61"/>
      <c r="AL509" s="291">
        <v>19</v>
      </c>
      <c r="AM509" s="201">
        <v>17</v>
      </c>
      <c r="AN509" s="201">
        <v>12</v>
      </c>
      <c r="AO509" s="61"/>
      <c r="AP509" s="61"/>
      <c r="AQ509" s="61"/>
      <c r="AR509" s="61"/>
      <c r="AS509" s="101" t="s">
        <v>256</v>
      </c>
      <c r="AT509" s="206" t="str">
        <f t="shared" si="7"/>
        <v>44849-508</v>
      </c>
    </row>
    <row r="510" spans="1:46" x14ac:dyDescent="0.35">
      <c r="A510" s="204">
        <v>509</v>
      </c>
      <c r="B510" s="14" t="s">
        <v>73</v>
      </c>
      <c r="C510" s="1" t="s">
        <v>245</v>
      </c>
      <c r="D510" s="1" t="s">
        <v>150</v>
      </c>
      <c r="E510" s="12">
        <v>44850</v>
      </c>
      <c r="F510" s="201">
        <v>0</v>
      </c>
      <c r="G510" s="201">
        <v>0</v>
      </c>
      <c r="H510" s="201">
        <v>0</v>
      </c>
      <c r="I510" s="201">
        <v>0</v>
      </c>
      <c r="J510" s="201">
        <v>0</v>
      </c>
      <c r="K510" s="201">
        <v>0</v>
      </c>
      <c r="L510" s="201">
        <v>0</v>
      </c>
      <c r="M510" s="201">
        <v>27</v>
      </c>
      <c r="N510" s="201">
        <v>0</v>
      </c>
      <c r="O510" s="201">
        <v>0</v>
      </c>
      <c r="P510" s="201">
        <v>0</v>
      </c>
      <c r="Q510" s="201">
        <v>394</v>
      </c>
      <c r="R510" s="201">
        <v>0</v>
      </c>
      <c r="S510" s="201">
        <v>0</v>
      </c>
      <c r="T510" s="201">
        <v>0</v>
      </c>
      <c r="U510" s="201">
        <v>0</v>
      </c>
      <c r="V510" s="201">
        <v>1</v>
      </c>
      <c r="W510" s="201">
        <v>0</v>
      </c>
      <c r="X510" s="201">
        <v>1</v>
      </c>
      <c r="Y510" s="201">
        <v>0</v>
      </c>
      <c r="Z510" s="201"/>
      <c r="AA510" s="61"/>
      <c r="AB510" s="201">
        <v>0</v>
      </c>
      <c r="AC510" s="61"/>
      <c r="AD510" s="201">
        <v>81.58</v>
      </c>
      <c r="AE510" s="61"/>
      <c r="AF510" s="61"/>
      <c r="AG510" s="61"/>
      <c r="AH510" s="61"/>
      <c r="AI510" s="61"/>
      <c r="AJ510" s="61"/>
      <c r="AK510" s="61"/>
      <c r="AL510" s="291"/>
      <c r="AM510" s="201"/>
      <c r="AN510" s="201"/>
      <c r="AO510" s="61"/>
      <c r="AP510" s="61"/>
      <c r="AQ510" s="61"/>
      <c r="AR510" s="61"/>
      <c r="AS510" s="101" t="s">
        <v>256</v>
      </c>
      <c r="AT510" s="206" t="str">
        <f t="shared" si="7"/>
        <v>44850-509</v>
      </c>
    </row>
    <row r="511" spans="1:46" x14ac:dyDescent="0.35">
      <c r="A511" s="204">
        <v>510</v>
      </c>
      <c r="B511" s="14" t="s">
        <v>73</v>
      </c>
      <c r="C511" s="1" t="s">
        <v>245</v>
      </c>
      <c r="D511" s="1" t="s">
        <v>150</v>
      </c>
      <c r="E511" s="12">
        <v>44855</v>
      </c>
      <c r="F511" s="59">
        <v>1</v>
      </c>
      <c r="G511" s="201">
        <v>0</v>
      </c>
      <c r="H511" s="201">
        <v>0</v>
      </c>
      <c r="I511" s="201">
        <v>0</v>
      </c>
      <c r="J511" s="59">
        <v>0</v>
      </c>
      <c r="K511" s="201">
        <v>0</v>
      </c>
      <c r="L511" s="201">
        <v>0</v>
      </c>
      <c r="M511" s="59">
        <v>26</v>
      </c>
      <c r="N511" s="201">
        <v>0</v>
      </c>
      <c r="O511" s="201">
        <v>0</v>
      </c>
      <c r="P511" s="201">
        <v>0</v>
      </c>
      <c r="Q511" s="59">
        <v>356</v>
      </c>
      <c r="R511" s="201">
        <v>0</v>
      </c>
      <c r="S511" s="201">
        <v>0</v>
      </c>
      <c r="T511" s="59">
        <v>0</v>
      </c>
      <c r="U511" s="201">
        <v>0</v>
      </c>
      <c r="V511" s="59">
        <v>0</v>
      </c>
      <c r="W511" s="201">
        <v>0</v>
      </c>
      <c r="X511" s="59">
        <v>1</v>
      </c>
      <c r="Y511" s="201">
        <v>0</v>
      </c>
      <c r="Z511" s="201">
        <v>0</v>
      </c>
      <c r="AA511" s="201">
        <v>0</v>
      </c>
      <c r="AB511" s="201">
        <v>0</v>
      </c>
      <c r="AC511" s="201">
        <v>0</v>
      </c>
      <c r="AD511" s="295">
        <v>81.22</v>
      </c>
      <c r="AE511" s="61"/>
      <c r="AF511" s="61"/>
      <c r="AG511" s="61"/>
      <c r="AH511" s="61"/>
      <c r="AI511" s="61"/>
      <c r="AJ511" s="61"/>
      <c r="AK511" s="61"/>
      <c r="AL511" s="291">
        <v>20</v>
      </c>
      <c r="AM511" s="291">
        <v>18</v>
      </c>
      <c r="AN511" s="291">
        <v>11</v>
      </c>
      <c r="AO511" s="61"/>
      <c r="AP511" s="61"/>
      <c r="AQ511" s="61"/>
      <c r="AR511" s="61"/>
      <c r="AS511" s="58" t="s">
        <v>256</v>
      </c>
      <c r="AT511" s="206" t="str">
        <f t="shared" si="7"/>
        <v>44855-510</v>
      </c>
    </row>
    <row r="512" spans="1:46" x14ac:dyDescent="0.35">
      <c r="A512" s="204">
        <v>511</v>
      </c>
      <c r="B512" s="14" t="s">
        <v>73</v>
      </c>
      <c r="C512" s="1" t="s">
        <v>245</v>
      </c>
      <c r="D512" s="1" t="s">
        <v>150</v>
      </c>
      <c r="E512" s="12">
        <v>44864</v>
      </c>
      <c r="F512" s="59">
        <v>0</v>
      </c>
      <c r="G512" s="201">
        <v>0</v>
      </c>
      <c r="H512" s="201">
        <v>0</v>
      </c>
      <c r="I512" s="201">
        <v>0</v>
      </c>
      <c r="J512" s="59">
        <v>1</v>
      </c>
      <c r="K512" s="201">
        <v>0</v>
      </c>
      <c r="L512" s="201">
        <v>0</v>
      </c>
      <c r="M512" s="59">
        <v>23</v>
      </c>
      <c r="N512" s="201">
        <v>0</v>
      </c>
      <c r="O512" s="201">
        <v>0</v>
      </c>
      <c r="P512" s="201">
        <v>0</v>
      </c>
      <c r="Q512" s="59">
        <v>693</v>
      </c>
      <c r="R512" s="201">
        <v>0</v>
      </c>
      <c r="S512" s="201">
        <v>0</v>
      </c>
      <c r="T512" s="59">
        <v>0</v>
      </c>
      <c r="U512" s="201">
        <v>0</v>
      </c>
      <c r="V512" s="59">
        <v>0</v>
      </c>
      <c r="W512" s="201">
        <v>0</v>
      </c>
      <c r="X512" s="59">
        <v>0</v>
      </c>
      <c r="Y512" s="201">
        <v>0</v>
      </c>
      <c r="Z512" s="201">
        <v>0</v>
      </c>
      <c r="AA512" s="201">
        <v>0</v>
      </c>
      <c r="AB512" s="201">
        <v>0</v>
      </c>
      <c r="AC512" s="201">
        <v>0</v>
      </c>
      <c r="AD512" s="295">
        <v>80.73</v>
      </c>
      <c r="AE512" s="61"/>
      <c r="AF512" s="61"/>
      <c r="AG512" s="61"/>
      <c r="AH512" s="61"/>
      <c r="AI512" s="61"/>
      <c r="AJ512" s="61"/>
      <c r="AK512" s="61"/>
      <c r="AL512" s="291">
        <v>23</v>
      </c>
      <c r="AM512" s="291">
        <v>21</v>
      </c>
      <c r="AN512" s="291">
        <v>15</v>
      </c>
      <c r="AO512" s="61"/>
      <c r="AP512" s="61"/>
      <c r="AQ512" s="61"/>
      <c r="AR512" s="61"/>
      <c r="AS512" s="58" t="s">
        <v>256</v>
      </c>
      <c r="AT512" s="206" t="str">
        <f t="shared" si="7"/>
        <v>44864-511</v>
      </c>
    </row>
    <row r="513" spans="1:46" x14ac:dyDescent="0.35">
      <c r="A513" s="204">
        <v>512</v>
      </c>
      <c r="B513" s="14" t="s">
        <v>73</v>
      </c>
      <c r="C513" s="1" t="s">
        <v>245</v>
      </c>
      <c r="D513" s="1" t="s">
        <v>150</v>
      </c>
      <c r="E513" s="12">
        <v>44911</v>
      </c>
      <c r="F513" s="59">
        <v>1</v>
      </c>
      <c r="G513" s="201">
        <v>0</v>
      </c>
      <c r="H513" s="201">
        <v>0</v>
      </c>
      <c r="I513" s="201">
        <v>0</v>
      </c>
      <c r="J513" s="59">
        <v>0</v>
      </c>
      <c r="K513" s="201">
        <v>0</v>
      </c>
      <c r="L513" s="201">
        <v>0</v>
      </c>
      <c r="M513" s="59">
        <v>36</v>
      </c>
      <c r="N513" s="201">
        <v>0</v>
      </c>
      <c r="O513" s="201">
        <v>0</v>
      </c>
      <c r="P513" s="201">
        <v>0</v>
      </c>
      <c r="Q513" s="59">
        <v>332</v>
      </c>
      <c r="R513" s="201">
        <v>0</v>
      </c>
      <c r="S513" s="201">
        <v>0</v>
      </c>
      <c r="T513" s="59">
        <v>1</v>
      </c>
      <c r="U513" s="201">
        <v>0</v>
      </c>
      <c r="V513" s="59">
        <v>0</v>
      </c>
      <c r="W513" s="201">
        <v>0</v>
      </c>
      <c r="X513" s="59">
        <v>0</v>
      </c>
      <c r="Y513" s="201">
        <v>0</v>
      </c>
      <c r="Z513" s="201">
        <v>0</v>
      </c>
      <c r="AA513" s="201">
        <v>0</v>
      </c>
      <c r="AB513" s="201">
        <v>0</v>
      </c>
      <c r="AC513" s="201">
        <v>0</v>
      </c>
      <c r="AD513" s="295">
        <v>79.809299999999993</v>
      </c>
      <c r="AE513" s="61"/>
      <c r="AF513" s="61"/>
      <c r="AG513" s="61"/>
      <c r="AH513" s="61"/>
      <c r="AI513" s="61"/>
      <c r="AJ513" s="61"/>
      <c r="AK513" s="61"/>
      <c r="AL513" s="291"/>
      <c r="AM513" s="58"/>
      <c r="AN513" s="58"/>
      <c r="AO513" s="61"/>
      <c r="AP513" s="61"/>
      <c r="AQ513" s="61"/>
      <c r="AR513" s="61"/>
      <c r="AS513" s="58" t="s">
        <v>256</v>
      </c>
      <c r="AT513" s="206" t="str">
        <f t="shared" si="7"/>
        <v>44911-512</v>
      </c>
    </row>
    <row r="514" spans="1:46" x14ac:dyDescent="0.35">
      <c r="A514" s="204">
        <v>513</v>
      </c>
      <c r="B514" s="14" t="s">
        <v>73</v>
      </c>
      <c r="C514" s="1" t="s">
        <v>155</v>
      </c>
      <c r="D514" s="1" t="s">
        <v>150</v>
      </c>
      <c r="E514" s="12">
        <v>44924</v>
      </c>
      <c r="F514" s="201">
        <v>1</v>
      </c>
      <c r="G514" s="201">
        <v>1</v>
      </c>
      <c r="H514" s="201"/>
      <c r="I514" s="201">
        <v>0</v>
      </c>
      <c r="J514" s="201">
        <v>0</v>
      </c>
      <c r="K514" s="201"/>
      <c r="L514" s="201">
        <v>0</v>
      </c>
      <c r="M514" s="201">
        <v>13</v>
      </c>
      <c r="N514" s="201">
        <v>1</v>
      </c>
      <c r="O514" s="201">
        <v>0</v>
      </c>
      <c r="P514" s="201">
        <v>985</v>
      </c>
      <c r="Q514" s="201">
        <v>395</v>
      </c>
      <c r="R514" s="201">
        <v>0</v>
      </c>
      <c r="S514" s="201"/>
      <c r="T514" s="201">
        <v>1960</v>
      </c>
      <c r="U514" s="201">
        <v>17</v>
      </c>
      <c r="V514" s="201">
        <v>0</v>
      </c>
      <c r="W514" s="201">
        <v>1</v>
      </c>
      <c r="X514" s="201">
        <v>1</v>
      </c>
      <c r="Y514" s="201">
        <v>1</v>
      </c>
      <c r="Z514" s="201"/>
      <c r="AA514" s="61"/>
      <c r="AB514" s="201"/>
      <c r="AC514" s="61"/>
      <c r="AD514" s="201">
        <v>25.1</v>
      </c>
      <c r="AE514" s="61">
        <v>0</v>
      </c>
      <c r="AF514" s="61"/>
      <c r="AG514" s="61"/>
      <c r="AH514" s="61"/>
      <c r="AI514" s="61"/>
      <c r="AJ514" s="61"/>
      <c r="AK514" s="1"/>
      <c r="AL514" s="291"/>
      <c r="AM514" s="1"/>
      <c r="AN514" s="1"/>
      <c r="AO514" s="12"/>
      <c r="AP514" s="201"/>
      <c r="AQ514" s="201"/>
      <c r="AR514" s="201"/>
      <c r="AS514" s="201" t="s">
        <v>226</v>
      </c>
      <c r="AT514" s="206" t="str">
        <f t="shared" ref="AT514:AT577" si="8">CONCATENATE(E514,"-",A514)</f>
        <v>44924-513</v>
      </c>
    </row>
    <row r="515" spans="1:46" x14ac:dyDescent="0.35">
      <c r="A515" s="204">
        <v>514</v>
      </c>
      <c r="B515" s="14" t="s">
        <v>83</v>
      </c>
      <c r="C515" s="1" t="s">
        <v>152</v>
      </c>
      <c r="D515" s="1" t="s">
        <v>161</v>
      </c>
      <c r="E515" s="12">
        <v>44926</v>
      </c>
      <c r="F515" s="291">
        <v>1.1000000000000001</v>
      </c>
      <c r="G515" s="291">
        <v>1</v>
      </c>
      <c r="H515" s="291">
        <v>0</v>
      </c>
      <c r="I515" s="291">
        <v>0</v>
      </c>
      <c r="J515" s="291">
        <v>0</v>
      </c>
      <c r="K515" s="291">
        <v>0</v>
      </c>
      <c r="L515" s="291"/>
      <c r="M515" s="291">
        <v>14.7</v>
      </c>
      <c r="N515" s="291">
        <v>0.6</v>
      </c>
      <c r="O515" s="291">
        <v>0</v>
      </c>
      <c r="P515" s="291">
        <v>1056.9000000000001</v>
      </c>
      <c r="Q515" s="291">
        <v>1100.3</v>
      </c>
      <c r="R515" s="291"/>
      <c r="S515" s="291"/>
      <c r="T515" s="291">
        <v>3484.8</v>
      </c>
      <c r="U515" s="291">
        <v>11.1</v>
      </c>
      <c r="V515" s="291"/>
      <c r="W515" s="291"/>
      <c r="X515" s="291"/>
      <c r="Y515" s="291"/>
      <c r="Z515" s="291"/>
      <c r="AA515" s="61"/>
      <c r="AB515" s="291"/>
      <c r="AC515" s="61"/>
      <c r="AD515" s="291">
        <v>6.1</v>
      </c>
      <c r="AE515" s="61"/>
      <c r="AF515" s="61"/>
      <c r="AG515" s="61"/>
      <c r="AH515" s="61"/>
      <c r="AI515" s="61"/>
      <c r="AJ515" s="61"/>
      <c r="AK515" s="61"/>
      <c r="AL515" s="291">
        <v>24</v>
      </c>
      <c r="AM515" s="291">
        <v>22</v>
      </c>
      <c r="AN515" s="291">
        <v>15</v>
      </c>
      <c r="AO515" s="61"/>
      <c r="AP515" s="61"/>
      <c r="AQ515" s="61"/>
      <c r="AR515" s="61"/>
      <c r="AS515" s="292"/>
      <c r="AT515" s="206" t="str">
        <f t="shared" si="8"/>
        <v>44926-514</v>
      </c>
    </row>
    <row r="516" spans="1:46" x14ac:dyDescent="0.35">
      <c r="A516" s="204">
        <v>515</v>
      </c>
      <c r="B516" s="14" t="s">
        <v>83</v>
      </c>
      <c r="C516" s="1" t="s">
        <v>198</v>
      </c>
      <c r="D516" s="1" t="s">
        <v>161</v>
      </c>
      <c r="E516" s="12">
        <v>44926</v>
      </c>
      <c r="F516" s="291">
        <v>1.2</v>
      </c>
      <c r="G516" s="291">
        <v>1.2</v>
      </c>
      <c r="H516" s="291">
        <v>0</v>
      </c>
      <c r="I516" s="291">
        <v>0</v>
      </c>
      <c r="J516" s="291">
        <v>0</v>
      </c>
      <c r="K516" s="291">
        <v>0</v>
      </c>
      <c r="L516" s="291"/>
      <c r="M516" s="291">
        <v>15.6</v>
      </c>
      <c r="N516" s="291">
        <v>0.4</v>
      </c>
      <c r="O516" s="291">
        <v>0</v>
      </c>
      <c r="P516" s="291">
        <v>1078.2</v>
      </c>
      <c r="Q516" s="291">
        <v>1114.5999999999999</v>
      </c>
      <c r="R516" s="291"/>
      <c r="S516" s="291"/>
      <c r="T516" s="291">
        <v>3573.5</v>
      </c>
      <c r="U516" s="291">
        <v>12.7</v>
      </c>
      <c r="V516" s="291"/>
      <c r="W516" s="291"/>
      <c r="X516" s="291"/>
      <c r="Y516" s="291"/>
      <c r="Z516" s="291"/>
      <c r="AA516" s="61"/>
      <c r="AB516" s="291"/>
      <c r="AC516" s="61"/>
      <c r="AD516" s="291">
        <v>11.7</v>
      </c>
      <c r="AE516" s="61"/>
      <c r="AF516" s="61"/>
      <c r="AG516" s="61"/>
      <c r="AH516" s="61"/>
      <c r="AI516" s="61"/>
      <c r="AJ516" s="61"/>
      <c r="AK516" s="61"/>
      <c r="AL516" s="291">
        <v>24</v>
      </c>
      <c r="AM516" s="291">
        <v>22</v>
      </c>
      <c r="AN516" s="291">
        <v>16</v>
      </c>
      <c r="AO516" s="61"/>
      <c r="AP516" s="61"/>
      <c r="AQ516" s="61"/>
      <c r="AR516" s="61"/>
      <c r="AS516" s="292"/>
      <c r="AT516" s="206" t="str">
        <f t="shared" si="8"/>
        <v>44926-515</v>
      </c>
    </row>
    <row r="517" spans="1:46" x14ac:dyDescent="0.35">
      <c r="A517" s="204">
        <v>516</v>
      </c>
      <c r="B517" s="14" t="s">
        <v>83</v>
      </c>
      <c r="C517" s="1" t="s">
        <v>155</v>
      </c>
      <c r="D517" s="1" t="s">
        <v>161</v>
      </c>
      <c r="E517" s="12">
        <v>44926</v>
      </c>
      <c r="F517" s="291">
        <v>1.1000000000000001</v>
      </c>
      <c r="G517" s="291">
        <v>1.3</v>
      </c>
      <c r="H517" s="291">
        <v>0</v>
      </c>
      <c r="I517" s="291">
        <v>0</v>
      </c>
      <c r="J517" s="291">
        <v>0</v>
      </c>
      <c r="K517" s="291">
        <v>0</v>
      </c>
      <c r="L517" s="291"/>
      <c r="M517" s="291">
        <v>15.9</v>
      </c>
      <c r="N517" s="291">
        <v>0.3</v>
      </c>
      <c r="O517" s="291">
        <v>0</v>
      </c>
      <c r="P517" s="291">
        <v>1037.3</v>
      </c>
      <c r="Q517" s="291">
        <v>1087.0999999999999</v>
      </c>
      <c r="R517" s="291"/>
      <c r="S517" s="291"/>
      <c r="T517" s="291">
        <v>3449</v>
      </c>
      <c r="U517" s="291">
        <v>10.7</v>
      </c>
      <c r="V517" s="291"/>
      <c r="W517" s="291"/>
      <c r="X517" s="291"/>
      <c r="Y517" s="291"/>
      <c r="Z517" s="291"/>
      <c r="AA517" s="61"/>
      <c r="AB517" s="291"/>
      <c r="AC517" s="61"/>
      <c r="AD517" s="291">
        <v>25.2</v>
      </c>
      <c r="AE517" s="61"/>
      <c r="AF517" s="61"/>
      <c r="AG517" s="61"/>
      <c r="AH517" s="61"/>
      <c r="AI517" s="61"/>
      <c r="AJ517" s="61"/>
      <c r="AK517" s="61"/>
      <c r="AL517" s="291">
        <v>22</v>
      </c>
      <c r="AM517" s="291">
        <v>21</v>
      </c>
      <c r="AN517" s="291">
        <v>17</v>
      </c>
      <c r="AO517" s="61"/>
      <c r="AP517" s="61"/>
      <c r="AQ517" s="61"/>
      <c r="AR517" s="61"/>
      <c r="AS517" s="292"/>
      <c r="AT517" s="206" t="str">
        <f t="shared" si="8"/>
        <v>44926-516</v>
      </c>
    </row>
    <row r="518" spans="1:46" x14ac:dyDescent="0.35">
      <c r="A518" s="204">
        <v>517</v>
      </c>
      <c r="B518" s="14" t="s">
        <v>83</v>
      </c>
      <c r="C518" s="1" t="s">
        <v>155</v>
      </c>
      <c r="D518" s="1" t="s">
        <v>161</v>
      </c>
      <c r="E518" s="12">
        <v>44927</v>
      </c>
      <c r="F518" s="291">
        <v>1.1000000000000001</v>
      </c>
      <c r="G518" s="291">
        <v>1.3</v>
      </c>
      <c r="H518" s="291">
        <v>0</v>
      </c>
      <c r="I518" s="291">
        <v>0</v>
      </c>
      <c r="J518" s="291">
        <v>0</v>
      </c>
      <c r="K518" s="291">
        <v>0</v>
      </c>
      <c r="L518" s="291"/>
      <c r="M518" s="291">
        <v>15.4</v>
      </c>
      <c r="N518" s="291">
        <v>0.5</v>
      </c>
      <c r="O518" s="291">
        <v>0</v>
      </c>
      <c r="P518" s="291">
        <v>1068.8</v>
      </c>
      <c r="Q518" s="291">
        <v>1105.3</v>
      </c>
      <c r="R518" s="291"/>
      <c r="S518" s="291"/>
      <c r="T518" s="291">
        <v>3541.6</v>
      </c>
      <c r="U518" s="291">
        <v>12.5</v>
      </c>
      <c r="V518" s="291"/>
      <c r="W518" s="291"/>
      <c r="X518" s="291"/>
      <c r="Y518" s="291"/>
      <c r="Z518" s="291"/>
      <c r="AA518" s="61"/>
      <c r="AB518" s="291"/>
      <c r="AC518" s="61"/>
      <c r="AD518" s="291">
        <v>24.9</v>
      </c>
      <c r="AE518" s="61"/>
      <c r="AF518" s="61"/>
      <c r="AG518" s="61"/>
      <c r="AH518" s="61"/>
      <c r="AI518" s="61"/>
      <c r="AJ518" s="61"/>
      <c r="AK518" s="61"/>
      <c r="AL518" s="291">
        <v>21</v>
      </c>
      <c r="AM518" s="291">
        <v>19</v>
      </c>
      <c r="AN518" s="291">
        <v>15</v>
      </c>
      <c r="AO518" s="61"/>
      <c r="AP518" s="61"/>
      <c r="AQ518" s="61"/>
      <c r="AR518" s="61"/>
      <c r="AS518" s="292"/>
      <c r="AT518" s="206" t="str">
        <f t="shared" si="8"/>
        <v>44927-517</v>
      </c>
    </row>
    <row r="519" spans="1:46" x14ac:dyDescent="0.35">
      <c r="A519" s="204">
        <v>518</v>
      </c>
      <c r="B519" s="14" t="s">
        <v>83</v>
      </c>
      <c r="C519" s="1" t="s">
        <v>198</v>
      </c>
      <c r="D519" s="1" t="s">
        <v>161</v>
      </c>
      <c r="E519" s="12">
        <v>44927</v>
      </c>
      <c r="F519" s="291">
        <v>1.2</v>
      </c>
      <c r="G519" s="291">
        <v>1.2</v>
      </c>
      <c r="H519" s="291">
        <v>0</v>
      </c>
      <c r="I519" s="291">
        <v>0</v>
      </c>
      <c r="J519" s="291">
        <v>0</v>
      </c>
      <c r="K519" s="291">
        <v>0</v>
      </c>
      <c r="L519" s="291"/>
      <c r="M519" s="291">
        <v>15.9</v>
      </c>
      <c r="N519" s="291">
        <v>0.9</v>
      </c>
      <c r="O519" s="291">
        <v>0</v>
      </c>
      <c r="P519" s="291">
        <v>1131</v>
      </c>
      <c r="Q519" s="291">
        <v>1154.8</v>
      </c>
      <c r="R519" s="291"/>
      <c r="S519" s="291"/>
      <c r="T519" s="291">
        <v>3774.4</v>
      </c>
      <c r="U519" s="291">
        <v>13.8</v>
      </c>
      <c r="V519" s="291"/>
      <c r="W519" s="291"/>
      <c r="X519" s="291"/>
      <c r="Y519" s="291"/>
      <c r="Z519" s="291"/>
      <c r="AA519" s="61"/>
      <c r="AB519" s="291"/>
      <c r="AC519" s="61"/>
      <c r="AD519" s="291">
        <v>11.7</v>
      </c>
      <c r="AE519" s="61"/>
      <c r="AF519" s="61"/>
      <c r="AG519" s="61"/>
      <c r="AH519" s="61"/>
      <c r="AI519" s="61"/>
      <c r="AJ519" s="61"/>
      <c r="AK519" s="61"/>
      <c r="AL519" s="291">
        <v>24</v>
      </c>
      <c r="AM519" s="291">
        <v>23</v>
      </c>
      <c r="AN519" s="291">
        <v>15</v>
      </c>
      <c r="AO519" s="61"/>
      <c r="AP519" s="61"/>
      <c r="AQ519" s="61"/>
      <c r="AR519" s="61"/>
      <c r="AS519" s="292"/>
      <c r="AT519" s="206" t="str">
        <f t="shared" si="8"/>
        <v>44927-518</v>
      </c>
    </row>
    <row r="520" spans="1:46" x14ac:dyDescent="0.35">
      <c r="A520" s="204">
        <v>519</v>
      </c>
      <c r="B520" s="14" t="s">
        <v>83</v>
      </c>
      <c r="C520" s="1" t="s">
        <v>152</v>
      </c>
      <c r="D520" s="1" t="s">
        <v>161</v>
      </c>
      <c r="E520" s="12">
        <v>44927</v>
      </c>
      <c r="F520" s="291">
        <v>1.2</v>
      </c>
      <c r="G520" s="291">
        <v>1</v>
      </c>
      <c r="H520" s="291">
        <v>0</v>
      </c>
      <c r="I520" s="291">
        <v>0</v>
      </c>
      <c r="J520" s="291">
        <v>0</v>
      </c>
      <c r="K520" s="291">
        <v>0</v>
      </c>
      <c r="L520" s="291"/>
      <c r="M520" s="291">
        <v>14.2</v>
      </c>
      <c r="N520" s="291">
        <v>0.3</v>
      </c>
      <c r="O520" s="291">
        <v>0</v>
      </c>
      <c r="P520" s="291">
        <v>1026.8</v>
      </c>
      <c r="Q520" s="291">
        <v>1098.2</v>
      </c>
      <c r="R520" s="291"/>
      <c r="S520" s="291"/>
      <c r="T520" s="291">
        <v>3536.7</v>
      </c>
      <c r="U520" s="291">
        <v>11.6</v>
      </c>
      <c r="V520" s="291"/>
      <c r="W520" s="291"/>
      <c r="X520" s="291"/>
      <c r="Y520" s="291"/>
      <c r="Z520" s="291"/>
      <c r="AA520" s="61"/>
      <c r="AB520" s="291"/>
      <c r="AC520" s="61"/>
      <c r="AD520" s="291">
        <v>6.1</v>
      </c>
      <c r="AE520" s="61"/>
      <c r="AF520" s="61"/>
      <c r="AG520" s="61"/>
      <c r="AH520" s="61"/>
      <c r="AI520" s="61"/>
      <c r="AJ520" s="61"/>
      <c r="AK520" s="61"/>
      <c r="AL520" s="291">
        <v>24</v>
      </c>
      <c r="AM520" s="291">
        <v>22</v>
      </c>
      <c r="AN520" s="291">
        <v>16</v>
      </c>
      <c r="AO520" s="61"/>
      <c r="AP520" s="61"/>
      <c r="AQ520" s="61"/>
      <c r="AR520" s="61"/>
      <c r="AS520" s="292"/>
      <c r="AT520" s="206" t="str">
        <f t="shared" si="8"/>
        <v>44927-519</v>
      </c>
    </row>
    <row r="521" spans="1:46" x14ac:dyDescent="0.35">
      <c r="A521" s="204">
        <v>520</v>
      </c>
      <c r="B521" s="14" t="s">
        <v>83</v>
      </c>
      <c r="C521" s="1" t="s">
        <v>152</v>
      </c>
      <c r="D521" s="1" t="s">
        <v>161</v>
      </c>
      <c r="E521" s="12">
        <v>44932</v>
      </c>
      <c r="F521" s="291">
        <v>1.4</v>
      </c>
      <c r="G521" s="291">
        <v>0.7</v>
      </c>
      <c r="H521" s="291">
        <v>0</v>
      </c>
      <c r="I521" s="291">
        <v>0</v>
      </c>
      <c r="J521" s="291">
        <v>0</v>
      </c>
      <c r="K521" s="291">
        <v>0</v>
      </c>
      <c r="L521" s="291"/>
      <c r="M521" s="291">
        <v>14.8</v>
      </c>
      <c r="N521" s="291">
        <v>0.7</v>
      </c>
      <c r="O521" s="291">
        <v>0.5</v>
      </c>
      <c r="P521" s="291">
        <v>1037.0999999999999</v>
      </c>
      <c r="Q521" s="291">
        <v>1104.8</v>
      </c>
      <c r="R521" s="291"/>
      <c r="S521" s="291"/>
      <c r="T521" s="291">
        <v>3577.8</v>
      </c>
      <c r="U521" s="291">
        <v>11</v>
      </c>
      <c r="V521" s="291"/>
      <c r="W521" s="291"/>
      <c r="X521" s="291"/>
      <c r="Y521" s="291"/>
      <c r="Z521" s="291"/>
      <c r="AA521" s="61"/>
      <c r="AB521" s="291"/>
      <c r="AC521" s="61"/>
      <c r="AD521" s="291">
        <v>6.1</v>
      </c>
      <c r="AE521" s="61"/>
      <c r="AF521" s="61"/>
      <c r="AG521" s="61"/>
      <c r="AH521" s="61"/>
      <c r="AI521" s="61"/>
      <c r="AJ521" s="61"/>
      <c r="AK521" s="61"/>
      <c r="AL521" s="291">
        <v>24</v>
      </c>
      <c r="AM521" s="291">
        <v>23</v>
      </c>
      <c r="AN521" s="291">
        <v>16</v>
      </c>
      <c r="AO521" s="61"/>
      <c r="AP521" s="61"/>
      <c r="AQ521" s="61"/>
      <c r="AR521" s="61"/>
      <c r="AS521" s="292"/>
      <c r="AT521" s="206" t="str">
        <f t="shared" si="8"/>
        <v>44932-520</v>
      </c>
    </row>
    <row r="522" spans="1:46" x14ac:dyDescent="0.35">
      <c r="A522" s="204">
        <v>521</v>
      </c>
      <c r="B522" s="14" t="s">
        <v>83</v>
      </c>
      <c r="C522" s="1" t="s">
        <v>160</v>
      </c>
      <c r="D522" s="1" t="s">
        <v>161</v>
      </c>
      <c r="E522" s="12">
        <v>44932</v>
      </c>
      <c r="F522" s="291">
        <v>1.7</v>
      </c>
      <c r="G522" s="291">
        <v>1</v>
      </c>
      <c r="H522" s="291">
        <v>0</v>
      </c>
      <c r="I522" s="291">
        <v>0</v>
      </c>
      <c r="J522" s="291">
        <v>0</v>
      </c>
      <c r="K522" s="291">
        <v>0</v>
      </c>
      <c r="L522" s="291"/>
      <c r="M522" s="291">
        <v>4.9000000000000004</v>
      </c>
      <c r="N522" s="291">
        <v>0</v>
      </c>
      <c r="O522" s="291">
        <v>1.6</v>
      </c>
      <c r="P522" s="291">
        <v>1245.0999999999999</v>
      </c>
      <c r="Q522" s="291">
        <v>1418.7</v>
      </c>
      <c r="R522" s="291"/>
      <c r="S522" s="291"/>
      <c r="T522" s="291">
        <v>2411.9</v>
      </c>
      <c r="U522" s="291">
        <v>485.5</v>
      </c>
      <c r="V522" s="291"/>
      <c r="W522" s="291"/>
      <c r="X522" s="291"/>
      <c r="Y522" s="291"/>
      <c r="Z522" s="291"/>
      <c r="AA522" s="61"/>
      <c r="AB522" s="291"/>
      <c r="AC522" s="61"/>
      <c r="AD522" s="291">
        <v>15.6</v>
      </c>
      <c r="AE522" s="61"/>
      <c r="AF522" s="61"/>
      <c r="AG522" s="61"/>
      <c r="AH522" s="61"/>
      <c r="AI522" s="61"/>
      <c r="AJ522" s="61"/>
      <c r="AK522" s="61"/>
      <c r="AL522" s="291">
        <v>22</v>
      </c>
      <c r="AM522" s="291">
        <v>20</v>
      </c>
      <c r="AN522" s="291">
        <v>15</v>
      </c>
      <c r="AO522" s="61"/>
      <c r="AP522" s="61"/>
      <c r="AQ522" s="61"/>
      <c r="AR522" s="61"/>
      <c r="AS522" s="292"/>
      <c r="AT522" s="206" t="str">
        <f t="shared" si="8"/>
        <v>44932-521</v>
      </c>
    </row>
    <row r="523" spans="1:46" x14ac:dyDescent="0.35">
      <c r="A523" s="204">
        <v>522</v>
      </c>
      <c r="B523" s="14" t="s">
        <v>83</v>
      </c>
      <c r="C523" s="1" t="s">
        <v>152</v>
      </c>
      <c r="D523" s="1" t="s">
        <v>161</v>
      </c>
      <c r="E523" s="12">
        <v>44932</v>
      </c>
      <c r="F523" s="291">
        <v>1.4</v>
      </c>
      <c r="G523" s="291">
        <v>0.9</v>
      </c>
      <c r="H523" s="291">
        <v>0</v>
      </c>
      <c r="I523" s="291">
        <v>0</v>
      </c>
      <c r="J523" s="291">
        <v>0</v>
      </c>
      <c r="K523" s="291">
        <v>0</v>
      </c>
      <c r="L523" s="291"/>
      <c r="M523" s="291">
        <v>14.4</v>
      </c>
      <c r="N523" s="291">
        <v>0.9</v>
      </c>
      <c r="O523" s="291">
        <v>0</v>
      </c>
      <c r="P523" s="291">
        <v>1046.7</v>
      </c>
      <c r="Q523" s="291">
        <v>1124.5999999999999</v>
      </c>
      <c r="R523" s="291"/>
      <c r="S523" s="291"/>
      <c r="T523" s="291">
        <v>3601.8</v>
      </c>
      <c r="U523" s="291">
        <v>11.3</v>
      </c>
      <c r="V523" s="291"/>
      <c r="W523" s="291"/>
      <c r="X523" s="291"/>
      <c r="Y523" s="291"/>
      <c r="Z523" s="291"/>
      <c r="AA523" s="61"/>
      <c r="AB523" s="291"/>
      <c r="AC523" s="61"/>
      <c r="AD523" s="291">
        <v>6.1</v>
      </c>
      <c r="AE523" s="61"/>
      <c r="AF523" s="61"/>
      <c r="AG523" s="61"/>
      <c r="AH523" s="61"/>
      <c r="AI523" s="61"/>
      <c r="AJ523" s="61"/>
      <c r="AK523" s="61"/>
      <c r="AL523" s="291">
        <v>24</v>
      </c>
      <c r="AM523" s="291">
        <v>23</v>
      </c>
      <c r="AN523" s="291">
        <v>16</v>
      </c>
      <c r="AO523" s="61"/>
      <c r="AP523" s="61"/>
      <c r="AQ523" s="61"/>
      <c r="AR523" s="61"/>
      <c r="AS523" s="292"/>
      <c r="AT523" s="206" t="str">
        <f t="shared" si="8"/>
        <v>44932-522</v>
      </c>
    </row>
    <row r="524" spans="1:46" x14ac:dyDescent="0.35">
      <c r="A524" s="204">
        <v>523</v>
      </c>
      <c r="B524" s="14" t="s">
        <v>83</v>
      </c>
      <c r="C524" s="1" t="s">
        <v>160</v>
      </c>
      <c r="D524" s="1" t="s">
        <v>161</v>
      </c>
      <c r="E524" s="12">
        <v>44933</v>
      </c>
      <c r="F524" s="291">
        <v>1.6</v>
      </c>
      <c r="G524" s="291">
        <v>1</v>
      </c>
      <c r="H524" s="291">
        <v>0</v>
      </c>
      <c r="I524" s="291">
        <v>0</v>
      </c>
      <c r="J524" s="291">
        <v>0</v>
      </c>
      <c r="K524" s="291">
        <v>0</v>
      </c>
      <c r="L524" s="291"/>
      <c r="M524" s="291">
        <v>6.1</v>
      </c>
      <c r="N524" s="291">
        <v>0</v>
      </c>
      <c r="O524" s="291">
        <v>1.4</v>
      </c>
      <c r="P524" s="291">
        <v>1249.2</v>
      </c>
      <c r="Q524" s="291">
        <v>1436.7</v>
      </c>
      <c r="R524" s="291"/>
      <c r="S524" s="291"/>
      <c r="T524" s="291">
        <v>2434.1</v>
      </c>
      <c r="U524" s="291">
        <v>487.4</v>
      </c>
      <c r="V524" s="291"/>
      <c r="W524" s="291"/>
      <c r="X524" s="291"/>
      <c r="Y524" s="291"/>
      <c r="Z524" s="291"/>
      <c r="AA524" s="61"/>
      <c r="AB524" s="291"/>
      <c r="AC524" s="61"/>
      <c r="AD524" s="291">
        <v>15.5</v>
      </c>
      <c r="AE524" s="61"/>
      <c r="AF524" s="61"/>
      <c r="AG524" s="61"/>
      <c r="AH524" s="61"/>
      <c r="AI524" s="61"/>
      <c r="AJ524" s="61"/>
      <c r="AK524" s="61"/>
      <c r="AL524" s="291">
        <v>22</v>
      </c>
      <c r="AM524" s="291">
        <v>20</v>
      </c>
      <c r="AN524" s="291">
        <v>14</v>
      </c>
      <c r="AO524" s="61"/>
      <c r="AP524" s="61"/>
      <c r="AQ524" s="61"/>
      <c r="AR524" s="61"/>
      <c r="AS524" s="292"/>
      <c r="AT524" s="206" t="str">
        <f t="shared" si="8"/>
        <v>44933-523</v>
      </c>
    </row>
    <row r="525" spans="1:46" x14ac:dyDescent="0.35">
      <c r="A525" s="204">
        <v>524</v>
      </c>
      <c r="B525" s="14" t="s">
        <v>83</v>
      </c>
      <c r="C525" s="1" t="s">
        <v>152</v>
      </c>
      <c r="D525" s="1" t="s">
        <v>161</v>
      </c>
      <c r="E525" s="12">
        <v>44933</v>
      </c>
      <c r="F525" s="291">
        <v>1.2</v>
      </c>
      <c r="G525" s="291">
        <v>0.8</v>
      </c>
      <c r="H525" s="291">
        <v>0</v>
      </c>
      <c r="I525" s="291">
        <v>0</v>
      </c>
      <c r="J525" s="291">
        <v>0</v>
      </c>
      <c r="K525" s="291">
        <v>0</v>
      </c>
      <c r="L525" s="291"/>
      <c r="M525" s="291">
        <v>15.2</v>
      </c>
      <c r="N525" s="291">
        <v>1.3</v>
      </c>
      <c r="O525" s="291">
        <v>0</v>
      </c>
      <c r="P525" s="291">
        <v>1068.5999999999999</v>
      </c>
      <c r="Q525" s="291">
        <v>1144.2</v>
      </c>
      <c r="R525" s="291"/>
      <c r="S525" s="291"/>
      <c r="T525" s="291">
        <v>3694.2</v>
      </c>
      <c r="U525" s="291">
        <v>11.8</v>
      </c>
      <c r="V525" s="291"/>
      <c r="W525" s="291"/>
      <c r="X525" s="291"/>
      <c r="Y525" s="291"/>
      <c r="Z525" s="291"/>
      <c r="AA525" s="61"/>
      <c r="AB525" s="291"/>
      <c r="AC525" s="61"/>
      <c r="AD525" s="291">
        <v>6.1</v>
      </c>
      <c r="AE525" s="61"/>
      <c r="AF525" s="61"/>
      <c r="AG525" s="61"/>
      <c r="AH525" s="61"/>
      <c r="AI525" s="61"/>
      <c r="AJ525" s="61"/>
      <c r="AK525" s="61"/>
      <c r="AL525" s="291">
        <v>24</v>
      </c>
      <c r="AM525" s="291">
        <v>22</v>
      </c>
      <c r="AN525" s="291">
        <v>15</v>
      </c>
      <c r="AO525" s="61"/>
      <c r="AP525" s="61"/>
      <c r="AQ525" s="61"/>
      <c r="AR525" s="61"/>
      <c r="AS525" s="292"/>
      <c r="AT525" s="206" t="str">
        <f t="shared" si="8"/>
        <v>44933-524</v>
      </c>
    </row>
    <row r="526" spans="1:46" x14ac:dyDescent="0.35">
      <c r="A526" s="204">
        <v>525</v>
      </c>
      <c r="B526" s="14" t="s">
        <v>83</v>
      </c>
      <c r="C526" s="1" t="s">
        <v>152</v>
      </c>
      <c r="D526" s="1" t="s">
        <v>161</v>
      </c>
      <c r="E526" s="12">
        <v>44933</v>
      </c>
      <c r="F526" s="291">
        <v>1.2</v>
      </c>
      <c r="G526" s="291">
        <v>0.8</v>
      </c>
      <c r="H526" s="291">
        <v>0</v>
      </c>
      <c r="I526" s="291">
        <v>0</v>
      </c>
      <c r="J526" s="291">
        <v>0</v>
      </c>
      <c r="K526" s="291">
        <v>0</v>
      </c>
      <c r="L526" s="291"/>
      <c r="M526" s="291">
        <v>14.7</v>
      </c>
      <c r="N526" s="291">
        <v>1</v>
      </c>
      <c r="O526" s="291">
        <v>0</v>
      </c>
      <c r="P526" s="291">
        <v>1084.8</v>
      </c>
      <c r="Q526" s="291">
        <v>1160.5999999999999</v>
      </c>
      <c r="R526" s="291"/>
      <c r="S526" s="291"/>
      <c r="T526" s="291">
        <v>3742.1</v>
      </c>
      <c r="U526" s="291">
        <v>11.8</v>
      </c>
      <c r="V526" s="291"/>
      <c r="W526" s="291"/>
      <c r="X526" s="291"/>
      <c r="Y526" s="291"/>
      <c r="Z526" s="291"/>
      <c r="AA526" s="61"/>
      <c r="AB526" s="291"/>
      <c r="AC526" s="61"/>
      <c r="AD526" s="291">
        <v>6.1</v>
      </c>
      <c r="AE526" s="61"/>
      <c r="AF526" s="61"/>
      <c r="AG526" s="61"/>
      <c r="AH526" s="61"/>
      <c r="AI526" s="61"/>
      <c r="AJ526" s="61"/>
      <c r="AK526" s="61"/>
      <c r="AL526" s="291">
        <v>24</v>
      </c>
      <c r="AM526" s="291">
        <v>22</v>
      </c>
      <c r="AN526" s="291">
        <v>15</v>
      </c>
      <c r="AO526" s="61"/>
      <c r="AP526" s="61"/>
      <c r="AQ526" s="61"/>
      <c r="AR526" s="61"/>
      <c r="AS526" s="292"/>
      <c r="AT526" s="206" t="str">
        <f t="shared" si="8"/>
        <v>44933-525</v>
      </c>
    </row>
    <row r="527" spans="1:46" x14ac:dyDescent="0.35">
      <c r="A527" s="204">
        <v>526</v>
      </c>
      <c r="B527" s="14" t="s">
        <v>83</v>
      </c>
      <c r="C527" s="1" t="s">
        <v>245</v>
      </c>
      <c r="D527" s="1" t="s">
        <v>161</v>
      </c>
      <c r="E527" s="12">
        <v>44935</v>
      </c>
      <c r="F527" s="201">
        <v>0.7</v>
      </c>
      <c r="G527" s="201">
        <v>0</v>
      </c>
      <c r="H527" s="201">
        <v>0</v>
      </c>
      <c r="I527" s="201">
        <v>0</v>
      </c>
      <c r="J527" s="201">
        <v>0.1</v>
      </c>
      <c r="K527" s="201">
        <v>0</v>
      </c>
      <c r="L527" s="201">
        <v>0</v>
      </c>
      <c r="M527" s="201">
        <v>27.4</v>
      </c>
      <c r="N527" s="201">
        <v>0</v>
      </c>
      <c r="O527" s="201">
        <v>0</v>
      </c>
      <c r="P527" s="201">
        <v>2.4</v>
      </c>
      <c r="Q527" s="201">
        <v>568.20000000000005</v>
      </c>
      <c r="R527" s="201">
        <v>0.5</v>
      </c>
      <c r="S527" s="201">
        <v>0</v>
      </c>
      <c r="T527" s="201">
        <v>3.1</v>
      </c>
      <c r="U527" s="201">
        <v>0</v>
      </c>
      <c r="V527" s="201">
        <v>0.1</v>
      </c>
      <c r="W527" s="201">
        <v>0</v>
      </c>
      <c r="X527" s="201">
        <v>0</v>
      </c>
      <c r="Y527" s="201">
        <v>0</v>
      </c>
      <c r="Z527" s="201"/>
      <c r="AA527" s="61"/>
      <c r="AB527" s="201"/>
      <c r="AC527" s="61">
        <v>3</v>
      </c>
      <c r="AD527" s="201">
        <v>79</v>
      </c>
      <c r="AE527" s="61">
        <v>691.8</v>
      </c>
      <c r="AF527" s="61">
        <v>0</v>
      </c>
      <c r="AG527" s="61"/>
      <c r="AH527" s="61"/>
      <c r="AI527" s="61"/>
      <c r="AJ527" s="61"/>
      <c r="AK527" s="61"/>
      <c r="AL527" s="291">
        <v>19</v>
      </c>
      <c r="AM527" s="201">
        <v>17</v>
      </c>
      <c r="AN527" s="201">
        <v>13</v>
      </c>
      <c r="AO527" s="61"/>
      <c r="AP527" s="61"/>
      <c r="AQ527" s="61"/>
      <c r="AR527" s="61"/>
      <c r="AS527" s="101" t="s">
        <v>263</v>
      </c>
      <c r="AT527" s="206" t="str">
        <f t="shared" si="8"/>
        <v>44935-526</v>
      </c>
    </row>
    <row r="528" spans="1:46" x14ac:dyDescent="0.35">
      <c r="A528" s="204">
        <v>527</v>
      </c>
      <c r="B528" s="14" t="s">
        <v>83</v>
      </c>
      <c r="C528" s="1" t="s">
        <v>245</v>
      </c>
      <c r="D528" s="1" t="s">
        <v>161</v>
      </c>
      <c r="E528" s="12">
        <v>44935</v>
      </c>
      <c r="F528" s="201">
        <v>0.3</v>
      </c>
      <c r="G528" s="201">
        <v>0</v>
      </c>
      <c r="H528" s="201">
        <v>0</v>
      </c>
      <c r="I528" s="201">
        <v>0</v>
      </c>
      <c r="J528" s="201">
        <v>0</v>
      </c>
      <c r="K528" s="201">
        <v>0</v>
      </c>
      <c r="L528" s="201">
        <v>0.1</v>
      </c>
      <c r="M528" s="201">
        <v>26.4</v>
      </c>
      <c r="N528" s="201">
        <v>0</v>
      </c>
      <c r="O528" s="201">
        <v>0.1</v>
      </c>
      <c r="P528" s="201">
        <v>1.3</v>
      </c>
      <c r="Q528" s="201">
        <v>562.4</v>
      </c>
      <c r="R528" s="201">
        <v>0.5</v>
      </c>
      <c r="S528" s="201">
        <v>0</v>
      </c>
      <c r="T528" s="201">
        <v>1.8</v>
      </c>
      <c r="U528" s="201">
        <v>0</v>
      </c>
      <c r="V528" s="201">
        <v>0.1</v>
      </c>
      <c r="W528" s="201">
        <v>0</v>
      </c>
      <c r="X528" s="201">
        <v>0</v>
      </c>
      <c r="Y528" s="201">
        <v>0</v>
      </c>
      <c r="Z528" s="201"/>
      <c r="AA528" s="61"/>
      <c r="AB528" s="201"/>
      <c r="AC528" s="61">
        <v>3</v>
      </c>
      <c r="AD528" s="201">
        <v>78.8</v>
      </c>
      <c r="AE528" s="61">
        <v>692.7</v>
      </c>
      <c r="AF528" s="61">
        <v>0</v>
      </c>
      <c r="AG528" s="61"/>
      <c r="AH528" s="61"/>
      <c r="AI528" s="61"/>
      <c r="AJ528" s="61"/>
      <c r="AK528" s="61"/>
      <c r="AL528" s="291">
        <v>19</v>
      </c>
      <c r="AM528" s="201">
        <v>18</v>
      </c>
      <c r="AN528" s="201">
        <v>13</v>
      </c>
      <c r="AO528" s="61"/>
      <c r="AP528" s="61"/>
      <c r="AQ528" s="61"/>
      <c r="AR528" s="61"/>
      <c r="AS528" s="101" t="s">
        <v>264</v>
      </c>
      <c r="AT528" s="206" t="str">
        <f t="shared" si="8"/>
        <v>44935-527</v>
      </c>
    </row>
    <row r="529" spans="1:46" x14ac:dyDescent="0.35">
      <c r="A529" s="204">
        <v>528</v>
      </c>
      <c r="B529" s="14" t="s">
        <v>82</v>
      </c>
      <c r="C529" s="1" t="s">
        <v>152</v>
      </c>
      <c r="D529" s="1" t="s">
        <v>147</v>
      </c>
      <c r="E529" s="12">
        <v>44936</v>
      </c>
      <c r="F529" s="201">
        <v>1</v>
      </c>
      <c r="G529" s="201">
        <v>1</v>
      </c>
      <c r="H529" s="201">
        <v>0</v>
      </c>
      <c r="I529" s="201">
        <v>0</v>
      </c>
      <c r="J529" s="201">
        <v>0</v>
      </c>
      <c r="K529" s="201">
        <v>0</v>
      </c>
      <c r="L529" s="201">
        <v>0</v>
      </c>
      <c r="M529" s="201">
        <v>15</v>
      </c>
      <c r="N529" s="201">
        <v>2</v>
      </c>
      <c r="O529" s="201">
        <v>0</v>
      </c>
      <c r="P529" s="201">
        <v>1352</v>
      </c>
      <c r="Q529" s="201">
        <v>961</v>
      </c>
      <c r="R529" s="201">
        <v>0</v>
      </c>
      <c r="S529" s="201">
        <v>0</v>
      </c>
      <c r="T529" s="201">
        <v>3179</v>
      </c>
      <c r="U529" s="201">
        <v>15</v>
      </c>
      <c r="V529" s="201">
        <v>1</v>
      </c>
      <c r="W529" s="201">
        <v>0</v>
      </c>
      <c r="X529" s="201">
        <v>1</v>
      </c>
      <c r="Y529" s="201">
        <v>0</v>
      </c>
      <c r="Z529" s="201"/>
      <c r="AA529" s="61">
        <v>0</v>
      </c>
      <c r="AB529" s="201">
        <v>0</v>
      </c>
      <c r="AC529" s="61">
        <v>0</v>
      </c>
      <c r="AD529" s="201">
        <v>6.2</v>
      </c>
      <c r="AE529" s="61">
        <v>37</v>
      </c>
      <c r="AF529" s="61">
        <v>6.5</v>
      </c>
      <c r="AG529" s="61">
        <v>14.6</v>
      </c>
      <c r="AH529" s="61">
        <v>3.6</v>
      </c>
      <c r="AI529" s="61"/>
      <c r="AJ529" s="61"/>
      <c r="AK529" s="61">
        <v>1.9</v>
      </c>
      <c r="AL529" s="291">
        <v>23</v>
      </c>
      <c r="AM529" s="201">
        <v>22</v>
      </c>
      <c r="AN529" s="201">
        <v>15</v>
      </c>
      <c r="AO529" s="61">
        <v>0</v>
      </c>
      <c r="AP529" s="61">
        <v>10.8</v>
      </c>
      <c r="AQ529" s="61"/>
      <c r="AR529" s="61"/>
      <c r="AS529" s="101"/>
      <c r="AT529" s="206" t="str">
        <f t="shared" si="8"/>
        <v>44936-528</v>
      </c>
    </row>
    <row r="530" spans="1:46" x14ac:dyDescent="0.35">
      <c r="A530" s="204">
        <v>529</v>
      </c>
      <c r="B530" s="14" t="s">
        <v>82</v>
      </c>
      <c r="C530" s="1" t="s">
        <v>152</v>
      </c>
      <c r="D530" s="1" t="s">
        <v>147</v>
      </c>
      <c r="E530" s="12">
        <v>44936</v>
      </c>
      <c r="F530" s="201">
        <v>2</v>
      </c>
      <c r="G530" s="201">
        <v>1</v>
      </c>
      <c r="H530" s="201">
        <v>0</v>
      </c>
      <c r="I530" s="201">
        <v>0</v>
      </c>
      <c r="J530" s="201">
        <v>0</v>
      </c>
      <c r="K530" s="201">
        <v>0</v>
      </c>
      <c r="L530" s="201">
        <v>0</v>
      </c>
      <c r="M530" s="201">
        <v>14</v>
      </c>
      <c r="N530" s="201">
        <v>2</v>
      </c>
      <c r="O530" s="201">
        <v>0</v>
      </c>
      <c r="P530" s="201">
        <v>1305</v>
      </c>
      <c r="Q530" s="201">
        <v>1004</v>
      </c>
      <c r="R530" s="201">
        <v>0</v>
      </c>
      <c r="S530" s="201">
        <v>0</v>
      </c>
      <c r="T530" s="201">
        <v>3369</v>
      </c>
      <c r="U530" s="201">
        <v>13</v>
      </c>
      <c r="V530" s="201">
        <v>1</v>
      </c>
      <c r="W530" s="201">
        <v>0</v>
      </c>
      <c r="X530" s="201">
        <v>1</v>
      </c>
      <c r="Y530" s="201">
        <v>0</v>
      </c>
      <c r="Z530" s="201"/>
      <c r="AA530" s="61">
        <v>0</v>
      </c>
      <c r="AB530" s="201">
        <v>0</v>
      </c>
      <c r="AC530" s="61">
        <v>0</v>
      </c>
      <c r="AD530" s="201">
        <v>6.2</v>
      </c>
      <c r="AE530" s="61">
        <v>37</v>
      </c>
      <c r="AF530" s="61">
        <v>6.4</v>
      </c>
      <c r="AG530" s="61">
        <v>14.5</v>
      </c>
      <c r="AH530" s="61">
        <v>3.6</v>
      </c>
      <c r="AI530" s="61"/>
      <c r="AJ530" s="61"/>
      <c r="AK530" s="61">
        <v>2</v>
      </c>
      <c r="AL530" s="291">
        <v>23</v>
      </c>
      <c r="AM530" s="201">
        <v>22</v>
      </c>
      <c r="AN530" s="201">
        <v>15</v>
      </c>
      <c r="AO530" s="61">
        <v>0</v>
      </c>
      <c r="AP530" s="61">
        <v>10.7</v>
      </c>
      <c r="AQ530" s="61"/>
      <c r="AR530" s="61"/>
      <c r="AS530" s="101"/>
      <c r="AT530" s="206" t="str">
        <f t="shared" si="8"/>
        <v>44936-529</v>
      </c>
    </row>
    <row r="531" spans="1:46" x14ac:dyDescent="0.35">
      <c r="A531" s="204">
        <v>530</v>
      </c>
      <c r="B531" s="14" t="s">
        <v>83</v>
      </c>
      <c r="C531" s="1" t="s">
        <v>152</v>
      </c>
      <c r="D531" s="1" t="s">
        <v>161</v>
      </c>
      <c r="E531" s="12">
        <v>44941</v>
      </c>
      <c r="F531" s="291">
        <v>1.818770969</v>
      </c>
      <c r="G531" s="291">
        <v>0.85810166980000002</v>
      </c>
      <c r="H531" s="291">
        <v>0</v>
      </c>
      <c r="I531" s="291">
        <v>0</v>
      </c>
      <c r="J531" s="291">
        <v>0</v>
      </c>
      <c r="K531" s="291">
        <v>0</v>
      </c>
      <c r="L531" s="291"/>
      <c r="M531" s="291">
        <v>14.92099816</v>
      </c>
      <c r="N531" s="291">
        <v>1.466247028</v>
      </c>
      <c r="O531" s="291">
        <v>0</v>
      </c>
      <c r="P531" s="291">
        <v>1014.015823</v>
      </c>
      <c r="Q531" s="291">
        <v>1124.8278869999999</v>
      </c>
      <c r="R531" s="291"/>
      <c r="S531" s="291"/>
      <c r="T531" s="291">
        <v>3579.6861549999999</v>
      </c>
      <c r="U531" s="291">
        <v>11.309188130000001</v>
      </c>
      <c r="V531" s="291"/>
      <c r="W531" s="291"/>
      <c r="X531" s="291"/>
      <c r="Y531" s="291"/>
      <c r="Z531" s="291"/>
      <c r="AA531" s="61"/>
      <c r="AB531" s="291"/>
      <c r="AC531" s="61"/>
      <c r="AD531" s="291">
        <v>6.1</v>
      </c>
      <c r="AE531" s="61"/>
      <c r="AF531" s="61"/>
      <c r="AG531" s="61"/>
      <c r="AH531" s="61"/>
      <c r="AI531" s="61"/>
      <c r="AJ531" s="61"/>
      <c r="AK531" s="61"/>
      <c r="AL531" s="291">
        <v>24</v>
      </c>
      <c r="AM531" s="291">
        <v>22</v>
      </c>
      <c r="AN531" s="291">
        <v>15</v>
      </c>
      <c r="AO531" s="61"/>
      <c r="AP531" s="61"/>
      <c r="AQ531" s="61"/>
      <c r="AR531" s="61"/>
      <c r="AS531" s="292"/>
      <c r="AT531" s="206" t="str">
        <f t="shared" si="8"/>
        <v>44941-530</v>
      </c>
    </row>
    <row r="532" spans="1:46" x14ac:dyDescent="0.35">
      <c r="A532" s="204">
        <v>531</v>
      </c>
      <c r="B532" s="14" t="s">
        <v>83</v>
      </c>
      <c r="C532" s="1" t="s">
        <v>160</v>
      </c>
      <c r="D532" s="1" t="s">
        <v>161</v>
      </c>
      <c r="E532" s="12">
        <v>44941</v>
      </c>
      <c r="F532" s="291">
        <v>1.900947905</v>
      </c>
      <c r="G532" s="291">
        <v>1.4622004289999999</v>
      </c>
      <c r="H532" s="291">
        <v>1.064249219E-2</v>
      </c>
      <c r="I532" s="291">
        <v>0</v>
      </c>
      <c r="J532" s="291">
        <v>0</v>
      </c>
      <c r="K532" s="291">
        <v>3.2122651320000001E-2</v>
      </c>
      <c r="L532" s="291"/>
      <c r="M532" s="291">
        <v>5.4621223700000003</v>
      </c>
      <c r="N532" s="291">
        <v>0</v>
      </c>
      <c r="O532" s="291">
        <v>1.372482676</v>
      </c>
      <c r="P532" s="291">
        <v>1184.7956260000001</v>
      </c>
      <c r="Q532" s="291">
        <v>1419.664125</v>
      </c>
      <c r="R532" s="291"/>
      <c r="S532" s="291"/>
      <c r="T532" s="291">
        <v>2404.0857660000001</v>
      </c>
      <c r="U532" s="291">
        <v>484.5502654</v>
      </c>
      <c r="V532" s="291"/>
      <c r="W532" s="291"/>
      <c r="X532" s="291"/>
      <c r="Y532" s="291"/>
      <c r="Z532" s="291"/>
      <c r="AA532" s="61"/>
      <c r="AB532" s="291"/>
      <c r="AC532" s="61"/>
      <c r="AD532" s="291">
        <v>15.4</v>
      </c>
      <c r="AE532" s="61"/>
      <c r="AF532" s="61"/>
      <c r="AG532" s="61"/>
      <c r="AH532" s="61"/>
      <c r="AI532" s="61"/>
      <c r="AJ532" s="61"/>
      <c r="AK532" s="61"/>
      <c r="AL532" s="291">
        <v>22</v>
      </c>
      <c r="AM532" s="291">
        <v>20</v>
      </c>
      <c r="AN532" s="291">
        <v>14</v>
      </c>
      <c r="AO532" s="61"/>
      <c r="AP532" s="61"/>
      <c r="AQ532" s="61"/>
      <c r="AR532" s="61"/>
      <c r="AS532" s="292"/>
      <c r="AT532" s="206" t="str">
        <f t="shared" si="8"/>
        <v>44941-531</v>
      </c>
    </row>
    <row r="533" spans="1:46" x14ac:dyDescent="0.35">
      <c r="A533" s="204">
        <v>532</v>
      </c>
      <c r="B533" s="14" t="s">
        <v>82</v>
      </c>
      <c r="C533" s="1" t="s">
        <v>152</v>
      </c>
      <c r="D533" s="1" t="s">
        <v>147</v>
      </c>
      <c r="E533" s="12">
        <v>44942</v>
      </c>
      <c r="F533" s="201">
        <v>2</v>
      </c>
      <c r="G533" s="201">
        <v>1</v>
      </c>
      <c r="H533" s="201">
        <v>0</v>
      </c>
      <c r="I533" s="201">
        <v>0</v>
      </c>
      <c r="J533" s="201">
        <v>0</v>
      </c>
      <c r="K533" s="201">
        <v>0</v>
      </c>
      <c r="L533" s="201">
        <v>1</v>
      </c>
      <c r="M533" s="201">
        <v>15</v>
      </c>
      <c r="N533" s="201">
        <v>0</v>
      </c>
      <c r="O533" s="201">
        <v>0</v>
      </c>
      <c r="P533" s="201">
        <v>1097</v>
      </c>
      <c r="Q533" s="201">
        <v>907</v>
      </c>
      <c r="R533" s="201">
        <v>0</v>
      </c>
      <c r="S533" s="201">
        <v>0</v>
      </c>
      <c r="T533" s="201">
        <v>3488</v>
      </c>
      <c r="U533" s="201">
        <v>12</v>
      </c>
      <c r="V533" s="201">
        <v>0</v>
      </c>
      <c r="W533" s="201">
        <v>0</v>
      </c>
      <c r="X533" s="201">
        <v>0</v>
      </c>
      <c r="Y533" s="201">
        <v>0</v>
      </c>
      <c r="Z533" s="201"/>
      <c r="AA533" s="61">
        <v>0</v>
      </c>
      <c r="AB533" s="201">
        <v>0</v>
      </c>
      <c r="AC533" s="61">
        <v>0</v>
      </c>
      <c r="AD533" s="201">
        <v>6.1</v>
      </c>
      <c r="AE533" s="61">
        <v>39</v>
      </c>
      <c r="AF533" s="61">
        <v>6.7</v>
      </c>
      <c r="AG533" s="61">
        <v>14.6</v>
      </c>
      <c r="AH533" s="61">
        <v>3.8</v>
      </c>
      <c r="AI533" s="61"/>
      <c r="AJ533" s="61"/>
      <c r="AK533" s="61">
        <v>1.7</v>
      </c>
      <c r="AL533" s="291">
        <v>23</v>
      </c>
      <c r="AM533" s="201">
        <v>22</v>
      </c>
      <c r="AN533" s="201">
        <v>15</v>
      </c>
      <c r="AO533" s="61">
        <v>0</v>
      </c>
      <c r="AP533" s="61">
        <v>11</v>
      </c>
      <c r="AQ533" s="61"/>
      <c r="AR533" s="61"/>
      <c r="AS533" s="101"/>
      <c r="AT533" s="206" t="str">
        <f t="shared" si="8"/>
        <v>44942-532</v>
      </c>
    </row>
    <row r="534" spans="1:46" x14ac:dyDescent="0.35">
      <c r="A534" s="204">
        <v>533</v>
      </c>
      <c r="B534" s="14" t="s">
        <v>82</v>
      </c>
      <c r="C534" s="1" t="s">
        <v>152</v>
      </c>
      <c r="D534" s="1" t="s">
        <v>147</v>
      </c>
      <c r="E534" s="12">
        <v>44942</v>
      </c>
      <c r="F534" s="201">
        <v>1</v>
      </c>
      <c r="G534" s="201">
        <v>1</v>
      </c>
      <c r="H534" s="201">
        <v>0</v>
      </c>
      <c r="I534" s="201">
        <v>0</v>
      </c>
      <c r="J534" s="201">
        <v>0</v>
      </c>
      <c r="K534" s="201">
        <v>0</v>
      </c>
      <c r="L534" s="201">
        <v>0</v>
      </c>
      <c r="M534" s="201">
        <v>15</v>
      </c>
      <c r="N534" s="201">
        <v>0</v>
      </c>
      <c r="O534" s="201">
        <v>0</v>
      </c>
      <c r="P534" s="201">
        <v>1095</v>
      </c>
      <c r="Q534" s="201">
        <v>913</v>
      </c>
      <c r="R534" s="201">
        <v>0</v>
      </c>
      <c r="S534" s="201">
        <v>0</v>
      </c>
      <c r="T534" s="201">
        <v>3528</v>
      </c>
      <c r="U534" s="201">
        <v>11</v>
      </c>
      <c r="V534" s="201">
        <v>0</v>
      </c>
      <c r="W534" s="201">
        <v>0</v>
      </c>
      <c r="X534" s="201">
        <v>0</v>
      </c>
      <c r="Y534" s="201">
        <v>0</v>
      </c>
      <c r="Z534" s="201"/>
      <c r="AA534" s="61">
        <v>0</v>
      </c>
      <c r="AB534" s="201">
        <v>0</v>
      </c>
      <c r="AC534" s="61">
        <v>0</v>
      </c>
      <c r="AD534" s="201">
        <v>6.1</v>
      </c>
      <c r="AE534" s="61">
        <v>38</v>
      </c>
      <c r="AF534" s="61">
        <v>6.4</v>
      </c>
      <c r="AG534" s="61">
        <v>14.6</v>
      </c>
      <c r="AH534" s="61">
        <v>3.6</v>
      </c>
      <c r="AI534" s="61"/>
      <c r="AJ534" s="61"/>
      <c r="AK534" s="61">
        <v>1.9</v>
      </c>
      <c r="AL534" s="291">
        <v>23</v>
      </c>
      <c r="AM534" s="201">
        <v>22</v>
      </c>
      <c r="AN534" s="201">
        <v>15</v>
      </c>
      <c r="AO534" s="61">
        <v>0</v>
      </c>
      <c r="AP534" s="61">
        <v>11</v>
      </c>
      <c r="AQ534" s="61"/>
      <c r="AR534" s="61"/>
      <c r="AS534" s="101"/>
      <c r="AT534" s="206" t="str">
        <f t="shared" si="8"/>
        <v>44942-533</v>
      </c>
    </row>
    <row r="535" spans="1:46" x14ac:dyDescent="0.35">
      <c r="A535" s="204">
        <v>534</v>
      </c>
      <c r="B535" s="14" t="s">
        <v>83</v>
      </c>
      <c r="C535" s="1" t="s">
        <v>152</v>
      </c>
      <c r="D535" s="1" t="s">
        <v>161</v>
      </c>
      <c r="E535" s="12">
        <v>44942</v>
      </c>
      <c r="F535" s="291">
        <v>1.36912145</v>
      </c>
      <c r="G535" s="291">
        <v>1.0871729720000001</v>
      </c>
      <c r="H535" s="291">
        <v>0</v>
      </c>
      <c r="I535" s="291">
        <v>0</v>
      </c>
      <c r="J535" s="291">
        <v>0</v>
      </c>
      <c r="K535" s="291">
        <v>4.0223323970000002E-2</v>
      </c>
      <c r="L535" s="291"/>
      <c r="M535" s="291">
        <v>14.40456794</v>
      </c>
      <c r="N535" s="291">
        <v>1.2795067360000001</v>
      </c>
      <c r="O535" s="291">
        <v>0</v>
      </c>
      <c r="P535" s="291">
        <v>1026.1864840000001</v>
      </c>
      <c r="Q535" s="291">
        <v>1130.378062</v>
      </c>
      <c r="R535" s="291"/>
      <c r="S535" s="291"/>
      <c r="T535" s="291">
        <v>3609.4139420000001</v>
      </c>
      <c r="U535" s="291">
        <v>12.548276209999999</v>
      </c>
      <c r="V535" s="291"/>
      <c r="W535" s="291"/>
      <c r="X535" s="291"/>
      <c r="Y535" s="291"/>
      <c r="Z535" s="291"/>
      <c r="AA535" s="61"/>
      <c r="AB535" s="291"/>
      <c r="AC535" s="61"/>
      <c r="AD535" s="291">
        <v>6.1</v>
      </c>
      <c r="AE535" s="61"/>
      <c r="AF535" s="61"/>
      <c r="AG535" s="61"/>
      <c r="AH535" s="61"/>
      <c r="AI535" s="61"/>
      <c r="AJ535" s="61"/>
      <c r="AK535" s="61"/>
      <c r="AL535" s="291">
        <v>24</v>
      </c>
      <c r="AM535" s="291">
        <v>22</v>
      </c>
      <c r="AN535" s="291">
        <v>15</v>
      </c>
      <c r="AO535" s="61"/>
      <c r="AP535" s="61"/>
      <c r="AQ535" s="61"/>
      <c r="AR535" s="61"/>
      <c r="AS535" s="292"/>
      <c r="AT535" s="206" t="str">
        <f t="shared" si="8"/>
        <v>44942-534</v>
      </c>
    </row>
    <row r="536" spans="1:46" x14ac:dyDescent="0.35">
      <c r="A536" s="204">
        <v>535</v>
      </c>
      <c r="B536" s="14" t="s">
        <v>83</v>
      </c>
      <c r="C536" s="1" t="s">
        <v>160</v>
      </c>
      <c r="D536" s="1" t="s">
        <v>161</v>
      </c>
      <c r="E536" s="12">
        <v>44942</v>
      </c>
      <c r="F536" s="291">
        <v>1.7249903230000001</v>
      </c>
      <c r="G536" s="291">
        <v>1.236481537</v>
      </c>
      <c r="H536" s="291">
        <v>0</v>
      </c>
      <c r="I536" s="291">
        <v>0</v>
      </c>
      <c r="J536" s="291">
        <v>0</v>
      </c>
      <c r="K536" s="291">
        <v>0</v>
      </c>
      <c r="L536" s="291"/>
      <c r="M536" s="291">
        <v>5.1404208740000001</v>
      </c>
      <c r="N536" s="291">
        <v>0.2297625865</v>
      </c>
      <c r="O536" s="291">
        <v>1.2510176749999999</v>
      </c>
      <c r="P536" s="291">
        <v>1211.897792</v>
      </c>
      <c r="Q536" s="291">
        <v>1436.62931</v>
      </c>
      <c r="R536" s="291"/>
      <c r="S536" s="291"/>
      <c r="T536" s="291">
        <v>2509.4139420000001</v>
      </c>
      <c r="U536" s="291">
        <v>487.2287182</v>
      </c>
      <c r="V536" s="291"/>
      <c r="W536" s="291"/>
      <c r="X536" s="291"/>
      <c r="Y536" s="291"/>
      <c r="Z536" s="291"/>
      <c r="AA536" s="61"/>
      <c r="AB536" s="291"/>
      <c r="AC536" s="61"/>
      <c r="AD536" s="291">
        <v>15.4</v>
      </c>
      <c r="AE536" s="61"/>
      <c r="AF536" s="61"/>
      <c r="AG536" s="61"/>
      <c r="AH536" s="61"/>
      <c r="AI536" s="61"/>
      <c r="AJ536" s="61"/>
      <c r="AK536" s="61"/>
      <c r="AL536" s="291">
        <v>23</v>
      </c>
      <c r="AM536" s="291">
        <v>21</v>
      </c>
      <c r="AN536" s="291">
        <v>15</v>
      </c>
      <c r="AO536" s="61"/>
      <c r="AP536" s="61"/>
      <c r="AQ536" s="61"/>
      <c r="AR536" s="61"/>
      <c r="AS536" s="292"/>
      <c r="AT536" s="206" t="str">
        <f t="shared" si="8"/>
        <v>44942-535</v>
      </c>
    </row>
    <row r="537" spans="1:46" x14ac:dyDescent="0.35">
      <c r="A537" s="204">
        <v>536</v>
      </c>
      <c r="B537" s="14" t="s">
        <v>83</v>
      </c>
      <c r="C537" s="1" t="s">
        <v>160</v>
      </c>
      <c r="D537" s="1" t="s">
        <v>161</v>
      </c>
      <c r="E537" s="12">
        <v>44944</v>
      </c>
      <c r="F537" s="291">
        <v>1.7296278540000001</v>
      </c>
      <c r="G537" s="291">
        <v>1.2925061179999999</v>
      </c>
      <c r="H537" s="291">
        <v>1.7331824289999999E-2</v>
      </c>
      <c r="I537" s="291">
        <v>0</v>
      </c>
      <c r="J537" s="291">
        <v>0</v>
      </c>
      <c r="K537" s="291">
        <v>0</v>
      </c>
      <c r="L537" s="291"/>
      <c r="M537" s="291">
        <v>6.5849339210000002</v>
      </c>
      <c r="N537" s="291">
        <v>0.3073534295</v>
      </c>
      <c r="O537" s="291">
        <v>7.8565084239999999E-2</v>
      </c>
      <c r="P537" s="291">
        <v>1183.7050710000001</v>
      </c>
      <c r="Q537" s="291">
        <v>1351.2897720000001</v>
      </c>
      <c r="R537" s="291"/>
      <c r="S537" s="291"/>
      <c r="T537" s="291">
        <v>2395.0808889999998</v>
      </c>
      <c r="U537" s="291">
        <v>473.40994849999998</v>
      </c>
      <c r="V537" s="291"/>
      <c r="W537" s="291"/>
      <c r="X537" s="291"/>
      <c r="Y537" s="291"/>
      <c r="Z537" s="291"/>
      <c r="AA537" s="61"/>
      <c r="AB537" s="291"/>
      <c r="AC537" s="61"/>
      <c r="AD537" s="291">
        <v>15.4</v>
      </c>
      <c r="AE537" s="61"/>
      <c r="AF537" s="61"/>
      <c r="AG537" s="61"/>
      <c r="AH537" s="61"/>
      <c r="AI537" s="61"/>
      <c r="AJ537" s="61"/>
      <c r="AK537" s="61"/>
      <c r="AL537" s="291">
        <v>22</v>
      </c>
      <c r="AM537" s="291">
        <v>20</v>
      </c>
      <c r="AN537" s="291">
        <v>14</v>
      </c>
      <c r="AO537" s="61"/>
      <c r="AP537" s="61"/>
      <c r="AQ537" s="61"/>
      <c r="AR537" s="61"/>
      <c r="AS537" s="292"/>
      <c r="AT537" s="206" t="str">
        <f t="shared" si="8"/>
        <v>44944-536</v>
      </c>
    </row>
    <row r="538" spans="1:46" x14ac:dyDescent="0.35">
      <c r="A538" s="204">
        <v>537</v>
      </c>
      <c r="B538" s="14" t="s">
        <v>83</v>
      </c>
      <c r="C538" s="1" t="s">
        <v>160</v>
      </c>
      <c r="D538" s="1" t="s">
        <v>161</v>
      </c>
      <c r="E538" s="12">
        <v>44944</v>
      </c>
      <c r="F538" s="291">
        <v>1.7069468160000001</v>
      </c>
      <c r="G538" s="291">
        <v>1.413415563</v>
      </c>
      <c r="H538" s="291">
        <v>0</v>
      </c>
      <c r="I538" s="291">
        <v>0</v>
      </c>
      <c r="J538" s="291">
        <v>0</v>
      </c>
      <c r="K538" s="291">
        <v>0</v>
      </c>
      <c r="L538" s="291"/>
      <c r="M538" s="291">
        <v>6.8899200379999996</v>
      </c>
      <c r="N538" s="291">
        <v>0.3351512103</v>
      </c>
      <c r="O538" s="291">
        <v>0.36567748160000002</v>
      </c>
      <c r="P538" s="291">
        <v>1206.892441</v>
      </c>
      <c r="Q538" s="291">
        <v>1364.0126419999999</v>
      </c>
      <c r="R538" s="291"/>
      <c r="S538" s="291"/>
      <c r="T538" s="291">
        <v>2444.1282959999999</v>
      </c>
      <c r="U538" s="291">
        <v>482.5673314</v>
      </c>
      <c r="V538" s="291"/>
      <c r="W538" s="291"/>
      <c r="X538" s="291"/>
      <c r="Y538" s="291"/>
      <c r="Z538" s="291"/>
      <c r="AA538" s="61"/>
      <c r="AB538" s="291"/>
      <c r="AC538" s="61"/>
      <c r="AD538" s="291">
        <v>15.4</v>
      </c>
      <c r="AE538" s="61"/>
      <c r="AF538" s="61"/>
      <c r="AG538" s="61"/>
      <c r="AH538" s="61"/>
      <c r="AI538" s="61"/>
      <c r="AJ538" s="61"/>
      <c r="AK538" s="61"/>
      <c r="AL538" s="291">
        <v>22</v>
      </c>
      <c r="AM538" s="291">
        <v>20</v>
      </c>
      <c r="AN538" s="291">
        <v>14</v>
      </c>
      <c r="AO538" s="61"/>
      <c r="AP538" s="61"/>
      <c r="AQ538" s="61"/>
      <c r="AR538" s="61"/>
      <c r="AS538" s="292"/>
      <c r="AT538" s="206" t="str">
        <f t="shared" si="8"/>
        <v>44944-537</v>
      </c>
    </row>
    <row r="539" spans="1:46" x14ac:dyDescent="0.35">
      <c r="A539" s="204">
        <v>538</v>
      </c>
      <c r="B539" s="14" t="s">
        <v>83</v>
      </c>
      <c r="C539" s="1" t="s">
        <v>160</v>
      </c>
      <c r="D539" s="1" t="s">
        <v>161</v>
      </c>
      <c r="E539" s="12">
        <v>44944</v>
      </c>
      <c r="F539" s="291">
        <v>1.820706516</v>
      </c>
      <c r="G539" s="291">
        <v>1.4341490640000001</v>
      </c>
      <c r="H539" s="291">
        <v>0</v>
      </c>
      <c r="I539" s="291">
        <v>0</v>
      </c>
      <c r="J539" s="291">
        <v>0</v>
      </c>
      <c r="K539" s="291">
        <v>2.1216643189999999E-2</v>
      </c>
      <c r="L539" s="291"/>
      <c r="M539" s="291">
        <v>7.4022268599999999</v>
      </c>
      <c r="N539" s="291">
        <v>0.20231300150000001</v>
      </c>
      <c r="O539" s="291">
        <v>0.23110773609999999</v>
      </c>
      <c r="P539" s="291">
        <v>1184.36475</v>
      </c>
      <c r="Q539" s="291">
        <v>1371.0201500000001</v>
      </c>
      <c r="R539" s="291"/>
      <c r="S539" s="291"/>
      <c r="T539" s="291">
        <v>2398.94751</v>
      </c>
      <c r="U539" s="291">
        <v>473.00079640000001</v>
      </c>
      <c r="V539" s="291"/>
      <c r="W539" s="291"/>
      <c r="X539" s="291"/>
      <c r="Y539" s="291"/>
      <c r="Z539" s="291"/>
      <c r="AA539" s="61"/>
      <c r="AB539" s="291"/>
      <c r="AC539" s="61"/>
      <c r="AD539" s="291">
        <v>15.4</v>
      </c>
      <c r="AE539" s="61"/>
      <c r="AF539" s="61"/>
      <c r="AG539" s="61"/>
      <c r="AH539" s="61"/>
      <c r="AI539" s="61"/>
      <c r="AJ539" s="61"/>
      <c r="AK539" s="61"/>
      <c r="AL539" s="291">
        <v>22</v>
      </c>
      <c r="AM539" s="291">
        <v>20</v>
      </c>
      <c r="AN539" s="291">
        <v>15</v>
      </c>
      <c r="AO539" s="61"/>
      <c r="AP539" s="61"/>
      <c r="AQ539" s="61"/>
      <c r="AR539" s="61"/>
      <c r="AS539" s="292"/>
      <c r="AT539" s="206" t="str">
        <f t="shared" si="8"/>
        <v>44944-538</v>
      </c>
    </row>
    <row r="540" spans="1:46" x14ac:dyDescent="0.35">
      <c r="A540" s="204">
        <v>539</v>
      </c>
      <c r="B540" s="14" t="s">
        <v>83</v>
      </c>
      <c r="C540" s="1" t="s">
        <v>160</v>
      </c>
      <c r="D540" s="1" t="s">
        <v>161</v>
      </c>
      <c r="E540" s="12">
        <v>44946</v>
      </c>
      <c r="F540" s="291">
        <v>1.676679689</v>
      </c>
      <c r="G540" s="291">
        <v>1.1593839889999999</v>
      </c>
      <c r="H540" s="291">
        <v>0</v>
      </c>
      <c r="I540" s="291">
        <v>0</v>
      </c>
      <c r="J540" s="291">
        <v>0</v>
      </c>
      <c r="K540" s="291">
        <v>2.9327804329999999E-2</v>
      </c>
      <c r="L540" s="291"/>
      <c r="M540" s="291">
        <v>6.5375911840000001</v>
      </c>
      <c r="N540" s="291">
        <v>6.7743437030000006E-2</v>
      </c>
      <c r="O540" s="291">
        <v>0.33794174249999998</v>
      </c>
      <c r="P540" s="291">
        <v>1200.697649</v>
      </c>
      <c r="Q540" s="291">
        <v>1358.4667770000001</v>
      </c>
      <c r="R540" s="291"/>
      <c r="S540" s="291"/>
      <c r="T540" s="291">
        <v>2428.7533050000002</v>
      </c>
      <c r="U540" s="291">
        <v>473.11546060000001</v>
      </c>
      <c r="V540" s="291"/>
      <c r="W540" s="291"/>
      <c r="X540" s="291"/>
      <c r="Y540" s="291"/>
      <c r="Z540" s="291"/>
      <c r="AA540" s="61"/>
      <c r="AB540" s="291"/>
      <c r="AC540" s="61"/>
      <c r="AD540" s="291">
        <v>15.3</v>
      </c>
      <c r="AE540" s="61"/>
      <c r="AF540" s="61"/>
      <c r="AG540" s="61"/>
      <c r="AH540" s="61"/>
      <c r="AI540" s="61"/>
      <c r="AJ540" s="61"/>
      <c r="AK540" s="61"/>
      <c r="AL540" s="291">
        <v>22</v>
      </c>
      <c r="AM540" s="291">
        <v>20</v>
      </c>
      <c r="AN540" s="291">
        <v>15</v>
      </c>
      <c r="AO540" s="61"/>
      <c r="AP540" s="61"/>
      <c r="AQ540" s="61"/>
      <c r="AR540" s="61"/>
      <c r="AS540" s="292"/>
      <c r="AT540" s="206" t="str">
        <f t="shared" si="8"/>
        <v>44946-539</v>
      </c>
    </row>
    <row r="541" spans="1:46" x14ac:dyDescent="0.35">
      <c r="A541" s="204">
        <v>540</v>
      </c>
      <c r="B541" s="14" t="s">
        <v>83</v>
      </c>
      <c r="C541" s="1" t="s">
        <v>160</v>
      </c>
      <c r="D541" s="1" t="s">
        <v>161</v>
      </c>
      <c r="E541" s="12">
        <v>44946</v>
      </c>
      <c r="F541" s="291">
        <v>1.6511258</v>
      </c>
      <c r="G541" s="291">
        <v>1.083075024</v>
      </c>
      <c r="H541" s="291">
        <v>0</v>
      </c>
      <c r="I541" s="291">
        <v>0</v>
      </c>
      <c r="J541" s="291">
        <v>0</v>
      </c>
      <c r="K541" s="291">
        <v>0</v>
      </c>
      <c r="L541" s="291"/>
      <c r="M541" s="291">
        <v>6.3063716789999997</v>
      </c>
      <c r="N541" s="291">
        <v>0</v>
      </c>
      <c r="O541" s="291">
        <v>0.38942324890000002</v>
      </c>
      <c r="P541" s="291">
        <v>1187.4382430000001</v>
      </c>
      <c r="Q541" s="291">
        <v>1366.4374</v>
      </c>
      <c r="R541" s="291"/>
      <c r="S541" s="291"/>
      <c r="T541" s="291">
        <v>2404.079052</v>
      </c>
      <c r="U541" s="291">
        <v>467.61868939999999</v>
      </c>
      <c r="V541" s="291"/>
      <c r="W541" s="291"/>
      <c r="X541" s="291"/>
      <c r="Y541" s="291"/>
      <c r="Z541" s="291"/>
      <c r="AA541" s="61"/>
      <c r="AB541" s="291"/>
      <c r="AC541" s="61"/>
      <c r="AD541" s="291">
        <v>15.3</v>
      </c>
      <c r="AE541" s="61"/>
      <c r="AF541" s="61"/>
      <c r="AG541" s="61"/>
      <c r="AH541" s="61"/>
      <c r="AI541" s="61"/>
      <c r="AJ541" s="61"/>
      <c r="AK541" s="61"/>
      <c r="AL541" s="291">
        <v>22</v>
      </c>
      <c r="AM541" s="291">
        <v>21</v>
      </c>
      <c r="AN541" s="291">
        <v>14</v>
      </c>
      <c r="AO541" s="61"/>
      <c r="AP541" s="61"/>
      <c r="AQ541" s="61"/>
      <c r="AR541" s="61"/>
      <c r="AS541" s="292"/>
      <c r="AT541" s="206" t="str">
        <f t="shared" si="8"/>
        <v>44946-540</v>
      </c>
    </row>
    <row r="542" spans="1:46" x14ac:dyDescent="0.35">
      <c r="A542" s="204">
        <v>541</v>
      </c>
      <c r="B542" s="14" t="s">
        <v>83</v>
      </c>
      <c r="C542" s="1" t="s">
        <v>152</v>
      </c>
      <c r="D542" s="1" t="s">
        <v>161</v>
      </c>
      <c r="E542" s="12">
        <v>44946</v>
      </c>
      <c r="F542" s="291">
        <v>1.390517776</v>
      </c>
      <c r="G542" s="291">
        <v>1.1002827509999999</v>
      </c>
      <c r="H542" s="291">
        <v>1.489372154E-2</v>
      </c>
      <c r="I542" s="291">
        <v>0</v>
      </c>
      <c r="J542" s="291">
        <v>0</v>
      </c>
      <c r="K542" s="291">
        <v>4.3027687180000003E-2</v>
      </c>
      <c r="L542" s="291"/>
      <c r="M542" s="291">
        <v>5.5299282520000004</v>
      </c>
      <c r="N542" s="291">
        <v>1.058608808</v>
      </c>
      <c r="O542" s="291">
        <v>0</v>
      </c>
      <c r="P542" s="291">
        <v>1060.5824009999999</v>
      </c>
      <c r="Q542" s="291">
        <v>1167.6788550000001</v>
      </c>
      <c r="R542" s="291"/>
      <c r="S542" s="291"/>
      <c r="T542" s="291">
        <v>3609.5915869999999</v>
      </c>
      <c r="U542" s="291">
        <v>11.76801991</v>
      </c>
      <c r="V542" s="291"/>
      <c r="W542" s="291"/>
      <c r="X542" s="291"/>
      <c r="Y542" s="291"/>
      <c r="Z542" s="291"/>
      <c r="AA542" s="61"/>
      <c r="AB542" s="291"/>
      <c r="AC542" s="61"/>
      <c r="AD542" s="291">
        <v>6.1</v>
      </c>
      <c r="AE542" s="61"/>
      <c r="AF542" s="61"/>
      <c r="AG542" s="61"/>
      <c r="AH542" s="61"/>
      <c r="AI542" s="61"/>
      <c r="AJ542" s="61"/>
      <c r="AK542" s="61"/>
      <c r="AL542" s="291">
        <v>24</v>
      </c>
      <c r="AM542" s="291">
        <v>22</v>
      </c>
      <c r="AN542" s="291">
        <v>16</v>
      </c>
      <c r="AO542" s="61"/>
      <c r="AP542" s="61"/>
      <c r="AQ542" s="61"/>
      <c r="AR542" s="61"/>
      <c r="AS542" s="292"/>
      <c r="AT542" s="206" t="str">
        <f t="shared" si="8"/>
        <v>44946-541</v>
      </c>
    </row>
    <row r="543" spans="1:46" x14ac:dyDescent="0.35">
      <c r="A543" s="204">
        <v>542</v>
      </c>
      <c r="B543" s="226" t="s">
        <v>83</v>
      </c>
      <c r="C543" s="1" t="s">
        <v>155</v>
      </c>
      <c r="D543" s="114" t="s">
        <v>161</v>
      </c>
      <c r="E543" s="12">
        <v>44947</v>
      </c>
      <c r="F543" s="293">
        <v>1.4633097049999999</v>
      </c>
      <c r="G543" s="293">
        <v>1.1701819019999999</v>
      </c>
      <c r="H543" s="293">
        <v>1.737777778E-3</v>
      </c>
      <c r="I543" s="293">
        <v>0</v>
      </c>
      <c r="J543" s="293">
        <v>4.6307387499999998E-2</v>
      </c>
      <c r="K543" s="293">
        <v>1.196185478E-2</v>
      </c>
      <c r="L543" s="293"/>
      <c r="M543" s="293">
        <v>7.3311555779999997</v>
      </c>
      <c r="N543" s="293">
        <v>0.89108323970000003</v>
      </c>
      <c r="O543" s="293">
        <v>0</v>
      </c>
      <c r="P543" s="293">
        <v>1060.078411</v>
      </c>
      <c r="Q543" s="293">
        <v>1159.3525440000001</v>
      </c>
      <c r="R543" s="293"/>
      <c r="S543" s="293"/>
      <c r="T543" s="293">
        <v>3572.8240230000001</v>
      </c>
      <c r="U543" s="293">
        <v>10.84410804</v>
      </c>
      <c r="V543" s="293"/>
      <c r="W543" s="293"/>
      <c r="X543" s="293"/>
      <c r="Y543" s="293"/>
      <c r="Z543" s="293"/>
      <c r="AA543" s="227"/>
      <c r="AB543" s="293"/>
      <c r="AC543" s="227"/>
      <c r="AD543" s="293">
        <v>25.5</v>
      </c>
      <c r="AE543" s="227"/>
      <c r="AF543" s="227"/>
      <c r="AG543" s="227"/>
      <c r="AH543" s="227"/>
      <c r="AI543" s="227"/>
      <c r="AJ543" s="227"/>
      <c r="AK543" s="227"/>
      <c r="AL543" s="291">
        <v>23</v>
      </c>
      <c r="AM543" s="293">
        <v>22</v>
      </c>
      <c r="AN543" s="293">
        <v>16</v>
      </c>
      <c r="AO543" s="227"/>
      <c r="AP543" s="227"/>
      <c r="AQ543" s="227"/>
      <c r="AR543" s="227"/>
      <c r="AS543" s="294"/>
      <c r="AT543" s="206" t="str">
        <f t="shared" si="8"/>
        <v>44947-542</v>
      </c>
    </row>
    <row r="544" spans="1:46" x14ac:dyDescent="0.35">
      <c r="A544" s="204">
        <v>543</v>
      </c>
      <c r="B544" s="14" t="s">
        <v>83</v>
      </c>
      <c r="C544" s="1" t="s">
        <v>152</v>
      </c>
      <c r="D544" s="1" t="s">
        <v>161</v>
      </c>
      <c r="E544" s="12">
        <v>44947</v>
      </c>
      <c r="F544" s="291">
        <v>1.3507244620000001</v>
      </c>
      <c r="G544" s="291">
        <v>1.100923045</v>
      </c>
      <c r="H544" s="291">
        <v>1.143362087E-4</v>
      </c>
      <c r="I544" s="291">
        <v>0</v>
      </c>
      <c r="J544" s="291">
        <v>0</v>
      </c>
      <c r="K544" s="291">
        <v>3.9781672589999997E-2</v>
      </c>
      <c r="L544" s="291"/>
      <c r="M544" s="291">
        <v>5.8578397649999996</v>
      </c>
      <c r="N544" s="291">
        <v>0.78344195480000001</v>
      </c>
      <c r="O544" s="291">
        <v>0</v>
      </c>
      <c r="P544" s="291">
        <v>1054.5847329999999</v>
      </c>
      <c r="Q544" s="291">
        <v>1146.1175209999999</v>
      </c>
      <c r="R544" s="291"/>
      <c r="S544" s="291"/>
      <c r="T544" s="291">
        <v>3572.595503</v>
      </c>
      <c r="U544" s="291">
        <v>11.445211219999999</v>
      </c>
      <c r="V544" s="291"/>
      <c r="W544" s="291"/>
      <c r="X544" s="291"/>
      <c r="Y544" s="291"/>
      <c r="Z544" s="291"/>
      <c r="AA544" s="61"/>
      <c r="AB544" s="291"/>
      <c r="AC544" s="61"/>
      <c r="AD544" s="291">
        <v>6.1</v>
      </c>
      <c r="AE544" s="61"/>
      <c r="AF544" s="61"/>
      <c r="AG544" s="61"/>
      <c r="AH544" s="61"/>
      <c r="AI544" s="61"/>
      <c r="AJ544" s="61"/>
      <c r="AK544" s="61"/>
      <c r="AL544" s="291">
        <v>24</v>
      </c>
      <c r="AM544" s="291">
        <v>22</v>
      </c>
      <c r="AN544" s="291">
        <v>15</v>
      </c>
      <c r="AO544" s="61"/>
      <c r="AP544" s="61"/>
      <c r="AQ544" s="61"/>
      <c r="AR544" s="61"/>
      <c r="AS544" s="292"/>
      <c r="AT544" s="206" t="str">
        <f t="shared" si="8"/>
        <v>44947-543</v>
      </c>
    </row>
    <row r="545" spans="1:46" x14ac:dyDescent="0.35">
      <c r="A545" s="204">
        <v>544</v>
      </c>
      <c r="B545" s="14" t="s">
        <v>83</v>
      </c>
      <c r="C545" s="1" t="s">
        <v>152</v>
      </c>
      <c r="D545" s="1" t="s">
        <v>161</v>
      </c>
      <c r="E545" s="12">
        <v>44948</v>
      </c>
      <c r="F545" s="291">
        <v>1.3048406159999999</v>
      </c>
      <c r="G545" s="291">
        <v>0.98747094550000003</v>
      </c>
      <c r="H545" s="291">
        <v>0</v>
      </c>
      <c r="I545" s="291">
        <v>2.0718919169999999E-2</v>
      </c>
      <c r="J545" s="291">
        <v>0</v>
      </c>
      <c r="K545" s="291">
        <v>0</v>
      </c>
      <c r="L545" s="291"/>
      <c r="M545" s="291">
        <v>6.038268993</v>
      </c>
      <c r="N545" s="291">
        <v>0.41989933060000001</v>
      </c>
      <c r="O545" s="291">
        <v>0</v>
      </c>
      <c r="P545" s="291">
        <v>1060.472933</v>
      </c>
      <c r="Q545" s="291">
        <v>1156.848749</v>
      </c>
      <c r="R545" s="291"/>
      <c r="S545" s="291"/>
      <c r="T545" s="291">
        <v>3583.46965</v>
      </c>
      <c r="U545" s="291">
        <v>11.125090050000001</v>
      </c>
      <c r="V545" s="291"/>
      <c r="W545" s="291"/>
      <c r="X545" s="291"/>
      <c r="Y545" s="291"/>
      <c r="Z545" s="291"/>
      <c r="AA545" s="61"/>
      <c r="AB545" s="291"/>
      <c r="AC545" s="61"/>
      <c r="AD545" s="291">
        <v>6.1</v>
      </c>
      <c r="AE545" s="61"/>
      <c r="AF545" s="61"/>
      <c r="AG545" s="61"/>
      <c r="AH545" s="61"/>
      <c r="AI545" s="61"/>
      <c r="AJ545" s="61"/>
      <c r="AK545" s="61"/>
      <c r="AL545" s="291">
        <v>24</v>
      </c>
      <c r="AM545" s="291">
        <v>22</v>
      </c>
      <c r="AN545" s="291">
        <v>15</v>
      </c>
      <c r="AO545" s="61"/>
      <c r="AP545" s="61"/>
      <c r="AQ545" s="61"/>
      <c r="AR545" s="61"/>
      <c r="AS545" s="292"/>
      <c r="AT545" s="206" t="str">
        <f t="shared" si="8"/>
        <v>44948-544</v>
      </c>
    </row>
    <row r="546" spans="1:46" x14ac:dyDescent="0.35">
      <c r="A546" s="204">
        <v>545</v>
      </c>
      <c r="B546" s="14" t="s">
        <v>83</v>
      </c>
      <c r="C546" s="1" t="s">
        <v>155</v>
      </c>
      <c r="D546" s="1" t="s">
        <v>161</v>
      </c>
      <c r="E546" s="12">
        <v>44948</v>
      </c>
      <c r="F546" s="291">
        <v>1.203758514</v>
      </c>
      <c r="G546" s="291">
        <v>1.112377967</v>
      </c>
      <c r="H546" s="291">
        <v>0</v>
      </c>
      <c r="I546" s="291">
        <v>0</v>
      </c>
      <c r="J546" s="291">
        <v>0</v>
      </c>
      <c r="K546" s="291">
        <v>7.7506159790000001E-2</v>
      </c>
      <c r="L546" s="291"/>
      <c r="M546" s="291">
        <v>6.618683624</v>
      </c>
      <c r="N546" s="291">
        <v>0.28677264409999997</v>
      </c>
      <c r="O546" s="291">
        <v>0</v>
      </c>
      <c r="P546" s="291">
        <v>1067.2283190000001</v>
      </c>
      <c r="Q546" s="291">
        <v>1174.7018419999999</v>
      </c>
      <c r="R546" s="291"/>
      <c r="S546" s="291"/>
      <c r="T546" s="291">
        <v>3598.5347870000001</v>
      </c>
      <c r="U546" s="291">
        <v>11.98171949</v>
      </c>
      <c r="V546" s="291"/>
      <c r="W546" s="291"/>
      <c r="X546" s="291"/>
      <c r="Y546" s="291"/>
      <c r="Z546" s="291"/>
      <c r="AA546" s="61"/>
      <c r="AB546" s="291"/>
      <c r="AC546" s="61"/>
      <c r="AD546" s="291">
        <v>25.1</v>
      </c>
      <c r="AE546" s="61"/>
      <c r="AF546" s="61"/>
      <c r="AG546" s="61"/>
      <c r="AH546" s="61"/>
      <c r="AI546" s="61"/>
      <c r="AJ546" s="61"/>
      <c r="AK546" s="61"/>
      <c r="AL546" s="291">
        <v>23</v>
      </c>
      <c r="AM546" s="291">
        <v>21</v>
      </c>
      <c r="AN546" s="291">
        <v>16</v>
      </c>
      <c r="AO546" s="61"/>
      <c r="AP546" s="61"/>
      <c r="AQ546" s="61"/>
      <c r="AR546" s="61"/>
      <c r="AS546" s="292"/>
      <c r="AT546" s="206" t="str">
        <f t="shared" si="8"/>
        <v>44948-545</v>
      </c>
    </row>
    <row r="547" spans="1:46" x14ac:dyDescent="0.35">
      <c r="A547" s="204">
        <v>546</v>
      </c>
      <c r="B547" s="14" t="s">
        <v>83</v>
      </c>
      <c r="C547" s="1" t="s">
        <v>152</v>
      </c>
      <c r="D547" s="1" t="s">
        <v>161</v>
      </c>
      <c r="E547" s="12">
        <v>44948</v>
      </c>
      <c r="F547" s="291">
        <v>1.33550002</v>
      </c>
      <c r="G547" s="291">
        <v>1.1421049830000001</v>
      </c>
      <c r="H547" s="291">
        <v>0</v>
      </c>
      <c r="I547" s="291">
        <v>0</v>
      </c>
      <c r="J547" s="291">
        <v>0.1040691527</v>
      </c>
      <c r="K547" s="291">
        <v>6.648022764E-2</v>
      </c>
      <c r="L547" s="291"/>
      <c r="M547" s="291">
        <v>6.1742750229999999</v>
      </c>
      <c r="N547" s="291">
        <v>0.43142485339999997</v>
      </c>
      <c r="O547" s="291">
        <v>0</v>
      </c>
      <c r="P547" s="291">
        <v>1058.091494</v>
      </c>
      <c r="Q547" s="291">
        <v>1156.939431</v>
      </c>
      <c r="R547" s="291"/>
      <c r="S547" s="291"/>
      <c r="T547" s="291">
        <v>3566.20669</v>
      </c>
      <c r="U547" s="291">
        <v>11.39162408</v>
      </c>
      <c r="V547" s="291"/>
      <c r="W547" s="291"/>
      <c r="X547" s="291"/>
      <c r="Y547" s="291"/>
      <c r="Z547" s="291"/>
      <c r="AA547" s="61"/>
      <c r="AB547" s="291"/>
      <c r="AC547" s="61"/>
      <c r="AD547" s="291">
        <v>6.1</v>
      </c>
      <c r="AE547" s="61"/>
      <c r="AF547" s="61"/>
      <c r="AG547" s="61"/>
      <c r="AH547" s="61"/>
      <c r="AI547" s="61"/>
      <c r="AJ547" s="61"/>
      <c r="AK547" s="61"/>
      <c r="AL547" s="291">
        <v>24</v>
      </c>
      <c r="AM547" s="291">
        <v>23</v>
      </c>
      <c r="AN547" s="291">
        <v>16</v>
      </c>
      <c r="AO547" s="61"/>
      <c r="AP547" s="61"/>
      <c r="AQ547" s="61"/>
      <c r="AR547" s="61"/>
      <c r="AS547" s="292"/>
      <c r="AT547" s="206" t="str">
        <f t="shared" si="8"/>
        <v>44948-546</v>
      </c>
    </row>
    <row r="548" spans="1:46" x14ac:dyDescent="0.35">
      <c r="A548" s="204">
        <v>547</v>
      </c>
      <c r="B548" s="14" t="s">
        <v>83</v>
      </c>
      <c r="C548" s="1" t="s">
        <v>160</v>
      </c>
      <c r="D548" s="1" t="s">
        <v>161</v>
      </c>
      <c r="E548" s="12">
        <v>44954</v>
      </c>
      <c r="F548" s="291">
        <v>1.6</v>
      </c>
      <c r="G548" s="291">
        <v>1.4</v>
      </c>
      <c r="H548" s="291">
        <v>0.3</v>
      </c>
      <c r="I548" s="291">
        <v>0.1</v>
      </c>
      <c r="J548" s="291">
        <v>0</v>
      </c>
      <c r="K548" s="291">
        <v>0</v>
      </c>
      <c r="L548" s="291"/>
      <c r="M548" s="291">
        <v>4.8</v>
      </c>
      <c r="N548" s="291">
        <v>0</v>
      </c>
      <c r="O548" s="291">
        <v>2</v>
      </c>
      <c r="P548" s="291">
        <v>1143.2</v>
      </c>
      <c r="Q548" s="291">
        <v>1253.4000000000001</v>
      </c>
      <c r="R548" s="291"/>
      <c r="S548" s="291"/>
      <c r="T548" s="291">
        <v>2319.1</v>
      </c>
      <c r="U548" s="291">
        <v>475.1</v>
      </c>
      <c r="V548" s="291"/>
      <c r="W548" s="291"/>
      <c r="X548" s="291"/>
      <c r="Y548" s="291"/>
      <c r="Z548" s="291"/>
      <c r="AA548" s="61"/>
      <c r="AB548" s="291"/>
      <c r="AC548" s="61"/>
      <c r="AD548" s="291">
        <v>15.6</v>
      </c>
      <c r="AE548" s="61"/>
      <c r="AF548" s="61"/>
      <c r="AG548" s="61"/>
      <c r="AH548" s="61"/>
      <c r="AI548" s="61"/>
      <c r="AJ548" s="61"/>
      <c r="AK548" s="61"/>
      <c r="AL548" s="291">
        <v>22</v>
      </c>
      <c r="AM548" s="291">
        <v>20</v>
      </c>
      <c r="AN548" s="291">
        <v>14</v>
      </c>
      <c r="AO548" s="61"/>
      <c r="AP548" s="61"/>
      <c r="AQ548" s="61"/>
      <c r="AR548" s="61"/>
      <c r="AS548" s="292"/>
      <c r="AT548" s="206" t="str">
        <f t="shared" si="8"/>
        <v>44954-547</v>
      </c>
    </row>
    <row r="549" spans="1:46" x14ac:dyDescent="0.35">
      <c r="A549" s="204">
        <v>548</v>
      </c>
      <c r="B549" s="14" t="s">
        <v>83</v>
      </c>
      <c r="C549" s="1" t="s">
        <v>152</v>
      </c>
      <c r="D549" s="1" t="s">
        <v>161</v>
      </c>
      <c r="E549" s="12">
        <v>44954</v>
      </c>
      <c r="F549" s="291">
        <v>1.4</v>
      </c>
      <c r="G549" s="291">
        <v>1.1000000000000001</v>
      </c>
      <c r="H549" s="291">
        <v>0</v>
      </c>
      <c r="I549" s="291">
        <v>0</v>
      </c>
      <c r="J549" s="291">
        <v>0</v>
      </c>
      <c r="K549" s="291">
        <v>0</v>
      </c>
      <c r="L549" s="291"/>
      <c r="M549" s="291">
        <v>14.1</v>
      </c>
      <c r="N549" s="291">
        <v>1.2</v>
      </c>
      <c r="O549" s="291">
        <v>0.2</v>
      </c>
      <c r="P549" s="291">
        <v>992.7</v>
      </c>
      <c r="Q549" s="291">
        <v>1041.0999999999999</v>
      </c>
      <c r="R549" s="291"/>
      <c r="S549" s="291"/>
      <c r="T549" s="291">
        <v>3465.5</v>
      </c>
      <c r="U549" s="291">
        <v>15.4</v>
      </c>
      <c r="V549" s="291"/>
      <c r="W549" s="291"/>
      <c r="X549" s="291"/>
      <c r="Y549" s="291"/>
      <c r="Z549" s="291"/>
      <c r="AA549" s="61"/>
      <c r="AB549" s="291"/>
      <c r="AC549" s="61"/>
      <c r="AD549" s="291">
        <v>6.1</v>
      </c>
      <c r="AE549" s="61"/>
      <c r="AF549" s="61"/>
      <c r="AG549" s="61"/>
      <c r="AH549" s="61"/>
      <c r="AI549" s="61"/>
      <c r="AJ549" s="61"/>
      <c r="AK549" s="61"/>
      <c r="AL549" s="291">
        <v>24</v>
      </c>
      <c r="AM549" s="291">
        <v>22</v>
      </c>
      <c r="AN549" s="291">
        <v>16</v>
      </c>
      <c r="AO549" s="61"/>
      <c r="AP549" s="61"/>
      <c r="AQ549" s="61"/>
      <c r="AR549" s="61"/>
      <c r="AS549" s="292"/>
      <c r="AT549" s="206" t="str">
        <f t="shared" si="8"/>
        <v>44954-548</v>
      </c>
    </row>
    <row r="550" spans="1:46" x14ac:dyDescent="0.35">
      <c r="A550" s="204">
        <v>549</v>
      </c>
      <c r="B550" s="14" t="s">
        <v>83</v>
      </c>
      <c r="C550" s="1" t="s">
        <v>160</v>
      </c>
      <c r="D550" s="1" t="s">
        <v>161</v>
      </c>
      <c r="E550" s="12">
        <v>44954</v>
      </c>
      <c r="F550" s="291">
        <v>1.6</v>
      </c>
      <c r="G550" s="291">
        <v>1.4</v>
      </c>
      <c r="H550" s="291">
        <v>0</v>
      </c>
      <c r="I550" s="291">
        <v>0</v>
      </c>
      <c r="J550" s="291">
        <v>0</v>
      </c>
      <c r="K550" s="291">
        <v>0</v>
      </c>
      <c r="L550" s="291"/>
      <c r="M550" s="291">
        <v>4.7</v>
      </c>
      <c r="N550" s="291">
        <v>0</v>
      </c>
      <c r="O550" s="291">
        <v>1.6</v>
      </c>
      <c r="P550" s="291">
        <v>1154.5</v>
      </c>
      <c r="Q550" s="291">
        <v>1322.5</v>
      </c>
      <c r="R550" s="291"/>
      <c r="S550" s="291"/>
      <c r="T550" s="291">
        <v>2337.4</v>
      </c>
      <c r="U550" s="291">
        <v>478.1</v>
      </c>
      <c r="V550" s="291"/>
      <c r="W550" s="291"/>
      <c r="X550" s="291"/>
      <c r="Y550" s="291"/>
      <c r="Z550" s="291"/>
      <c r="AA550" s="61"/>
      <c r="AB550" s="291"/>
      <c r="AC550" s="61"/>
      <c r="AD550" s="291">
        <v>15.6</v>
      </c>
      <c r="AE550" s="61"/>
      <c r="AF550" s="61"/>
      <c r="AG550" s="61"/>
      <c r="AH550" s="61"/>
      <c r="AI550" s="61"/>
      <c r="AJ550" s="61"/>
      <c r="AK550" s="61"/>
      <c r="AL550" s="291">
        <v>22</v>
      </c>
      <c r="AM550" s="291">
        <v>20</v>
      </c>
      <c r="AN550" s="291">
        <v>15</v>
      </c>
      <c r="AO550" s="61"/>
      <c r="AP550" s="61"/>
      <c r="AQ550" s="61"/>
      <c r="AR550" s="61"/>
      <c r="AS550" s="292"/>
      <c r="AT550" s="206" t="str">
        <f t="shared" si="8"/>
        <v>44954-549</v>
      </c>
    </row>
    <row r="551" spans="1:46" x14ac:dyDescent="0.35">
      <c r="A551" s="204">
        <v>550</v>
      </c>
      <c r="B551" s="14" t="s">
        <v>83</v>
      </c>
      <c r="C551" s="1" t="s">
        <v>160</v>
      </c>
      <c r="D551" s="1" t="s">
        <v>161</v>
      </c>
      <c r="E551" s="12">
        <v>44955</v>
      </c>
      <c r="F551" s="291">
        <v>1.6</v>
      </c>
      <c r="G551" s="291">
        <v>1.2</v>
      </c>
      <c r="H551" s="291">
        <v>0</v>
      </c>
      <c r="I551" s="291">
        <v>0</v>
      </c>
      <c r="J551" s="291">
        <v>0</v>
      </c>
      <c r="K551" s="291">
        <v>0</v>
      </c>
      <c r="L551" s="291"/>
      <c r="M551" s="291">
        <v>4.3</v>
      </c>
      <c r="N551" s="291">
        <v>0</v>
      </c>
      <c r="O551" s="291">
        <v>1.6</v>
      </c>
      <c r="P551" s="291">
        <v>1174.9000000000001</v>
      </c>
      <c r="Q551" s="291">
        <v>1337.4</v>
      </c>
      <c r="R551" s="291"/>
      <c r="S551" s="291"/>
      <c r="T551" s="291">
        <v>2373</v>
      </c>
      <c r="U551" s="291">
        <v>481.8</v>
      </c>
      <c r="V551" s="291"/>
      <c r="W551" s="291"/>
      <c r="X551" s="291"/>
      <c r="Y551" s="291"/>
      <c r="Z551" s="291"/>
      <c r="AA551" s="61"/>
      <c r="AB551" s="291"/>
      <c r="AC551" s="61"/>
      <c r="AD551" s="291">
        <v>15.6</v>
      </c>
      <c r="AE551" s="61"/>
      <c r="AF551" s="61"/>
      <c r="AG551" s="61"/>
      <c r="AH551" s="61"/>
      <c r="AI551" s="61"/>
      <c r="AJ551" s="61"/>
      <c r="AK551" s="61"/>
      <c r="AL551" s="291">
        <v>22</v>
      </c>
      <c r="AM551" s="291">
        <v>21</v>
      </c>
      <c r="AN551" s="291">
        <v>14</v>
      </c>
      <c r="AO551" s="61"/>
      <c r="AP551" s="61"/>
      <c r="AQ551" s="61"/>
      <c r="AR551" s="61"/>
      <c r="AS551" s="292"/>
      <c r="AT551" s="206" t="str">
        <f t="shared" si="8"/>
        <v>44955-550</v>
      </c>
    </row>
    <row r="552" spans="1:46" x14ac:dyDescent="0.35">
      <c r="A552" s="204">
        <v>551</v>
      </c>
      <c r="B552" s="14" t="s">
        <v>83</v>
      </c>
      <c r="C552" s="1" t="s">
        <v>152</v>
      </c>
      <c r="D552" s="1" t="s">
        <v>161</v>
      </c>
      <c r="E552" s="12">
        <v>44955</v>
      </c>
      <c r="F552" s="291">
        <v>1.2</v>
      </c>
      <c r="G552" s="291">
        <v>1.1000000000000001</v>
      </c>
      <c r="H552" s="291">
        <v>0</v>
      </c>
      <c r="I552" s="291">
        <v>0</v>
      </c>
      <c r="J552" s="291">
        <v>0</v>
      </c>
      <c r="K552" s="291">
        <v>0</v>
      </c>
      <c r="L552" s="291"/>
      <c r="M552" s="291">
        <v>12.7</v>
      </c>
      <c r="N552" s="291">
        <v>1.1000000000000001</v>
      </c>
      <c r="O552" s="291">
        <v>0.2</v>
      </c>
      <c r="P552" s="291">
        <v>1002</v>
      </c>
      <c r="Q552" s="291">
        <v>1104.9000000000001</v>
      </c>
      <c r="R552" s="291"/>
      <c r="S552" s="291"/>
      <c r="T552" s="291">
        <v>3519.9</v>
      </c>
      <c r="U552" s="291">
        <v>11.2</v>
      </c>
      <c r="V552" s="291"/>
      <c r="W552" s="291"/>
      <c r="X552" s="291"/>
      <c r="Y552" s="291"/>
      <c r="Z552" s="291"/>
      <c r="AA552" s="61"/>
      <c r="AB552" s="291"/>
      <c r="AC552" s="61"/>
      <c r="AD552" s="291">
        <v>6.1</v>
      </c>
      <c r="AE552" s="61"/>
      <c r="AF552" s="61"/>
      <c r="AG552" s="61"/>
      <c r="AH552" s="61"/>
      <c r="AI552" s="61"/>
      <c r="AJ552" s="61"/>
      <c r="AK552" s="61"/>
      <c r="AL552" s="291">
        <v>24</v>
      </c>
      <c r="AM552" s="291">
        <v>22</v>
      </c>
      <c r="AN552" s="291">
        <v>14</v>
      </c>
      <c r="AO552" s="61"/>
      <c r="AP552" s="61"/>
      <c r="AQ552" s="61"/>
      <c r="AR552" s="61"/>
      <c r="AS552" s="292"/>
      <c r="AT552" s="206" t="str">
        <f t="shared" si="8"/>
        <v>44955-551</v>
      </c>
    </row>
    <row r="553" spans="1:46" x14ac:dyDescent="0.35">
      <c r="A553" s="204">
        <v>552</v>
      </c>
      <c r="B553" s="14" t="s">
        <v>83</v>
      </c>
      <c r="C553" s="1" t="s">
        <v>160</v>
      </c>
      <c r="D553" s="1" t="s">
        <v>161</v>
      </c>
      <c r="E553" s="12">
        <v>44955</v>
      </c>
      <c r="F553" s="291">
        <v>1.6</v>
      </c>
      <c r="G553" s="291">
        <v>1.2</v>
      </c>
      <c r="H553" s="291">
        <v>0</v>
      </c>
      <c r="I553" s="291">
        <v>0</v>
      </c>
      <c r="J553" s="291">
        <v>0</v>
      </c>
      <c r="K553" s="291">
        <v>0</v>
      </c>
      <c r="L553" s="291"/>
      <c r="M553" s="291">
        <v>4.5</v>
      </c>
      <c r="N553" s="291">
        <v>0</v>
      </c>
      <c r="O553" s="291">
        <v>1.5</v>
      </c>
      <c r="P553" s="291">
        <v>1172.9000000000001</v>
      </c>
      <c r="Q553" s="291">
        <v>1355.7</v>
      </c>
      <c r="R553" s="291"/>
      <c r="S553" s="291"/>
      <c r="T553" s="291">
        <v>2374</v>
      </c>
      <c r="U553" s="291">
        <v>480.6</v>
      </c>
      <c r="V553" s="291"/>
      <c r="W553" s="291"/>
      <c r="X553" s="291"/>
      <c r="Y553" s="291"/>
      <c r="Z553" s="291"/>
      <c r="AA553" s="61"/>
      <c r="AB553" s="291"/>
      <c r="AC553" s="61"/>
      <c r="AD553" s="291">
        <v>15.5</v>
      </c>
      <c r="AE553" s="61"/>
      <c r="AF553" s="61"/>
      <c r="AG553" s="61"/>
      <c r="AH553" s="61"/>
      <c r="AI553" s="61"/>
      <c r="AJ553" s="61"/>
      <c r="AK553" s="61"/>
      <c r="AL553" s="291">
        <v>22</v>
      </c>
      <c r="AM553" s="291">
        <v>20</v>
      </c>
      <c r="AN553" s="291">
        <v>14</v>
      </c>
      <c r="AO553" s="61"/>
      <c r="AP553" s="61"/>
      <c r="AQ553" s="61"/>
      <c r="AR553" s="61"/>
      <c r="AS553" s="292"/>
      <c r="AT553" s="206" t="str">
        <f t="shared" si="8"/>
        <v>44955-552</v>
      </c>
    </row>
    <row r="554" spans="1:46" x14ac:dyDescent="0.35">
      <c r="A554" s="204">
        <v>553</v>
      </c>
      <c r="B554" s="14" t="s">
        <v>73</v>
      </c>
      <c r="C554" s="1" t="s">
        <v>265</v>
      </c>
      <c r="D554" s="1" t="s">
        <v>150</v>
      </c>
      <c r="E554" s="12">
        <v>44960</v>
      </c>
      <c r="F554" s="201">
        <v>1</v>
      </c>
      <c r="G554" s="201">
        <v>1</v>
      </c>
      <c r="H554" s="201">
        <v>0</v>
      </c>
      <c r="I554" s="201">
        <v>0</v>
      </c>
      <c r="J554" s="201">
        <v>0</v>
      </c>
      <c r="K554" s="201">
        <v>0</v>
      </c>
      <c r="L554" s="201">
        <v>0</v>
      </c>
      <c r="M554" s="201">
        <v>15</v>
      </c>
      <c r="N554" s="201">
        <v>3</v>
      </c>
      <c r="O554" s="201">
        <v>1</v>
      </c>
      <c r="P554" s="201">
        <v>1368</v>
      </c>
      <c r="Q554" s="201">
        <v>847</v>
      </c>
      <c r="R554" s="201">
        <v>265</v>
      </c>
      <c r="S554" s="201"/>
      <c r="T554" s="201">
        <v>2409</v>
      </c>
      <c r="U554" s="201">
        <v>19</v>
      </c>
      <c r="V554" s="201"/>
      <c r="W554" s="201">
        <v>0</v>
      </c>
      <c r="X554" s="201"/>
      <c r="Y554" s="201">
        <v>38</v>
      </c>
      <c r="Z554" s="201"/>
      <c r="AA554" s="61"/>
      <c r="AB554" s="201">
        <v>0</v>
      </c>
      <c r="AC554" s="61"/>
      <c r="AD554" s="201" t="s">
        <v>266</v>
      </c>
      <c r="AE554" s="61"/>
      <c r="AF554" s="61"/>
      <c r="AG554" s="61"/>
      <c r="AH554" s="61"/>
      <c r="AI554" s="61"/>
      <c r="AJ554" s="61"/>
      <c r="AK554" s="61"/>
      <c r="AL554" s="291"/>
      <c r="AM554" s="201"/>
      <c r="AN554" s="201"/>
      <c r="AO554" s="61"/>
      <c r="AP554" s="61"/>
      <c r="AQ554" s="61"/>
      <c r="AR554" s="61"/>
      <c r="AS554" s="101"/>
      <c r="AT554" s="206" t="str">
        <f t="shared" si="8"/>
        <v>44960-553</v>
      </c>
    </row>
    <row r="555" spans="1:46" x14ac:dyDescent="0.35">
      <c r="A555" s="204">
        <v>554</v>
      </c>
      <c r="B555" s="14" t="s">
        <v>83</v>
      </c>
      <c r="C555" s="1" t="s">
        <v>152</v>
      </c>
      <c r="D555" s="1" t="s">
        <v>161</v>
      </c>
      <c r="E555" s="12">
        <v>44960</v>
      </c>
      <c r="F555" s="291">
        <v>1.3</v>
      </c>
      <c r="G555" s="291">
        <v>0.8</v>
      </c>
      <c r="H555" s="291">
        <v>0</v>
      </c>
      <c r="I555" s="291">
        <v>0</v>
      </c>
      <c r="J555" s="291">
        <v>0</v>
      </c>
      <c r="K555" s="291">
        <v>0</v>
      </c>
      <c r="L555" s="291"/>
      <c r="M555" s="291">
        <v>15.5</v>
      </c>
      <c r="N555" s="291">
        <v>1.4</v>
      </c>
      <c r="O555" s="291">
        <v>0.4</v>
      </c>
      <c r="P555" s="291">
        <v>1025.5</v>
      </c>
      <c r="Q555" s="291">
        <v>1016.9</v>
      </c>
      <c r="R555" s="291"/>
      <c r="S555" s="291"/>
      <c r="T555" s="291">
        <v>3561.4</v>
      </c>
      <c r="U555" s="291">
        <v>12.1</v>
      </c>
      <c r="V555" s="291"/>
      <c r="W555" s="291"/>
      <c r="X555" s="291"/>
      <c r="Y555" s="291"/>
      <c r="Z555" s="291"/>
      <c r="AA555" s="61"/>
      <c r="AB555" s="291"/>
      <c r="AC555" s="61"/>
      <c r="AD555" s="291">
        <v>6.1</v>
      </c>
      <c r="AE555" s="61"/>
      <c r="AF555" s="61"/>
      <c r="AG555" s="61"/>
      <c r="AH555" s="61"/>
      <c r="AI555" s="61"/>
      <c r="AJ555" s="61"/>
      <c r="AK555" s="61"/>
      <c r="AL555" s="291">
        <v>24</v>
      </c>
      <c r="AM555" s="291">
        <v>22</v>
      </c>
      <c r="AN555" s="291">
        <v>16</v>
      </c>
      <c r="AO555" s="61"/>
      <c r="AP555" s="61"/>
      <c r="AQ555" s="61"/>
      <c r="AR555" s="61"/>
      <c r="AS555" s="292"/>
      <c r="AT555" s="206" t="str">
        <f t="shared" si="8"/>
        <v>44960-554</v>
      </c>
    </row>
    <row r="556" spans="1:46" x14ac:dyDescent="0.35">
      <c r="A556" s="204">
        <v>555</v>
      </c>
      <c r="B556" s="14" t="s">
        <v>83</v>
      </c>
      <c r="C556" s="1" t="s">
        <v>160</v>
      </c>
      <c r="D556" s="1" t="s">
        <v>161</v>
      </c>
      <c r="E556" s="12">
        <v>44960</v>
      </c>
      <c r="F556" s="291">
        <v>1.7</v>
      </c>
      <c r="G556" s="291">
        <v>1.2</v>
      </c>
      <c r="H556" s="291">
        <v>0</v>
      </c>
      <c r="I556" s="291">
        <v>0</v>
      </c>
      <c r="J556" s="291">
        <v>0</v>
      </c>
      <c r="K556" s="291">
        <v>0.1</v>
      </c>
      <c r="L556" s="291"/>
      <c r="M556" s="291">
        <v>5.9</v>
      </c>
      <c r="N556" s="291">
        <v>0.7</v>
      </c>
      <c r="O556" s="291">
        <v>1.9</v>
      </c>
      <c r="P556" s="291">
        <v>1193.5999999999999</v>
      </c>
      <c r="Q556" s="291">
        <v>1275.5</v>
      </c>
      <c r="R556" s="291"/>
      <c r="S556" s="291"/>
      <c r="T556" s="291">
        <v>2389.6999999999998</v>
      </c>
      <c r="U556" s="291">
        <v>492.9</v>
      </c>
      <c r="V556" s="291"/>
      <c r="W556" s="291"/>
      <c r="X556" s="291"/>
      <c r="Y556" s="291"/>
      <c r="Z556" s="291"/>
      <c r="AA556" s="61"/>
      <c r="AB556" s="291"/>
      <c r="AC556" s="61"/>
      <c r="AD556" s="291">
        <v>15.4</v>
      </c>
      <c r="AE556" s="61"/>
      <c r="AF556" s="61"/>
      <c r="AG556" s="61"/>
      <c r="AH556" s="61"/>
      <c r="AI556" s="61"/>
      <c r="AJ556" s="61"/>
      <c r="AK556" s="61"/>
      <c r="AL556" s="291">
        <v>22</v>
      </c>
      <c r="AM556" s="291">
        <v>20</v>
      </c>
      <c r="AN556" s="291">
        <v>15</v>
      </c>
      <c r="AO556" s="61"/>
      <c r="AP556" s="61"/>
      <c r="AQ556" s="61"/>
      <c r="AR556" s="61"/>
      <c r="AS556" s="292"/>
      <c r="AT556" s="206" t="str">
        <f t="shared" si="8"/>
        <v>44960-555</v>
      </c>
    </row>
    <row r="557" spans="1:46" x14ac:dyDescent="0.35">
      <c r="A557" s="204">
        <v>556</v>
      </c>
      <c r="B557" s="14" t="s">
        <v>83</v>
      </c>
      <c r="C557" s="1" t="s">
        <v>160</v>
      </c>
      <c r="D557" s="1" t="s">
        <v>161</v>
      </c>
      <c r="E557" s="12">
        <v>44960</v>
      </c>
      <c r="F557" s="291">
        <v>1.7</v>
      </c>
      <c r="G557" s="291">
        <v>1.4</v>
      </c>
      <c r="H557" s="291">
        <v>0</v>
      </c>
      <c r="I557" s="291">
        <v>0</v>
      </c>
      <c r="J557" s="291">
        <v>0</v>
      </c>
      <c r="K557" s="291">
        <v>0</v>
      </c>
      <c r="L557" s="291"/>
      <c r="M557" s="291">
        <v>5.7</v>
      </c>
      <c r="N557" s="291">
        <v>0.9</v>
      </c>
      <c r="O557" s="291">
        <v>1.7</v>
      </c>
      <c r="P557" s="291">
        <v>1184.9000000000001</v>
      </c>
      <c r="Q557" s="291">
        <v>1290.9000000000001</v>
      </c>
      <c r="R557" s="291"/>
      <c r="S557" s="291"/>
      <c r="T557" s="291">
        <v>2375.1999999999998</v>
      </c>
      <c r="U557" s="291">
        <v>490.8</v>
      </c>
      <c r="V557" s="291"/>
      <c r="W557" s="291"/>
      <c r="X557" s="291"/>
      <c r="Y557" s="291"/>
      <c r="Z557" s="291"/>
      <c r="AA557" s="61"/>
      <c r="AB557" s="291"/>
      <c r="AC557" s="61"/>
      <c r="AD557" s="291">
        <v>15.5</v>
      </c>
      <c r="AE557" s="61"/>
      <c r="AF557" s="61"/>
      <c r="AG557" s="61"/>
      <c r="AH557" s="61"/>
      <c r="AI557" s="61"/>
      <c r="AJ557" s="61"/>
      <c r="AK557" s="61"/>
      <c r="AL557" s="291">
        <v>22</v>
      </c>
      <c r="AM557" s="291">
        <v>20</v>
      </c>
      <c r="AN557" s="291">
        <v>15</v>
      </c>
      <c r="AO557" s="61"/>
      <c r="AP557" s="61"/>
      <c r="AQ557" s="61"/>
      <c r="AR557" s="61"/>
      <c r="AS557" s="292"/>
      <c r="AT557" s="206" t="str">
        <f t="shared" si="8"/>
        <v>44960-556</v>
      </c>
    </row>
    <row r="558" spans="1:46" x14ac:dyDescent="0.35">
      <c r="A558" s="204">
        <v>557</v>
      </c>
      <c r="B558" s="14" t="s">
        <v>83</v>
      </c>
      <c r="C558" s="1" t="s">
        <v>152</v>
      </c>
      <c r="D558" s="1" t="s">
        <v>161</v>
      </c>
      <c r="E558" s="12">
        <v>44962</v>
      </c>
      <c r="F558" s="291">
        <v>1.1000000000000001</v>
      </c>
      <c r="G558" s="291">
        <v>0.7</v>
      </c>
      <c r="H558" s="291">
        <v>0</v>
      </c>
      <c r="I558" s="291">
        <v>0</v>
      </c>
      <c r="J558" s="291">
        <v>0</v>
      </c>
      <c r="K558" s="291">
        <v>0</v>
      </c>
      <c r="L558" s="291"/>
      <c r="M558" s="291">
        <v>13.9</v>
      </c>
      <c r="N558" s="291">
        <v>1.2</v>
      </c>
      <c r="O558" s="291">
        <v>0</v>
      </c>
      <c r="P558" s="291">
        <v>1011.6</v>
      </c>
      <c r="Q558" s="291">
        <v>987.5</v>
      </c>
      <c r="R558" s="291"/>
      <c r="S558" s="291"/>
      <c r="T558" s="291">
        <v>3507.4</v>
      </c>
      <c r="U558" s="291">
        <v>11.1</v>
      </c>
      <c r="V558" s="291"/>
      <c r="W558" s="291"/>
      <c r="X558" s="291"/>
      <c r="Y558" s="291"/>
      <c r="Z558" s="291"/>
      <c r="AA558" s="61"/>
      <c r="AB558" s="291"/>
      <c r="AC558" s="61"/>
      <c r="AD558" s="291">
        <v>6.1</v>
      </c>
      <c r="AE558" s="61"/>
      <c r="AF558" s="61"/>
      <c r="AG558" s="61"/>
      <c r="AH558" s="61"/>
      <c r="AI558" s="61"/>
      <c r="AJ558" s="61"/>
      <c r="AK558" s="61"/>
      <c r="AL558" s="291">
        <v>24</v>
      </c>
      <c r="AM558" s="291">
        <v>22</v>
      </c>
      <c r="AN558" s="291">
        <v>15</v>
      </c>
      <c r="AO558" s="61"/>
      <c r="AP558" s="61"/>
      <c r="AQ558" s="61"/>
      <c r="AR558" s="61"/>
      <c r="AS558" s="292"/>
      <c r="AT558" s="206" t="str">
        <f t="shared" si="8"/>
        <v>44962-557</v>
      </c>
    </row>
    <row r="559" spans="1:46" x14ac:dyDescent="0.35">
      <c r="A559" s="204">
        <v>558</v>
      </c>
      <c r="B559" s="14" t="s">
        <v>83</v>
      </c>
      <c r="C559" s="1" t="s">
        <v>160</v>
      </c>
      <c r="D559" s="1" t="s">
        <v>161</v>
      </c>
      <c r="E559" s="12">
        <v>44962</v>
      </c>
      <c r="F559" s="291">
        <v>1.6</v>
      </c>
      <c r="G559" s="291">
        <v>1.2</v>
      </c>
      <c r="H559" s="291">
        <v>0</v>
      </c>
      <c r="I559" s="291">
        <v>0</v>
      </c>
      <c r="J559" s="291">
        <v>0</v>
      </c>
      <c r="K559" s="291">
        <v>0</v>
      </c>
      <c r="L559" s="291"/>
      <c r="M559" s="291">
        <v>5.3</v>
      </c>
      <c r="N559" s="291">
        <v>0.7</v>
      </c>
      <c r="O559" s="291">
        <v>1.7</v>
      </c>
      <c r="P559" s="291">
        <v>1207.2</v>
      </c>
      <c r="Q559" s="291">
        <v>1282</v>
      </c>
      <c r="R559" s="291"/>
      <c r="S559" s="291"/>
      <c r="T559" s="291">
        <v>2410</v>
      </c>
      <c r="U559" s="291">
        <v>494.2</v>
      </c>
      <c r="V559" s="291"/>
      <c r="W559" s="291"/>
      <c r="X559" s="291"/>
      <c r="Y559" s="291"/>
      <c r="Z559" s="291"/>
      <c r="AA559" s="61"/>
      <c r="AB559" s="291"/>
      <c r="AC559" s="61"/>
      <c r="AD559" s="291">
        <v>15.4</v>
      </c>
      <c r="AE559" s="61"/>
      <c r="AF559" s="61"/>
      <c r="AG559" s="61"/>
      <c r="AH559" s="61"/>
      <c r="AI559" s="61"/>
      <c r="AJ559" s="61"/>
      <c r="AK559" s="61"/>
      <c r="AL559" s="291">
        <v>22</v>
      </c>
      <c r="AM559" s="291">
        <v>20</v>
      </c>
      <c r="AN559" s="291">
        <v>15</v>
      </c>
      <c r="AO559" s="61"/>
      <c r="AP559" s="61"/>
      <c r="AQ559" s="61"/>
      <c r="AR559" s="61"/>
      <c r="AS559" s="292"/>
      <c r="AT559" s="206" t="str">
        <f t="shared" si="8"/>
        <v>44962-558</v>
      </c>
    </row>
    <row r="560" spans="1:46" x14ac:dyDescent="0.35">
      <c r="A560" s="204">
        <v>559</v>
      </c>
      <c r="B560" s="14" t="s">
        <v>83</v>
      </c>
      <c r="C560" s="1" t="s">
        <v>152</v>
      </c>
      <c r="D560" s="1" t="s">
        <v>161</v>
      </c>
      <c r="E560" s="12">
        <v>44964</v>
      </c>
      <c r="F560" s="291">
        <v>1.4</v>
      </c>
      <c r="G560" s="291">
        <v>1</v>
      </c>
      <c r="H560" s="291">
        <v>0</v>
      </c>
      <c r="I560" s="291">
        <v>0.2</v>
      </c>
      <c r="J560" s="291">
        <v>0</v>
      </c>
      <c r="K560" s="291">
        <v>0.1</v>
      </c>
      <c r="L560" s="291"/>
      <c r="M560" s="291">
        <v>15.4</v>
      </c>
      <c r="N560" s="291">
        <v>1.4</v>
      </c>
      <c r="O560" s="291">
        <v>0.5</v>
      </c>
      <c r="P560" s="291">
        <v>1045.9000000000001</v>
      </c>
      <c r="Q560" s="291">
        <v>1021.4</v>
      </c>
      <c r="R560" s="291"/>
      <c r="S560" s="291"/>
      <c r="T560" s="291">
        <v>3666.5</v>
      </c>
      <c r="U560" s="291">
        <v>12</v>
      </c>
      <c r="V560" s="291"/>
      <c r="W560" s="291"/>
      <c r="X560" s="291"/>
      <c r="Y560" s="291"/>
      <c r="Z560" s="291"/>
      <c r="AA560" s="61"/>
      <c r="AB560" s="291"/>
      <c r="AC560" s="61"/>
      <c r="AD560" s="291">
        <v>6.1</v>
      </c>
      <c r="AE560" s="61"/>
      <c r="AF560" s="61"/>
      <c r="AG560" s="61"/>
      <c r="AH560" s="61"/>
      <c r="AI560" s="61"/>
      <c r="AJ560" s="61"/>
      <c r="AK560" s="61"/>
      <c r="AL560" s="291">
        <v>24</v>
      </c>
      <c r="AM560" s="291">
        <v>22</v>
      </c>
      <c r="AN560" s="291">
        <v>16</v>
      </c>
      <c r="AO560" s="61"/>
      <c r="AP560" s="61"/>
      <c r="AQ560" s="61"/>
      <c r="AR560" s="61"/>
      <c r="AS560" s="292"/>
      <c r="AT560" s="206" t="str">
        <f t="shared" si="8"/>
        <v>44964-559</v>
      </c>
    </row>
    <row r="561" spans="1:46" x14ac:dyDescent="0.35">
      <c r="A561" s="204">
        <v>560</v>
      </c>
      <c r="B561" s="14" t="s">
        <v>83</v>
      </c>
      <c r="C561" s="1" t="s">
        <v>160</v>
      </c>
      <c r="D561" s="1" t="s">
        <v>161</v>
      </c>
      <c r="E561" s="12">
        <v>44964</v>
      </c>
      <c r="F561" s="291">
        <v>2.9</v>
      </c>
      <c r="G561" s="291">
        <v>1.6</v>
      </c>
      <c r="H561" s="291">
        <v>0</v>
      </c>
      <c r="I561" s="291">
        <v>0</v>
      </c>
      <c r="J561" s="291">
        <v>0</v>
      </c>
      <c r="K561" s="291">
        <v>0</v>
      </c>
      <c r="L561" s="291"/>
      <c r="M561" s="291">
        <v>6.3</v>
      </c>
      <c r="N561" s="291">
        <v>1</v>
      </c>
      <c r="O561" s="291">
        <v>2.2999999999999998</v>
      </c>
      <c r="P561" s="291">
        <v>1236.4000000000001</v>
      </c>
      <c r="Q561" s="291">
        <v>1321.7</v>
      </c>
      <c r="R561" s="291"/>
      <c r="S561" s="291"/>
      <c r="T561" s="291">
        <v>2497.6</v>
      </c>
      <c r="U561" s="291">
        <v>514.29999999999995</v>
      </c>
      <c r="V561" s="291"/>
      <c r="W561" s="291"/>
      <c r="X561" s="291"/>
      <c r="Y561" s="291"/>
      <c r="Z561" s="291"/>
      <c r="AA561" s="61"/>
      <c r="AB561" s="291"/>
      <c r="AC561" s="61"/>
      <c r="AD561" s="291">
        <v>15.2</v>
      </c>
      <c r="AE561" s="61"/>
      <c r="AF561" s="61"/>
      <c r="AG561" s="61"/>
      <c r="AH561" s="61"/>
      <c r="AI561" s="61"/>
      <c r="AJ561" s="61"/>
      <c r="AK561" s="61"/>
      <c r="AL561" s="291">
        <v>24</v>
      </c>
      <c r="AM561" s="291">
        <v>23</v>
      </c>
      <c r="AN561" s="291">
        <v>17</v>
      </c>
      <c r="AO561" s="61"/>
      <c r="AP561" s="61"/>
      <c r="AQ561" s="61"/>
      <c r="AR561" s="61"/>
      <c r="AS561" s="292"/>
      <c r="AT561" s="206" t="str">
        <f t="shared" si="8"/>
        <v>44964-560</v>
      </c>
    </row>
    <row r="562" spans="1:46" x14ac:dyDescent="0.35">
      <c r="A562" s="204">
        <v>561</v>
      </c>
      <c r="B562" s="14" t="s">
        <v>83</v>
      </c>
      <c r="C562" s="1" t="s">
        <v>160</v>
      </c>
      <c r="D562" s="1" t="s">
        <v>161</v>
      </c>
      <c r="E562" s="12">
        <v>44964</v>
      </c>
      <c r="F562" s="291">
        <v>2.9</v>
      </c>
      <c r="G562" s="291">
        <v>1.5</v>
      </c>
      <c r="H562" s="291">
        <v>0</v>
      </c>
      <c r="I562" s="291">
        <v>0.3</v>
      </c>
      <c r="J562" s="291">
        <v>0</v>
      </c>
      <c r="K562" s="291">
        <v>0</v>
      </c>
      <c r="L562" s="291"/>
      <c r="M562" s="291">
        <v>6.1</v>
      </c>
      <c r="N562" s="291">
        <v>1</v>
      </c>
      <c r="O562" s="291">
        <v>2.6</v>
      </c>
      <c r="P562" s="291">
        <v>1243</v>
      </c>
      <c r="Q562" s="291">
        <v>1319.6</v>
      </c>
      <c r="R562" s="291"/>
      <c r="S562" s="291"/>
      <c r="T562" s="291">
        <v>2510.4</v>
      </c>
      <c r="U562" s="291">
        <v>516.20000000000005</v>
      </c>
      <c r="V562" s="291"/>
      <c r="W562" s="291"/>
      <c r="X562" s="291"/>
      <c r="Y562" s="291"/>
      <c r="Z562" s="291"/>
      <c r="AA562" s="61"/>
      <c r="AB562" s="291"/>
      <c r="AC562" s="61"/>
      <c r="AD562" s="291">
        <v>15.6</v>
      </c>
      <c r="AE562" s="61"/>
      <c r="AF562" s="61"/>
      <c r="AG562" s="61"/>
      <c r="AH562" s="61"/>
      <c r="AI562" s="61"/>
      <c r="AJ562" s="61"/>
      <c r="AK562" s="61"/>
      <c r="AL562" s="291">
        <v>23</v>
      </c>
      <c r="AM562" s="291">
        <v>21</v>
      </c>
      <c r="AN562" s="291">
        <v>17</v>
      </c>
      <c r="AO562" s="61"/>
      <c r="AP562" s="61"/>
      <c r="AQ562" s="61"/>
      <c r="AR562" s="61"/>
      <c r="AS562" s="292"/>
      <c r="AT562" s="206" t="str">
        <f t="shared" si="8"/>
        <v>44964-561</v>
      </c>
    </row>
    <row r="563" spans="1:46" x14ac:dyDescent="0.35">
      <c r="A563" s="204">
        <v>562</v>
      </c>
      <c r="B563" s="14" t="s">
        <v>83</v>
      </c>
      <c r="C563" s="1" t="s">
        <v>152</v>
      </c>
      <c r="D563" s="1" t="s">
        <v>161</v>
      </c>
      <c r="E563" s="12">
        <v>44964</v>
      </c>
      <c r="F563" s="291">
        <v>1.3</v>
      </c>
      <c r="G563" s="291">
        <v>0.9</v>
      </c>
      <c r="H563" s="291">
        <v>0</v>
      </c>
      <c r="I563" s="291">
        <v>0.1</v>
      </c>
      <c r="J563" s="291">
        <v>0.1</v>
      </c>
      <c r="K563" s="291">
        <v>0</v>
      </c>
      <c r="L563" s="291"/>
      <c r="M563" s="291">
        <v>14.3</v>
      </c>
      <c r="N563" s="291">
        <v>1.3</v>
      </c>
      <c r="O563" s="291">
        <v>0.6</v>
      </c>
      <c r="P563" s="291">
        <v>1019</v>
      </c>
      <c r="Q563" s="291">
        <v>1013.9</v>
      </c>
      <c r="R563" s="291"/>
      <c r="S563" s="291"/>
      <c r="T563" s="291">
        <v>3568.3</v>
      </c>
      <c r="U563" s="291">
        <v>12.6</v>
      </c>
      <c r="V563" s="291"/>
      <c r="W563" s="291"/>
      <c r="X563" s="291"/>
      <c r="Y563" s="291"/>
      <c r="Z563" s="291"/>
      <c r="AA563" s="61"/>
      <c r="AB563" s="291"/>
      <c r="AC563" s="61"/>
      <c r="AD563" s="291">
        <v>6.1</v>
      </c>
      <c r="AE563" s="61"/>
      <c r="AF563" s="61"/>
      <c r="AG563" s="61"/>
      <c r="AH563" s="61"/>
      <c r="AI563" s="61"/>
      <c r="AJ563" s="61"/>
      <c r="AK563" s="61"/>
      <c r="AL563" s="291">
        <v>24</v>
      </c>
      <c r="AM563" s="291">
        <v>22</v>
      </c>
      <c r="AN563" s="291">
        <v>15</v>
      </c>
      <c r="AO563" s="61"/>
      <c r="AP563" s="61"/>
      <c r="AQ563" s="61"/>
      <c r="AR563" s="61"/>
      <c r="AS563" s="292"/>
      <c r="AT563" s="206" t="str">
        <f t="shared" si="8"/>
        <v>44964-562</v>
      </c>
    </row>
    <row r="564" spans="1:46" x14ac:dyDescent="0.35">
      <c r="A564" s="204">
        <v>563</v>
      </c>
      <c r="B564" s="14" t="s">
        <v>83</v>
      </c>
      <c r="C564" s="1" t="s">
        <v>160</v>
      </c>
      <c r="D564" s="1" t="s">
        <v>161</v>
      </c>
      <c r="E564" s="12">
        <v>44964</v>
      </c>
      <c r="F564" s="291">
        <v>1.7</v>
      </c>
      <c r="G564" s="291">
        <v>1.4</v>
      </c>
      <c r="H564" s="291">
        <v>0</v>
      </c>
      <c r="I564" s="291">
        <v>0.1</v>
      </c>
      <c r="J564" s="291">
        <v>0</v>
      </c>
      <c r="K564" s="291">
        <v>0</v>
      </c>
      <c r="L564" s="291"/>
      <c r="M564" s="291">
        <v>5.8</v>
      </c>
      <c r="N564" s="291">
        <v>0.7</v>
      </c>
      <c r="O564" s="291">
        <v>2.2000000000000002</v>
      </c>
      <c r="P564" s="291">
        <v>1218.2</v>
      </c>
      <c r="Q564" s="291">
        <v>1293.0999999999999</v>
      </c>
      <c r="R564" s="291"/>
      <c r="S564" s="291"/>
      <c r="T564" s="291">
        <v>2454</v>
      </c>
      <c r="U564" s="291">
        <v>503.8</v>
      </c>
      <c r="V564" s="291"/>
      <c r="W564" s="291"/>
      <c r="X564" s="291"/>
      <c r="Y564" s="291"/>
      <c r="Z564" s="291"/>
      <c r="AA564" s="61"/>
      <c r="AB564" s="291"/>
      <c r="AC564" s="61"/>
      <c r="AD564" s="291">
        <v>15.5</v>
      </c>
      <c r="AE564" s="61"/>
      <c r="AF564" s="61"/>
      <c r="AG564" s="61"/>
      <c r="AH564" s="61"/>
      <c r="AI564" s="61"/>
      <c r="AJ564" s="61"/>
      <c r="AK564" s="61"/>
      <c r="AL564" s="291">
        <v>23</v>
      </c>
      <c r="AM564" s="291">
        <v>21</v>
      </c>
      <c r="AN564" s="291">
        <v>15</v>
      </c>
      <c r="AO564" s="61"/>
      <c r="AP564" s="61"/>
      <c r="AQ564" s="61"/>
      <c r="AR564" s="61"/>
      <c r="AS564" s="292"/>
      <c r="AT564" s="206" t="str">
        <f t="shared" si="8"/>
        <v>44964-563</v>
      </c>
    </row>
    <row r="565" spans="1:46" x14ac:dyDescent="0.35">
      <c r="A565" s="204">
        <v>564</v>
      </c>
      <c r="B565" s="14" t="s">
        <v>83</v>
      </c>
      <c r="C565" s="1" t="s">
        <v>160</v>
      </c>
      <c r="D565" s="1" t="s">
        <v>161</v>
      </c>
      <c r="E565" s="12">
        <v>44969</v>
      </c>
      <c r="F565" s="291">
        <v>0.3</v>
      </c>
      <c r="G565" s="291">
        <v>0</v>
      </c>
      <c r="H565" s="291">
        <v>0</v>
      </c>
      <c r="I565" s="291">
        <v>0</v>
      </c>
      <c r="J565" s="291">
        <v>0.1</v>
      </c>
      <c r="K565" s="291">
        <v>0</v>
      </c>
      <c r="L565" s="291"/>
      <c r="M565" s="291">
        <v>25.5</v>
      </c>
      <c r="N565" s="291">
        <v>0</v>
      </c>
      <c r="O565" s="291">
        <v>0</v>
      </c>
      <c r="P565" s="291">
        <v>9.8000000000000007</v>
      </c>
      <c r="Q565" s="291">
        <v>504.3</v>
      </c>
      <c r="R565" s="291"/>
      <c r="S565" s="291"/>
      <c r="T565" s="291">
        <v>14.9</v>
      </c>
      <c r="U565" s="291">
        <v>2.6</v>
      </c>
      <c r="V565" s="291"/>
      <c r="W565" s="291"/>
      <c r="X565" s="291"/>
      <c r="Y565" s="291"/>
      <c r="Z565" s="291"/>
      <c r="AA565" s="61"/>
      <c r="AB565" s="291"/>
      <c r="AC565" s="61"/>
      <c r="AD565" s="291">
        <v>15.4</v>
      </c>
      <c r="AE565" s="61"/>
      <c r="AF565" s="61"/>
      <c r="AG565" s="61"/>
      <c r="AH565" s="61"/>
      <c r="AI565" s="61"/>
      <c r="AJ565" s="61"/>
      <c r="AK565" s="61"/>
      <c r="AL565" s="291">
        <v>19</v>
      </c>
      <c r="AM565" s="291">
        <v>17</v>
      </c>
      <c r="AN565" s="291">
        <v>13</v>
      </c>
      <c r="AO565" s="61"/>
      <c r="AP565" s="61"/>
      <c r="AQ565" s="61"/>
      <c r="AR565" s="61"/>
      <c r="AS565" s="292"/>
      <c r="AT565" s="206" t="str">
        <f t="shared" si="8"/>
        <v>44969-564</v>
      </c>
    </row>
    <row r="566" spans="1:46" x14ac:dyDescent="0.35">
      <c r="A566" s="204">
        <v>565</v>
      </c>
      <c r="B566" s="14" t="s">
        <v>83</v>
      </c>
      <c r="C566" s="1" t="s">
        <v>160</v>
      </c>
      <c r="D566" s="1" t="s">
        <v>161</v>
      </c>
      <c r="E566" s="12">
        <v>44969</v>
      </c>
      <c r="F566" s="291">
        <v>1.7</v>
      </c>
      <c r="G566" s="291">
        <v>1.4</v>
      </c>
      <c r="H566" s="291">
        <v>0</v>
      </c>
      <c r="I566" s="291">
        <v>0</v>
      </c>
      <c r="J566" s="291">
        <v>0</v>
      </c>
      <c r="K566" s="291">
        <v>0.1</v>
      </c>
      <c r="L566" s="291"/>
      <c r="M566" s="291">
        <v>4.5999999999999996</v>
      </c>
      <c r="N566" s="291">
        <v>0.2</v>
      </c>
      <c r="O566" s="291">
        <v>1.5</v>
      </c>
      <c r="P566" s="291">
        <v>1203.3</v>
      </c>
      <c r="Q566" s="291">
        <v>1225.5</v>
      </c>
      <c r="R566" s="291"/>
      <c r="S566" s="291"/>
      <c r="T566" s="291">
        <v>2370.6</v>
      </c>
      <c r="U566" s="291">
        <v>487.6</v>
      </c>
      <c r="V566" s="291"/>
      <c r="W566" s="291"/>
      <c r="X566" s="291"/>
      <c r="Y566" s="291"/>
      <c r="Z566" s="291"/>
      <c r="AA566" s="61"/>
      <c r="AB566" s="291"/>
      <c r="AC566" s="61"/>
      <c r="AD566" s="291">
        <v>15.4</v>
      </c>
      <c r="AE566" s="61"/>
      <c r="AF566" s="61"/>
      <c r="AG566" s="61"/>
      <c r="AH566" s="61"/>
      <c r="AI566" s="61"/>
      <c r="AJ566" s="61"/>
      <c r="AK566" s="61"/>
      <c r="AL566" s="291">
        <v>22</v>
      </c>
      <c r="AM566" s="291">
        <v>21</v>
      </c>
      <c r="AN566" s="291">
        <v>15</v>
      </c>
      <c r="AO566" s="61"/>
      <c r="AP566" s="61"/>
      <c r="AQ566" s="61"/>
      <c r="AR566" s="61"/>
      <c r="AS566" s="292"/>
      <c r="AT566" s="206" t="str">
        <f t="shared" si="8"/>
        <v>44969-565</v>
      </c>
    </row>
    <row r="567" spans="1:46" x14ac:dyDescent="0.35">
      <c r="A567" s="204">
        <v>566</v>
      </c>
      <c r="B567" s="14" t="s">
        <v>83</v>
      </c>
      <c r="C567" s="1" t="s">
        <v>245</v>
      </c>
      <c r="D567" s="1" t="s">
        <v>161</v>
      </c>
      <c r="E567" s="12">
        <v>44969</v>
      </c>
      <c r="F567" s="291">
        <v>1.9</v>
      </c>
      <c r="G567" s="291">
        <v>1.5</v>
      </c>
      <c r="H567" s="291">
        <v>0.2</v>
      </c>
      <c r="I567" s="291">
        <v>0</v>
      </c>
      <c r="J567" s="291">
        <v>0</v>
      </c>
      <c r="K567" s="291">
        <v>0.1</v>
      </c>
      <c r="L567" s="291"/>
      <c r="M567" s="291">
        <v>4.7</v>
      </c>
      <c r="N567" s="291">
        <v>0.3</v>
      </c>
      <c r="O567" s="291">
        <v>1.8</v>
      </c>
      <c r="P567" s="291">
        <v>1248.7</v>
      </c>
      <c r="Q567" s="291">
        <v>1259.7</v>
      </c>
      <c r="R567" s="291"/>
      <c r="S567" s="291"/>
      <c r="T567" s="291">
        <v>2459.4</v>
      </c>
      <c r="U567" s="291">
        <v>506.3</v>
      </c>
      <c r="V567" s="291"/>
      <c r="W567" s="291"/>
      <c r="X567" s="291"/>
      <c r="Y567" s="291"/>
      <c r="Z567" s="291"/>
      <c r="AA567" s="61"/>
      <c r="AB567" s="291"/>
      <c r="AC567" s="61"/>
      <c r="AD567" s="291">
        <v>78.099999999999994</v>
      </c>
      <c r="AE567" s="61"/>
      <c r="AF567" s="61"/>
      <c r="AG567" s="61"/>
      <c r="AH567" s="61"/>
      <c r="AI567" s="61"/>
      <c r="AJ567" s="61"/>
      <c r="AK567" s="61"/>
      <c r="AL567" s="291">
        <v>22</v>
      </c>
      <c r="AM567" s="291">
        <v>21</v>
      </c>
      <c r="AN567" s="291">
        <v>14</v>
      </c>
      <c r="AO567" s="61"/>
      <c r="AP567" s="61"/>
      <c r="AQ567" s="61"/>
      <c r="AR567" s="61"/>
      <c r="AS567" s="292"/>
      <c r="AT567" s="206" t="str">
        <f t="shared" si="8"/>
        <v>44969-566</v>
      </c>
    </row>
    <row r="568" spans="1:46" x14ac:dyDescent="0.35">
      <c r="A568" s="204">
        <v>567</v>
      </c>
      <c r="B568" s="14" t="s">
        <v>83</v>
      </c>
      <c r="C568" s="1" t="s">
        <v>160</v>
      </c>
      <c r="D568" s="1" t="s">
        <v>161</v>
      </c>
      <c r="E568" s="12">
        <v>44970</v>
      </c>
      <c r="F568" s="291">
        <v>1.9</v>
      </c>
      <c r="G568" s="291">
        <v>1.4</v>
      </c>
      <c r="H568" s="291">
        <v>0</v>
      </c>
      <c r="I568" s="291">
        <v>0</v>
      </c>
      <c r="J568" s="291">
        <v>0</v>
      </c>
      <c r="K568" s="291">
        <v>0</v>
      </c>
      <c r="L568" s="291"/>
      <c r="M568" s="291">
        <v>4.3</v>
      </c>
      <c r="N568" s="291">
        <v>0.1</v>
      </c>
      <c r="O568" s="291">
        <v>2.5</v>
      </c>
      <c r="P568" s="291">
        <v>1196.2</v>
      </c>
      <c r="Q568" s="291">
        <v>1247.0999999999999</v>
      </c>
      <c r="R568" s="291"/>
      <c r="S568" s="291"/>
      <c r="T568" s="291">
        <v>2449.5</v>
      </c>
      <c r="U568" s="291">
        <v>505.1</v>
      </c>
      <c r="V568" s="291"/>
      <c r="W568" s="291"/>
      <c r="X568" s="291"/>
      <c r="Y568" s="291"/>
      <c r="Z568" s="291"/>
      <c r="AA568" s="61"/>
      <c r="AB568" s="291"/>
      <c r="AC568" s="61"/>
      <c r="AD568" s="291">
        <v>15.4</v>
      </c>
      <c r="AE568" s="61"/>
      <c r="AF568" s="61"/>
      <c r="AG568" s="61"/>
      <c r="AH568" s="61"/>
      <c r="AI568" s="61"/>
      <c r="AJ568" s="61"/>
      <c r="AK568" s="61"/>
      <c r="AL568" s="291">
        <v>22</v>
      </c>
      <c r="AM568" s="291">
        <v>21</v>
      </c>
      <c r="AN568" s="291">
        <v>15</v>
      </c>
      <c r="AO568" s="61"/>
      <c r="AP568" s="61"/>
      <c r="AQ568" s="61"/>
      <c r="AR568" s="61"/>
      <c r="AS568" s="292"/>
      <c r="AT568" s="206" t="str">
        <f t="shared" si="8"/>
        <v>44970-567</v>
      </c>
    </row>
    <row r="569" spans="1:46" x14ac:dyDescent="0.35">
      <c r="A569" s="204">
        <v>568</v>
      </c>
      <c r="B569" s="14" t="s">
        <v>83</v>
      </c>
      <c r="C569" s="1" t="s">
        <v>245</v>
      </c>
      <c r="D569" s="1" t="s">
        <v>161</v>
      </c>
      <c r="E569" s="12">
        <v>44970</v>
      </c>
      <c r="F569" s="291">
        <v>0.1</v>
      </c>
      <c r="G569" s="291">
        <v>0</v>
      </c>
      <c r="H569" s="291">
        <v>0</v>
      </c>
      <c r="I569" s="291">
        <v>0</v>
      </c>
      <c r="J569" s="291">
        <v>0</v>
      </c>
      <c r="K569" s="291">
        <v>0</v>
      </c>
      <c r="L569" s="291"/>
      <c r="M569" s="291">
        <v>23.5</v>
      </c>
      <c r="N569" s="291">
        <v>0</v>
      </c>
      <c r="O569" s="291">
        <v>0</v>
      </c>
      <c r="P569" s="291">
        <v>7.7</v>
      </c>
      <c r="Q569" s="291">
        <v>465.5</v>
      </c>
      <c r="R569" s="291"/>
      <c r="S569" s="291"/>
      <c r="T569" s="291">
        <v>12</v>
      </c>
      <c r="U569" s="291">
        <v>1.8</v>
      </c>
      <c r="V569" s="291"/>
      <c r="W569" s="291"/>
      <c r="X569" s="291"/>
      <c r="Y569" s="291"/>
      <c r="Z569" s="291"/>
      <c r="AA569" s="61"/>
      <c r="AB569" s="291"/>
      <c r="AC569" s="61"/>
      <c r="AD569" s="291">
        <v>78.599999999999994</v>
      </c>
      <c r="AE569" s="61"/>
      <c r="AF569" s="61"/>
      <c r="AG569" s="61"/>
      <c r="AH569" s="61"/>
      <c r="AI569" s="61"/>
      <c r="AJ569" s="61"/>
      <c r="AK569" s="61"/>
      <c r="AL569" s="291">
        <v>19</v>
      </c>
      <c r="AM569" s="291">
        <v>17</v>
      </c>
      <c r="AN569" s="291">
        <v>13</v>
      </c>
      <c r="AO569" s="61"/>
      <c r="AP569" s="61"/>
      <c r="AQ569" s="61"/>
      <c r="AR569" s="61"/>
      <c r="AS569" s="292"/>
      <c r="AT569" s="206" t="str">
        <f t="shared" si="8"/>
        <v>44970-568</v>
      </c>
    </row>
    <row r="570" spans="1:46" x14ac:dyDescent="0.35">
      <c r="A570" s="204">
        <v>569</v>
      </c>
      <c r="B570" s="14" t="s">
        <v>83</v>
      </c>
      <c r="C570" s="1" t="s">
        <v>160</v>
      </c>
      <c r="D570" s="1" t="s">
        <v>161</v>
      </c>
      <c r="E570" s="12">
        <v>44970</v>
      </c>
      <c r="F570" s="291">
        <v>1.6</v>
      </c>
      <c r="G570" s="291">
        <v>1.3</v>
      </c>
      <c r="H570" s="291">
        <v>0</v>
      </c>
      <c r="I570" s="291">
        <v>0</v>
      </c>
      <c r="J570" s="291">
        <v>0</v>
      </c>
      <c r="K570" s="291">
        <v>0</v>
      </c>
      <c r="L570" s="291"/>
      <c r="M570" s="291">
        <v>4.8</v>
      </c>
      <c r="N570" s="291">
        <v>0.4</v>
      </c>
      <c r="O570" s="291">
        <v>2.1</v>
      </c>
      <c r="P570" s="291">
        <v>1176.3</v>
      </c>
      <c r="Q570" s="291">
        <v>1190.7</v>
      </c>
      <c r="R570" s="291"/>
      <c r="S570" s="291"/>
      <c r="T570" s="291">
        <v>2324.1999999999998</v>
      </c>
      <c r="U570" s="291">
        <v>477.5</v>
      </c>
      <c r="V570" s="291"/>
      <c r="W570" s="291"/>
      <c r="X570" s="291"/>
      <c r="Y570" s="291"/>
      <c r="Z570" s="291"/>
      <c r="AA570" s="61"/>
      <c r="AB570" s="291"/>
      <c r="AC570" s="61"/>
      <c r="AD570" s="291">
        <v>15.4</v>
      </c>
      <c r="AE570" s="61"/>
      <c r="AF570" s="61"/>
      <c r="AG570" s="61"/>
      <c r="AH570" s="61"/>
      <c r="AI570" s="61"/>
      <c r="AJ570" s="61"/>
      <c r="AK570" s="61"/>
      <c r="AL570" s="291">
        <v>22</v>
      </c>
      <c r="AM570" s="291">
        <v>21</v>
      </c>
      <c r="AN570" s="291">
        <v>15</v>
      </c>
      <c r="AO570" s="61"/>
      <c r="AP570" s="61"/>
      <c r="AQ570" s="61"/>
      <c r="AR570" s="61"/>
      <c r="AS570" s="292"/>
      <c r="AT570" s="206" t="str">
        <f t="shared" si="8"/>
        <v>44970-569</v>
      </c>
    </row>
    <row r="571" spans="1:46" x14ac:dyDescent="0.35">
      <c r="A571" s="204">
        <v>570</v>
      </c>
      <c r="B571" s="14" t="s">
        <v>83</v>
      </c>
      <c r="C571" s="1" t="s">
        <v>198</v>
      </c>
      <c r="D571" s="1" t="s">
        <v>161</v>
      </c>
      <c r="E571" s="12">
        <v>44972</v>
      </c>
      <c r="F571" s="291">
        <v>1.7</v>
      </c>
      <c r="G571" s="291">
        <v>1</v>
      </c>
      <c r="H571" s="291">
        <v>0</v>
      </c>
      <c r="I571" s="291">
        <v>0.5</v>
      </c>
      <c r="J571" s="291">
        <v>0.2</v>
      </c>
      <c r="K571" s="291">
        <v>0</v>
      </c>
      <c r="L571" s="291"/>
      <c r="M571" s="291">
        <v>15.2</v>
      </c>
      <c r="N571" s="291">
        <v>1.2</v>
      </c>
      <c r="O571" s="291">
        <v>0</v>
      </c>
      <c r="P571" s="291">
        <v>962.2</v>
      </c>
      <c r="Q571" s="291">
        <v>905</v>
      </c>
      <c r="R571" s="291"/>
      <c r="S571" s="291"/>
      <c r="T571" s="291">
        <v>3396.8</v>
      </c>
      <c r="U571" s="291">
        <v>10.5</v>
      </c>
      <c r="V571" s="291"/>
      <c r="W571" s="291"/>
      <c r="X571" s="291"/>
      <c r="Y571" s="291"/>
      <c r="Z571" s="291"/>
      <c r="AA571" s="61"/>
      <c r="AB571" s="291"/>
      <c r="AC571" s="61"/>
      <c r="AD571" s="291">
        <v>11.4</v>
      </c>
      <c r="AE571" s="61"/>
      <c r="AF571" s="61"/>
      <c r="AG571" s="61"/>
      <c r="AH571" s="61"/>
      <c r="AI571" s="61"/>
      <c r="AJ571" s="61"/>
      <c r="AK571" s="61"/>
      <c r="AL571" s="291">
        <v>24</v>
      </c>
      <c r="AM571" s="291">
        <v>23</v>
      </c>
      <c r="AN571" s="291">
        <v>16</v>
      </c>
      <c r="AO571" s="61"/>
      <c r="AP571" s="61"/>
      <c r="AQ571" s="61"/>
      <c r="AR571" s="61"/>
      <c r="AS571" s="292"/>
      <c r="AT571" s="206" t="str">
        <f t="shared" si="8"/>
        <v>44972-570</v>
      </c>
    </row>
    <row r="572" spans="1:46" x14ac:dyDescent="0.35">
      <c r="A572" s="204">
        <v>571</v>
      </c>
      <c r="B572" s="14" t="s">
        <v>83</v>
      </c>
      <c r="C572" s="1" t="s">
        <v>152</v>
      </c>
      <c r="D572" s="1" t="s">
        <v>161</v>
      </c>
      <c r="E572" s="12">
        <v>44972</v>
      </c>
      <c r="F572" s="291">
        <v>1.5</v>
      </c>
      <c r="G572" s="291">
        <v>0.9</v>
      </c>
      <c r="H572" s="291">
        <v>0</v>
      </c>
      <c r="I572" s="291">
        <v>0</v>
      </c>
      <c r="J572" s="291">
        <v>0.1</v>
      </c>
      <c r="K572" s="291">
        <v>0</v>
      </c>
      <c r="L572" s="291"/>
      <c r="M572" s="291">
        <v>13.7</v>
      </c>
      <c r="N572" s="291">
        <v>1.2</v>
      </c>
      <c r="O572" s="291">
        <v>0</v>
      </c>
      <c r="P572" s="291">
        <v>991.2</v>
      </c>
      <c r="Q572" s="291">
        <v>929.1</v>
      </c>
      <c r="R572" s="291"/>
      <c r="S572" s="291"/>
      <c r="T572" s="291">
        <v>3466.6</v>
      </c>
      <c r="U572" s="291">
        <v>13.7</v>
      </c>
      <c r="V572" s="291"/>
      <c r="W572" s="291"/>
      <c r="X572" s="291"/>
      <c r="Y572" s="291"/>
      <c r="Z572" s="291"/>
      <c r="AA572" s="61"/>
      <c r="AB572" s="291"/>
      <c r="AC572" s="61"/>
      <c r="AD572" s="291">
        <v>6.2</v>
      </c>
      <c r="AE572" s="61"/>
      <c r="AF572" s="61"/>
      <c r="AG572" s="61"/>
      <c r="AH572" s="61"/>
      <c r="AI572" s="61"/>
      <c r="AJ572" s="61"/>
      <c r="AK572" s="61"/>
      <c r="AL572" s="291">
        <v>24</v>
      </c>
      <c r="AM572" s="291">
        <v>22</v>
      </c>
      <c r="AN572" s="291">
        <v>16</v>
      </c>
      <c r="AO572" s="61"/>
      <c r="AP572" s="61"/>
      <c r="AQ572" s="61"/>
      <c r="AR572" s="61"/>
      <c r="AS572" s="292"/>
      <c r="AT572" s="206" t="str">
        <f t="shared" si="8"/>
        <v>44972-571</v>
      </c>
    </row>
    <row r="573" spans="1:46" x14ac:dyDescent="0.35">
      <c r="A573" s="204">
        <v>572</v>
      </c>
      <c r="B573" s="226" t="s">
        <v>83</v>
      </c>
      <c r="C573" s="1" t="s">
        <v>198</v>
      </c>
      <c r="D573" s="114" t="s">
        <v>161</v>
      </c>
      <c r="E573" s="12">
        <v>44972</v>
      </c>
      <c r="F573" s="293">
        <v>1.6</v>
      </c>
      <c r="G573" s="293">
        <v>0.7</v>
      </c>
      <c r="H573" s="293">
        <v>0</v>
      </c>
      <c r="I573" s="293">
        <v>0</v>
      </c>
      <c r="J573" s="293">
        <v>0</v>
      </c>
      <c r="K573" s="293">
        <v>0</v>
      </c>
      <c r="L573" s="293"/>
      <c r="M573" s="293">
        <v>15.2</v>
      </c>
      <c r="N573" s="293">
        <v>1.1000000000000001</v>
      </c>
      <c r="O573" s="293">
        <v>0.5</v>
      </c>
      <c r="P573" s="293">
        <v>971.5</v>
      </c>
      <c r="Q573" s="293">
        <v>907.7</v>
      </c>
      <c r="R573" s="293"/>
      <c r="S573" s="293"/>
      <c r="T573" s="293">
        <v>3402.2</v>
      </c>
      <c r="U573" s="293">
        <v>10.6</v>
      </c>
      <c r="V573" s="293"/>
      <c r="W573" s="293"/>
      <c r="X573" s="293"/>
      <c r="Y573" s="293"/>
      <c r="Z573" s="293"/>
      <c r="AA573" s="227"/>
      <c r="AB573" s="293"/>
      <c r="AC573" s="227"/>
      <c r="AD573" s="293">
        <v>11.2</v>
      </c>
      <c r="AE573" s="227"/>
      <c r="AF573" s="227"/>
      <c r="AG573" s="227"/>
      <c r="AH573" s="227"/>
      <c r="AI573" s="227"/>
      <c r="AJ573" s="227"/>
      <c r="AK573" s="227"/>
      <c r="AL573" s="291">
        <v>24</v>
      </c>
      <c r="AM573" s="293">
        <v>23</v>
      </c>
      <c r="AN573" s="293">
        <v>16</v>
      </c>
      <c r="AO573" s="227"/>
      <c r="AP573" s="227"/>
      <c r="AQ573" s="227"/>
      <c r="AR573" s="227"/>
      <c r="AS573" s="294"/>
      <c r="AT573" s="206" t="str">
        <f t="shared" si="8"/>
        <v>44972-572</v>
      </c>
    </row>
    <row r="574" spans="1:46" x14ac:dyDescent="0.35">
      <c r="A574" s="204">
        <v>573</v>
      </c>
      <c r="B574" s="14" t="s">
        <v>83</v>
      </c>
      <c r="C574" s="1" t="s">
        <v>198</v>
      </c>
      <c r="D574" s="1" t="s">
        <v>161</v>
      </c>
      <c r="E574" s="12">
        <v>44973</v>
      </c>
      <c r="F574" s="291">
        <v>1.4</v>
      </c>
      <c r="G574" s="291">
        <v>1.3</v>
      </c>
      <c r="H574" s="291">
        <v>0.2</v>
      </c>
      <c r="I574" s="291">
        <v>0.4</v>
      </c>
      <c r="J574" s="291">
        <v>0.1</v>
      </c>
      <c r="K574" s="291">
        <v>0.1</v>
      </c>
      <c r="L574" s="291"/>
      <c r="M574" s="291">
        <v>14.9</v>
      </c>
      <c r="N574" s="291">
        <v>1.4</v>
      </c>
      <c r="O574" s="291">
        <v>0.8</v>
      </c>
      <c r="P574" s="291">
        <v>1013.1</v>
      </c>
      <c r="Q574" s="291">
        <v>938.3</v>
      </c>
      <c r="R574" s="291"/>
      <c r="S574" s="291"/>
      <c r="T574" s="291">
        <v>3542</v>
      </c>
      <c r="U574" s="291">
        <v>12.6</v>
      </c>
      <c r="V574" s="291"/>
      <c r="W574" s="291"/>
      <c r="X574" s="291"/>
      <c r="Y574" s="291"/>
      <c r="Z574" s="291"/>
      <c r="AA574" s="61"/>
      <c r="AB574" s="291"/>
      <c r="AC574" s="61"/>
      <c r="AD574" s="291">
        <v>11.3</v>
      </c>
      <c r="AE574" s="61"/>
      <c r="AF574" s="61"/>
      <c r="AG574" s="61"/>
      <c r="AH574" s="61"/>
      <c r="AI574" s="61"/>
      <c r="AJ574" s="61"/>
      <c r="AK574" s="61"/>
      <c r="AL574" s="291">
        <v>24</v>
      </c>
      <c r="AM574" s="291">
        <v>23</v>
      </c>
      <c r="AN574" s="291">
        <v>15</v>
      </c>
      <c r="AO574" s="61"/>
      <c r="AP574" s="61"/>
      <c r="AQ574" s="61"/>
      <c r="AR574" s="61"/>
      <c r="AS574" s="292"/>
      <c r="AT574" s="206" t="str">
        <f t="shared" si="8"/>
        <v>44973-573</v>
      </c>
    </row>
    <row r="575" spans="1:46" x14ac:dyDescent="0.35">
      <c r="A575" s="204">
        <v>574</v>
      </c>
      <c r="B575" s="14" t="s">
        <v>83</v>
      </c>
      <c r="C575" s="1" t="s">
        <v>152</v>
      </c>
      <c r="D575" s="1" t="s">
        <v>161</v>
      </c>
      <c r="E575" s="12">
        <v>44973</v>
      </c>
      <c r="F575" s="291">
        <v>1.2</v>
      </c>
      <c r="G575" s="291">
        <v>1.2</v>
      </c>
      <c r="H575" s="291">
        <v>0</v>
      </c>
      <c r="I575" s="291">
        <v>0</v>
      </c>
      <c r="J575" s="291">
        <v>0</v>
      </c>
      <c r="K575" s="291">
        <v>0</v>
      </c>
      <c r="L575" s="291"/>
      <c r="M575" s="291">
        <v>14.8</v>
      </c>
      <c r="N575" s="291">
        <v>1.4</v>
      </c>
      <c r="O575" s="291">
        <v>0.3</v>
      </c>
      <c r="P575" s="291">
        <v>1015.2</v>
      </c>
      <c r="Q575" s="291">
        <v>927.4</v>
      </c>
      <c r="R575" s="291"/>
      <c r="S575" s="291"/>
      <c r="T575" s="291">
        <v>3540.4</v>
      </c>
      <c r="U575" s="291">
        <v>11.9</v>
      </c>
      <c r="V575" s="291"/>
      <c r="W575" s="291"/>
      <c r="X575" s="291"/>
      <c r="Y575" s="291"/>
      <c r="Z575" s="291"/>
      <c r="AA575" s="61"/>
      <c r="AB575" s="291"/>
      <c r="AC575" s="61"/>
      <c r="AD575" s="291">
        <v>6.1</v>
      </c>
      <c r="AE575" s="61"/>
      <c r="AF575" s="61"/>
      <c r="AG575" s="61"/>
      <c r="AH575" s="61"/>
      <c r="AI575" s="61"/>
      <c r="AJ575" s="61"/>
      <c r="AK575" s="61"/>
      <c r="AL575" s="291">
        <v>24</v>
      </c>
      <c r="AM575" s="291">
        <v>22</v>
      </c>
      <c r="AN575" s="291">
        <v>15</v>
      </c>
      <c r="AO575" s="61"/>
      <c r="AP575" s="61"/>
      <c r="AQ575" s="61"/>
      <c r="AR575" s="61"/>
      <c r="AS575" s="292"/>
      <c r="AT575" s="206" t="str">
        <f t="shared" si="8"/>
        <v>44973-574</v>
      </c>
    </row>
    <row r="576" spans="1:46" x14ac:dyDescent="0.35">
      <c r="A576" s="204">
        <v>575</v>
      </c>
      <c r="B576" s="14" t="s">
        <v>83</v>
      </c>
      <c r="C576" s="1" t="s">
        <v>152</v>
      </c>
      <c r="D576" s="1" t="s">
        <v>161</v>
      </c>
      <c r="E576" s="12">
        <v>44978</v>
      </c>
      <c r="F576" s="291">
        <v>1.3</v>
      </c>
      <c r="G576" s="291">
        <v>0.8</v>
      </c>
      <c r="H576" s="291">
        <v>0</v>
      </c>
      <c r="I576" s="291">
        <v>0</v>
      </c>
      <c r="J576" s="291">
        <v>0.2</v>
      </c>
      <c r="K576" s="291">
        <v>0</v>
      </c>
      <c r="L576" s="291"/>
      <c r="M576" s="291">
        <v>12.8</v>
      </c>
      <c r="N576" s="291">
        <v>0.6</v>
      </c>
      <c r="O576" s="291">
        <v>0.2</v>
      </c>
      <c r="P576" s="291">
        <v>981</v>
      </c>
      <c r="Q576" s="291">
        <v>1055.5999999999999</v>
      </c>
      <c r="R576" s="291"/>
      <c r="S576" s="291"/>
      <c r="T576" s="291">
        <v>3403.5</v>
      </c>
      <c r="U576" s="291">
        <v>11.6</v>
      </c>
      <c r="V576" s="291"/>
      <c r="W576" s="291"/>
      <c r="X576" s="291"/>
      <c r="Y576" s="291"/>
      <c r="Z576" s="291"/>
      <c r="AA576" s="61"/>
      <c r="AB576" s="291"/>
      <c r="AC576" s="61"/>
      <c r="AD576" s="291">
        <v>6.2</v>
      </c>
      <c r="AE576" s="61"/>
      <c r="AF576" s="61"/>
      <c r="AG576" s="61"/>
      <c r="AH576" s="61"/>
      <c r="AI576" s="61"/>
      <c r="AJ576" s="61"/>
      <c r="AK576" s="61"/>
      <c r="AL576" s="291">
        <v>24</v>
      </c>
      <c r="AM576" s="291">
        <v>22</v>
      </c>
      <c r="AN576" s="291">
        <v>15</v>
      </c>
      <c r="AO576" s="61"/>
      <c r="AP576" s="61"/>
      <c r="AQ576" s="61"/>
      <c r="AR576" s="61"/>
      <c r="AS576" s="292"/>
      <c r="AT576" s="206" t="str">
        <f t="shared" si="8"/>
        <v>44978-575</v>
      </c>
    </row>
    <row r="577" spans="1:46" x14ac:dyDescent="0.35">
      <c r="A577" s="204">
        <v>576</v>
      </c>
      <c r="B577" s="14" t="s">
        <v>83</v>
      </c>
      <c r="C577" s="1" t="s">
        <v>152</v>
      </c>
      <c r="D577" s="1" t="s">
        <v>161</v>
      </c>
      <c r="E577" s="12">
        <v>44978</v>
      </c>
      <c r="F577" s="291">
        <v>1.5</v>
      </c>
      <c r="G577" s="291">
        <v>1.2</v>
      </c>
      <c r="H577" s="291">
        <v>0</v>
      </c>
      <c r="I577" s="291">
        <v>0</v>
      </c>
      <c r="J577" s="291">
        <v>0</v>
      </c>
      <c r="K577" s="291">
        <v>0.1</v>
      </c>
      <c r="L577" s="291"/>
      <c r="M577" s="291">
        <v>6</v>
      </c>
      <c r="N577" s="291">
        <v>0</v>
      </c>
      <c r="O577" s="291">
        <v>0.9</v>
      </c>
      <c r="P577" s="291">
        <v>1092.9000000000001</v>
      </c>
      <c r="Q577" s="291">
        <v>1254.8</v>
      </c>
      <c r="R577" s="291"/>
      <c r="S577" s="291"/>
      <c r="T577" s="291">
        <v>2211</v>
      </c>
      <c r="U577" s="291">
        <v>446.9</v>
      </c>
      <c r="V577" s="291"/>
      <c r="W577" s="291"/>
      <c r="X577" s="291"/>
      <c r="Y577" s="291"/>
      <c r="Z577" s="291"/>
      <c r="AA577" s="61"/>
      <c r="AB577" s="291"/>
      <c r="AC577" s="61"/>
      <c r="AD577" s="291">
        <v>6.2</v>
      </c>
      <c r="AE577" s="61"/>
      <c r="AF577" s="61"/>
      <c r="AG577" s="61"/>
      <c r="AH577" s="61"/>
      <c r="AI577" s="61"/>
      <c r="AJ577" s="61"/>
      <c r="AK577" s="61"/>
      <c r="AL577" s="291">
        <v>24</v>
      </c>
      <c r="AM577" s="291">
        <v>22</v>
      </c>
      <c r="AN577" s="291">
        <v>15</v>
      </c>
      <c r="AO577" s="61"/>
      <c r="AP577" s="61"/>
      <c r="AQ577" s="61"/>
      <c r="AR577" s="61"/>
      <c r="AS577" s="292"/>
      <c r="AT577" s="206" t="str">
        <f t="shared" si="8"/>
        <v>44978-576</v>
      </c>
    </row>
    <row r="578" spans="1:46" x14ac:dyDescent="0.35">
      <c r="A578" s="204">
        <v>577</v>
      </c>
      <c r="B578" s="14" t="s">
        <v>83</v>
      </c>
      <c r="C578" s="1" t="s">
        <v>160</v>
      </c>
      <c r="D578" s="1" t="s">
        <v>161</v>
      </c>
      <c r="E578" s="12">
        <v>44978</v>
      </c>
      <c r="F578" s="291">
        <v>1.5</v>
      </c>
      <c r="G578" s="291">
        <v>1.2</v>
      </c>
      <c r="H578" s="291">
        <v>0</v>
      </c>
      <c r="I578" s="291">
        <v>0.2</v>
      </c>
      <c r="J578" s="291">
        <v>0</v>
      </c>
      <c r="K578" s="291">
        <v>0</v>
      </c>
      <c r="L578" s="291"/>
      <c r="M578" s="291">
        <v>5.2</v>
      </c>
      <c r="N578" s="291">
        <v>0</v>
      </c>
      <c r="O578" s="291">
        <v>1.3</v>
      </c>
      <c r="P578" s="291">
        <v>1110.0999999999999</v>
      </c>
      <c r="Q578" s="291">
        <v>1315.7</v>
      </c>
      <c r="R578" s="291"/>
      <c r="S578" s="291"/>
      <c r="T578" s="291">
        <v>2197.6</v>
      </c>
      <c r="U578" s="291">
        <v>447.3</v>
      </c>
      <c r="V578" s="291"/>
      <c r="W578" s="291"/>
      <c r="X578" s="291"/>
      <c r="Y578" s="291"/>
      <c r="Z578" s="291"/>
      <c r="AA578" s="61"/>
      <c r="AB578" s="291"/>
      <c r="AC578" s="61"/>
      <c r="AD578" s="291">
        <v>15.5</v>
      </c>
      <c r="AE578" s="61"/>
      <c r="AF578" s="61"/>
      <c r="AG578" s="61"/>
      <c r="AH578" s="61"/>
      <c r="AI578" s="61"/>
      <c r="AJ578" s="61"/>
      <c r="AK578" s="61"/>
      <c r="AL578" s="291">
        <v>22</v>
      </c>
      <c r="AM578" s="291">
        <v>20</v>
      </c>
      <c r="AN578" s="291">
        <v>15</v>
      </c>
      <c r="AO578" s="61"/>
      <c r="AP578" s="61"/>
      <c r="AQ578" s="61"/>
      <c r="AR578" s="61"/>
      <c r="AS578" s="292"/>
      <c r="AT578" s="206" t="str">
        <f t="shared" ref="AT578:AT641" si="9">CONCATENATE(E578,"-",A578)</f>
        <v>44978-577</v>
      </c>
    </row>
    <row r="579" spans="1:46" x14ac:dyDescent="0.35">
      <c r="A579" s="204">
        <v>578</v>
      </c>
      <c r="B579" s="14" t="s">
        <v>83</v>
      </c>
      <c r="C579" s="1" t="s">
        <v>160</v>
      </c>
      <c r="D579" s="1" t="s">
        <v>161</v>
      </c>
      <c r="E579" s="12">
        <v>44978</v>
      </c>
      <c r="F579" s="291">
        <v>1.5</v>
      </c>
      <c r="G579" s="291">
        <v>1.4</v>
      </c>
      <c r="H579" s="291">
        <v>0</v>
      </c>
      <c r="I579" s="291">
        <v>0</v>
      </c>
      <c r="J579" s="291">
        <v>0</v>
      </c>
      <c r="K579" s="291">
        <v>0.1</v>
      </c>
      <c r="L579" s="291"/>
      <c r="M579" s="291">
        <v>5.0999999999999996</v>
      </c>
      <c r="N579" s="291">
        <v>0</v>
      </c>
      <c r="O579" s="291">
        <v>1.5</v>
      </c>
      <c r="P579" s="291">
        <v>1117.4000000000001</v>
      </c>
      <c r="Q579" s="291">
        <v>1320.4</v>
      </c>
      <c r="R579" s="291"/>
      <c r="S579" s="291"/>
      <c r="T579" s="291">
        <v>2216.1</v>
      </c>
      <c r="U579" s="291">
        <v>449.1</v>
      </c>
      <c r="V579" s="291"/>
      <c r="W579" s="291"/>
      <c r="X579" s="291"/>
      <c r="Y579" s="291"/>
      <c r="Z579" s="291"/>
      <c r="AA579" s="61"/>
      <c r="AB579" s="291"/>
      <c r="AC579" s="61"/>
      <c r="AD579" s="291">
        <v>15.3</v>
      </c>
      <c r="AE579" s="61"/>
      <c r="AF579" s="61"/>
      <c r="AG579" s="61"/>
      <c r="AH579" s="61"/>
      <c r="AI579" s="61"/>
      <c r="AJ579" s="61"/>
      <c r="AK579" s="61"/>
      <c r="AL579" s="291">
        <v>22</v>
      </c>
      <c r="AM579" s="291">
        <v>20</v>
      </c>
      <c r="AN579" s="291">
        <v>14</v>
      </c>
      <c r="AO579" s="61"/>
      <c r="AP579" s="61"/>
      <c r="AQ579" s="61"/>
      <c r="AR579" s="61"/>
      <c r="AS579" s="292"/>
      <c r="AT579" s="206" t="str">
        <f t="shared" si="9"/>
        <v>44978-578</v>
      </c>
    </row>
    <row r="580" spans="1:46" x14ac:dyDescent="0.35">
      <c r="A580" s="204">
        <v>579</v>
      </c>
      <c r="B580" s="14" t="s">
        <v>83</v>
      </c>
      <c r="C580" s="1" t="s">
        <v>152</v>
      </c>
      <c r="D580" s="1" t="s">
        <v>161</v>
      </c>
      <c r="E580" s="12">
        <v>44978</v>
      </c>
      <c r="F580" s="291">
        <v>1.2</v>
      </c>
      <c r="G580" s="291">
        <v>0.7</v>
      </c>
      <c r="H580" s="291">
        <v>0</v>
      </c>
      <c r="I580" s="291">
        <v>0</v>
      </c>
      <c r="J580" s="291">
        <v>0</v>
      </c>
      <c r="K580" s="291">
        <v>0</v>
      </c>
      <c r="L580" s="291"/>
      <c r="M580" s="291">
        <v>11.7</v>
      </c>
      <c r="N580" s="291">
        <v>0.4</v>
      </c>
      <c r="O580" s="291">
        <v>0.4</v>
      </c>
      <c r="P580" s="291">
        <v>965.3</v>
      </c>
      <c r="Q580" s="291">
        <v>1061.4000000000001</v>
      </c>
      <c r="R580" s="291"/>
      <c r="S580" s="291"/>
      <c r="T580" s="291">
        <v>3282.7</v>
      </c>
      <c r="U580" s="291">
        <v>12.8</v>
      </c>
      <c r="V580" s="291"/>
      <c r="W580" s="291"/>
      <c r="X580" s="291"/>
      <c r="Y580" s="291"/>
      <c r="Z580" s="291"/>
      <c r="AA580" s="61"/>
      <c r="AB580" s="291"/>
      <c r="AC580" s="61"/>
      <c r="AD580" s="291">
        <v>6.2</v>
      </c>
      <c r="AE580" s="61"/>
      <c r="AF580" s="61"/>
      <c r="AG580" s="61"/>
      <c r="AH580" s="61"/>
      <c r="AI580" s="61"/>
      <c r="AJ580" s="61"/>
      <c r="AK580" s="61"/>
      <c r="AL580" s="291">
        <v>24</v>
      </c>
      <c r="AM580" s="291">
        <v>22</v>
      </c>
      <c r="AN580" s="291">
        <v>15</v>
      </c>
      <c r="AO580" s="61"/>
      <c r="AP580" s="61"/>
      <c r="AQ580" s="61"/>
      <c r="AR580" s="61"/>
      <c r="AS580" s="292"/>
      <c r="AT580" s="206" t="str">
        <f t="shared" si="9"/>
        <v>44978-579</v>
      </c>
    </row>
    <row r="581" spans="1:46" x14ac:dyDescent="0.35">
      <c r="A581" s="204">
        <v>580</v>
      </c>
      <c r="B581" s="14" t="s">
        <v>83</v>
      </c>
      <c r="C581" s="1" t="s">
        <v>152</v>
      </c>
      <c r="D581" s="1" t="s">
        <v>161</v>
      </c>
      <c r="E581" s="12">
        <v>44979</v>
      </c>
      <c r="F581" s="291">
        <v>1.2</v>
      </c>
      <c r="G581" s="291">
        <v>0.9</v>
      </c>
      <c r="H581" s="291">
        <v>0</v>
      </c>
      <c r="I581" s="291">
        <v>0</v>
      </c>
      <c r="J581" s="291">
        <v>0</v>
      </c>
      <c r="K581" s="291">
        <v>0</v>
      </c>
      <c r="L581" s="291"/>
      <c r="M581" s="291">
        <v>11.6</v>
      </c>
      <c r="N581" s="291">
        <v>1.1000000000000001</v>
      </c>
      <c r="O581" s="291">
        <v>1.4</v>
      </c>
      <c r="P581" s="291">
        <v>973.9</v>
      </c>
      <c r="Q581" s="291">
        <v>905.3</v>
      </c>
      <c r="R581" s="291"/>
      <c r="S581" s="291"/>
      <c r="T581" s="291">
        <v>3321.3</v>
      </c>
      <c r="U581" s="291">
        <v>13</v>
      </c>
      <c r="V581" s="291"/>
      <c r="W581" s="291"/>
      <c r="X581" s="291"/>
      <c r="Y581" s="291"/>
      <c r="Z581" s="291"/>
      <c r="AA581" s="61"/>
      <c r="AB581" s="291"/>
      <c r="AC581" s="61"/>
      <c r="AD581" s="291">
        <v>6.1</v>
      </c>
      <c r="AE581" s="61"/>
      <c r="AF581" s="61"/>
      <c r="AG581" s="61"/>
      <c r="AH581" s="61"/>
      <c r="AI581" s="61"/>
      <c r="AJ581" s="61"/>
      <c r="AK581" s="61"/>
      <c r="AL581" s="291">
        <v>24</v>
      </c>
      <c r="AM581" s="291">
        <v>22</v>
      </c>
      <c r="AN581" s="291">
        <v>16</v>
      </c>
      <c r="AO581" s="61"/>
      <c r="AP581" s="61"/>
      <c r="AQ581" s="61"/>
      <c r="AR581" s="61"/>
      <c r="AS581" s="292"/>
      <c r="AT581" s="206" t="str">
        <f t="shared" si="9"/>
        <v>44979-580</v>
      </c>
    </row>
    <row r="582" spans="1:46" x14ac:dyDescent="0.35">
      <c r="A582" s="204">
        <v>581</v>
      </c>
      <c r="B582" s="14" t="s">
        <v>83</v>
      </c>
      <c r="C582" s="1" t="s">
        <v>160</v>
      </c>
      <c r="D582" s="1" t="s">
        <v>161</v>
      </c>
      <c r="E582" s="12">
        <v>44979</v>
      </c>
      <c r="F582" s="291">
        <v>1.5</v>
      </c>
      <c r="G582" s="291">
        <v>1.4</v>
      </c>
      <c r="H582" s="291">
        <v>0</v>
      </c>
      <c r="I582" s="291">
        <v>0.3</v>
      </c>
      <c r="J582" s="291">
        <v>0</v>
      </c>
      <c r="K582" s="291">
        <v>0</v>
      </c>
      <c r="L582" s="291"/>
      <c r="M582" s="291">
        <v>5</v>
      </c>
      <c r="N582" s="291">
        <v>0.1</v>
      </c>
      <c r="O582" s="291">
        <v>2.5</v>
      </c>
      <c r="P582" s="291">
        <v>1159.3</v>
      </c>
      <c r="Q582" s="291">
        <v>1162.0999999999999</v>
      </c>
      <c r="R582" s="291"/>
      <c r="S582" s="291"/>
      <c r="T582" s="291">
        <v>2288.1</v>
      </c>
      <c r="U582" s="291">
        <v>461.4</v>
      </c>
      <c r="V582" s="291"/>
      <c r="W582" s="291"/>
      <c r="X582" s="291"/>
      <c r="Y582" s="291"/>
      <c r="Z582" s="291"/>
      <c r="AA582" s="61"/>
      <c r="AB582" s="291"/>
      <c r="AC582" s="61"/>
      <c r="AD582" s="291">
        <v>15.3</v>
      </c>
      <c r="AE582" s="61"/>
      <c r="AF582" s="61"/>
      <c r="AG582" s="61"/>
      <c r="AH582" s="61"/>
      <c r="AI582" s="61"/>
      <c r="AJ582" s="61"/>
      <c r="AK582" s="61"/>
      <c r="AL582" s="291">
        <v>22</v>
      </c>
      <c r="AM582" s="291">
        <v>20</v>
      </c>
      <c r="AN582" s="291">
        <v>15</v>
      </c>
      <c r="AO582" s="61"/>
      <c r="AP582" s="61"/>
      <c r="AQ582" s="61"/>
      <c r="AR582" s="61"/>
      <c r="AS582" s="292"/>
      <c r="AT582" s="206" t="str">
        <f t="shared" si="9"/>
        <v>44979-581</v>
      </c>
    </row>
    <row r="583" spans="1:46" x14ac:dyDescent="0.35">
      <c r="A583" s="204">
        <v>582</v>
      </c>
      <c r="B583" s="14" t="s">
        <v>83</v>
      </c>
      <c r="C583" s="1" t="s">
        <v>160</v>
      </c>
      <c r="D583" s="1" t="s">
        <v>161</v>
      </c>
      <c r="E583" s="12">
        <v>44979</v>
      </c>
      <c r="F583" s="291">
        <v>1.5</v>
      </c>
      <c r="G583" s="291">
        <v>1.4</v>
      </c>
      <c r="H583" s="291">
        <v>0</v>
      </c>
      <c r="I583" s="291">
        <v>0.1</v>
      </c>
      <c r="J583" s="291">
        <v>0</v>
      </c>
      <c r="K583" s="291">
        <v>0</v>
      </c>
      <c r="L583" s="291"/>
      <c r="M583" s="291">
        <v>6.4</v>
      </c>
      <c r="N583" s="291">
        <v>0.1</v>
      </c>
      <c r="O583" s="291">
        <v>2.6</v>
      </c>
      <c r="P583" s="291">
        <v>1138.4000000000001</v>
      </c>
      <c r="Q583" s="291">
        <v>1155.0999999999999</v>
      </c>
      <c r="R583" s="291"/>
      <c r="S583" s="291"/>
      <c r="T583" s="291">
        <v>2248.1</v>
      </c>
      <c r="U583" s="291">
        <v>452.7</v>
      </c>
      <c r="V583" s="291"/>
      <c r="W583" s="291"/>
      <c r="X583" s="291"/>
      <c r="Y583" s="291"/>
      <c r="Z583" s="291"/>
      <c r="AA583" s="61"/>
      <c r="AB583" s="291"/>
      <c r="AC583" s="61"/>
      <c r="AD583" s="291">
        <v>15.3</v>
      </c>
      <c r="AE583" s="61"/>
      <c r="AF583" s="61"/>
      <c r="AG583" s="61"/>
      <c r="AH583" s="61"/>
      <c r="AI583" s="61"/>
      <c r="AJ583" s="61"/>
      <c r="AK583" s="61"/>
      <c r="AL583" s="291">
        <v>22</v>
      </c>
      <c r="AM583" s="291">
        <v>20</v>
      </c>
      <c r="AN583" s="291">
        <v>14</v>
      </c>
      <c r="AO583" s="61"/>
      <c r="AP583" s="61"/>
      <c r="AQ583" s="61"/>
      <c r="AR583" s="61"/>
      <c r="AS583" s="292"/>
      <c r="AT583" s="206" t="str">
        <f t="shared" si="9"/>
        <v>44979-582</v>
      </c>
    </row>
    <row r="584" spans="1:46" x14ac:dyDescent="0.35">
      <c r="A584" s="204">
        <v>583</v>
      </c>
      <c r="B584" s="14" t="s">
        <v>83</v>
      </c>
      <c r="C584" s="1" t="s">
        <v>152</v>
      </c>
      <c r="D584" s="1" t="s">
        <v>161</v>
      </c>
      <c r="E584" s="12">
        <v>44979</v>
      </c>
      <c r="F584" s="291">
        <v>1.2</v>
      </c>
      <c r="G584" s="291">
        <v>0.9</v>
      </c>
      <c r="H584" s="291">
        <v>0</v>
      </c>
      <c r="I584" s="291">
        <v>0.2</v>
      </c>
      <c r="J584" s="291">
        <v>0</v>
      </c>
      <c r="K584" s="291">
        <v>0</v>
      </c>
      <c r="L584" s="291"/>
      <c r="M584" s="291">
        <v>14.7</v>
      </c>
      <c r="N584" s="291">
        <v>1</v>
      </c>
      <c r="O584" s="291">
        <v>0.8</v>
      </c>
      <c r="P584" s="291">
        <v>986.2</v>
      </c>
      <c r="Q584" s="291">
        <v>916.2</v>
      </c>
      <c r="R584" s="291"/>
      <c r="S584" s="291"/>
      <c r="T584" s="291">
        <v>3371.1</v>
      </c>
      <c r="U584" s="291">
        <v>12.5</v>
      </c>
      <c r="V584" s="291"/>
      <c r="W584" s="291"/>
      <c r="X584" s="291"/>
      <c r="Y584" s="291"/>
      <c r="Z584" s="291"/>
      <c r="AA584" s="61"/>
      <c r="AB584" s="291"/>
      <c r="AC584" s="61"/>
      <c r="AD584" s="291">
        <v>6.1</v>
      </c>
      <c r="AE584" s="61"/>
      <c r="AF584" s="61"/>
      <c r="AG584" s="61"/>
      <c r="AH584" s="61"/>
      <c r="AI584" s="61"/>
      <c r="AJ584" s="61"/>
      <c r="AK584" s="61"/>
      <c r="AL584" s="291">
        <v>24</v>
      </c>
      <c r="AM584" s="291">
        <v>22</v>
      </c>
      <c r="AN584" s="291">
        <v>16</v>
      </c>
      <c r="AO584" s="61"/>
      <c r="AP584" s="61"/>
      <c r="AQ584" s="61"/>
      <c r="AR584" s="61"/>
      <c r="AS584" s="292"/>
      <c r="AT584" s="206" t="str">
        <f t="shared" si="9"/>
        <v>44979-583</v>
      </c>
    </row>
    <row r="585" spans="1:46" x14ac:dyDescent="0.35">
      <c r="A585" s="204">
        <v>584</v>
      </c>
      <c r="B585" s="14" t="s">
        <v>83</v>
      </c>
      <c r="C585" s="1" t="s">
        <v>160</v>
      </c>
      <c r="D585" s="1" t="s">
        <v>161</v>
      </c>
      <c r="E585" s="12">
        <v>44979</v>
      </c>
      <c r="F585" s="291">
        <v>1.6</v>
      </c>
      <c r="G585" s="291">
        <v>1.2</v>
      </c>
      <c r="H585" s="291">
        <v>0.1</v>
      </c>
      <c r="I585" s="291">
        <v>0</v>
      </c>
      <c r="J585" s="291">
        <v>0</v>
      </c>
      <c r="K585" s="291">
        <v>0</v>
      </c>
      <c r="L585" s="291"/>
      <c r="M585" s="291">
        <v>5.5</v>
      </c>
      <c r="N585" s="291">
        <v>0.3</v>
      </c>
      <c r="O585" s="291">
        <v>1.8</v>
      </c>
      <c r="P585" s="291">
        <v>1173.8</v>
      </c>
      <c r="Q585" s="291">
        <v>1189.8</v>
      </c>
      <c r="R585" s="291"/>
      <c r="S585" s="291"/>
      <c r="T585" s="291">
        <v>2267</v>
      </c>
      <c r="U585" s="291">
        <v>469.6</v>
      </c>
      <c r="V585" s="291"/>
      <c r="W585" s="291"/>
      <c r="X585" s="291"/>
      <c r="Y585" s="291"/>
      <c r="Z585" s="291"/>
      <c r="AA585" s="61"/>
      <c r="AB585" s="291"/>
      <c r="AC585" s="61"/>
      <c r="AD585" s="291">
        <v>15.6</v>
      </c>
      <c r="AE585" s="61"/>
      <c r="AF585" s="61"/>
      <c r="AG585" s="61"/>
      <c r="AH585" s="61"/>
      <c r="AI585" s="61"/>
      <c r="AJ585" s="61"/>
      <c r="AK585" s="61"/>
      <c r="AL585" s="291">
        <v>22</v>
      </c>
      <c r="AM585" s="291">
        <v>20</v>
      </c>
      <c r="AN585" s="291">
        <v>15</v>
      </c>
      <c r="AO585" s="61"/>
      <c r="AP585" s="61"/>
      <c r="AQ585" s="61"/>
      <c r="AR585" s="61"/>
      <c r="AS585" s="292"/>
      <c r="AT585" s="206" t="str">
        <f t="shared" si="9"/>
        <v>44979-584</v>
      </c>
    </row>
    <row r="586" spans="1:46" x14ac:dyDescent="0.35">
      <c r="A586" s="204">
        <v>585</v>
      </c>
      <c r="B586" s="14" t="s">
        <v>83</v>
      </c>
      <c r="C586" s="1" t="s">
        <v>160</v>
      </c>
      <c r="D586" s="1" t="s">
        <v>161</v>
      </c>
      <c r="E586" s="12">
        <v>44979</v>
      </c>
      <c r="F586" s="291">
        <v>1.6</v>
      </c>
      <c r="G586" s="291">
        <v>1.2</v>
      </c>
      <c r="H586" s="291">
        <v>0</v>
      </c>
      <c r="I586" s="291">
        <v>0</v>
      </c>
      <c r="J586" s="291">
        <v>0</v>
      </c>
      <c r="K586" s="291">
        <v>0</v>
      </c>
      <c r="L586" s="291"/>
      <c r="M586" s="291">
        <v>4.7</v>
      </c>
      <c r="N586" s="291">
        <v>0.2</v>
      </c>
      <c r="O586" s="291">
        <v>1.8</v>
      </c>
      <c r="P586" s="291">
        <v>1172.4000000000001</v>
      </c>
      <c r="Q586" s="291">
        <v>1171.4000000000001</v>
      </c>
      <c r="R586" s="291"/>
      <c r="S586" s="291"/>
      <c r="T586" s="291">
        <v>2268.6</v>
      </c>
      <c r="U586" s="291">
        <v>469.1</v>
      </c>
      <c r="V586" s="291"/>
      <c r="W586" s="291"/>
      <c r="X586" s="291"/>
      <c r="Y586" s="291"/>
      <c r="Z586" s="291"/>
      <c r="AA586" s="61"/>
      <c r="AB586" s="291"/>
      <c r="AC586" s="61"/>
      <c r="AD586" s="291">
        <v>15.7</v>
      </c>
      <c r="AE586" s="61"/>
      <c r="AF586" s="61"/>
      <c r="AG586" s="61"/>
      <c r="AH586" s="61"/>
      <c r="AI586" s="61"/>
      <c r="AJ586" s="61"/>
      <c r="AK586" s="61"/>
      <c r="AL586" s="291">
        <v>22</v>
      </c>
      <c r="AM586" s="291">
        <v>20</v>
      </c>
      <c r="AN586" s="291">
        <v>17</v>
      </c>
      <c r="AO586" s="61"/>
      <c r="AP586" s="61"/>
      <c r="AQ586" s="61"/>
      <c r="AR586" s="61"/>
      <c r="AS586" s="292"/>
      <c r="AT586" s="206" t="str">
        <f t="shared" si="9"/>
        <v>44979-585</v>
      </c>
    </row>
    <row r="587" spans="1:46" x14ac:dyDescent="0.35">
      <c r="A587" s="204">
        <v>586</v>
      </c>
      <c r="B587" s="14" t="s">
        <v>83</v>
      </c>
      <c r="C587" s="1" t="s">
        <v>160</v>
      </c>
      <c r="D587" s="1" t="s">
        <v>161</v>
      </c>
      <c r="E587" s="12">
        <v>44986</v>
      </c>
      <c r="F587" s="291">
        <v>1.6082042679999999</v>
      </c>
      <c r="G587" s="291">
        <v>1.3707199859999999</v>
      </c>
      <c r="H587" s="291">
        <v>2.3917687579999999E-2</v>
      </c>
      <c r="I587" s="291">
        <v>7.1156789489999997E-2</v>
      </c>
      <c r="J587" s="291">
        <v>0</v>
      </c>
      <c r="K587" s="291">
        <v>2.1087221520000002E-3</v>
      </c>
      <c r="L587" s="291"/>
      <c r="M587" s="291">
        <v>6.1491188030000004</v>
      </c>
      <c r="N587" s="291">
        <v>0.49871126729999998</v>
      </c>
      <c r="O587" s="291">
        <v>1.8088413910000001</v>
      </c>
      <c r="P587" s="291">
        <v>1152.438795</v>
      </c>
      <c r="Q587" s="291">
        <v>1390.3697529999999</v>
      </c>
      <c r="R587" s="291"/>
      <c r="S587" s="291"/>
      <c r="T587" s="291">
        <v>2446.0481869999999</v>
      </c>
      <c r="U587" s="291">
        <v>450.87322970000002</v>
      </c>
      <c r="V587" s="291"/>
      <c r="W587" s="291"/>
      <c r="X587" s="291"/>
      <c r="Y587" s="291"/>
      <c r="Z587" s="291"/>
      <c r="AA587" s="61"/>
      <c r="AB587" s="291"/>
      <c r="AC587" s="61"/>
      <c r="AD587" s="291">
        <v>15.4</v>
      </c>
      <c r="AE587" s="61"/>
      <c r="AF587" s="61"/>
      <c r="AG587" s="61"/>
      <c r="AH587" s="61"/>
      <c r="AI587" s="61"/>
      <c r="AJ587" s="61"/>
      <c r="AK587" s="61"/>
      <c r="AL587" s="291">
        <v>22</v>
      </c>
      <c r="AM587" s="291">
        <v>21</v>
      </c>
      <c r="AN587" s="291">
        <v>15</v>
      </c>
      <c r="AO587" s="61"/>
      <c r="AP587" s="61"/>
      <c r="AQ587" s="61"/>
      <c r="AR587" s="61"/>
      <c r="AS587" s="292"/>
      <c r="AT587" s="206" t="str">
        <f t="shared" si="9"/>
        <v>44986-586</v>
      </c>
    </row>
    <row r="588" spans="1:46" x14ac:dyDescent="0.35">
      <c r="A588" s="204">
        <v>587</v>
      </c>
      <c r="B588" s="14" t="s">
        <v>83</v>
      </c>
      <c r="C588" s="1" t="s">
        <v>155</v>
      </c>
      <c r="D588" s="1" t="s">
        <v>161</v>
      </c>
      <c r="E588" s="12">
        <v>44986</v>
      </c>
      <c r="F588" s="291">
        <v>1.1966005319999999</v>
      </c>
      <c r="G588" s="291">
        <v>0.71336995489999999</v>
      </c>
      <c r="H588" s="291">
        <v>0</v>
      </c>
      <c r="I588" s="291">
        <v>0</v>
      </c>
      <c r="J588" s="291">
        <v>0</v>
      </c>
      <c r="K588" s="291">
        <v>1.9138765429999999E-2</v>
      </c>
      <c r="L588" s="291"/>
      <c r="M588" s="291">
        <v>16.453365590000001</v>
      </c>
      <c r="N588" s="291">
        <v>1.0602710230000001</v>
      </c>
      <c r="O588" s="291">
        <v>0.34854877740000001</v>
      </c>
      <c r="P588" s="291">
        <v>978.79397630000005</v>
      </c>
      <c r="Q588" s="291">
        <v>1073.6998450000001</v>
      </c>
      <c r="R588" s="291"/>
      <c r="S588" s="291"/>
      <c r="T588" s="291">
        <v>3257.9142919999999</v>
      </c>
      <c r="U588" s="291">
        <v>13.474030259999999</v>
      </c>
      <c r="V588" s="291"/>
      <c r="W588" s="291"/>
      <c r="X588" s="291"/>
      <c r="Y588" s="291"/>
      <c r="Z588" s="291"/>
      <c r="AA588" s="61"/>
      <c r="AB588" s="291"/>
      <c r="AC588" s="61"/>
      <c r="AD588" s="291">
        <v>24.9</v>
      </c>
      <c r="AE588" s="61"/>
      <c r="AF588" s="61"/>
      <c r="AG588" s="61"/>
      <c r="AH588" s="61"/>
      <c r="AI588" s="61"/>
      <c r="AJ588" s="61"/>
      <c r="AK588" s="61"/>
      <c r="AL588" s="291">
        <v>22</v>
      </c>
      <c r="AM588" s="291">
        <v>21</v>
      </c>
      <c r="AN588" s="291">
        <v>16</v>
      </c>
      <c r="AO588" s="61"/>
      <c r="AP588" s="61"/>
      <c r="AQ588" s="61"/>
      <c r="AR588" s="61"/>
      <c r="AS588" s="292"/>
      <c r="AT588" s="206" t="str">
        <f t="shared" si="9"/>
        <v>44986-587</v>
      </c>
    </row>
    <row r="589" spans="1:46" x14ac:dyDescent="0.35">
      <c r="A589" s="204">
        <v>588</v>
      </c>
      <c r="B589" s="14" t="s">
        <v>83</v>
      </c>
      <c r="C589" s="1" t="s">
        <v>198</v>
      </c>
      <c r="D589" s="1" t="s">
        <v>161</v>
      </c>
      <c r="E589" s="12">
        <v>44986</v>
      </c>
      <c r="F589" s="291">
        <v>1.2110779709999999</v>
      </c>
      <c r="G589" s="291">
        <v>1.0092094730000001</v>
      </c>
      <c r="H589" s="291">
        <v>0</v>
      </c>
      <c r="I589" s="291">
        <v>3.4444770610000001E-2</v>
      </c>
      <c r="J589" s="291">
        <v>0</v>
      </c>
      <c r="K589" s="291">
        <v>5.006656114E-2</v>
      </c>
      <c r="L589" s="291"/>
      <c r="M589" s="291">
        <v>13.58471681</v>
      </c>
      <c r="N589" s="291">
        <v>1.22608406</v>
      </c>
      <c r="O589" s="291">
        <v>0.4173691041</v>
      </c>
      <c r="P589" s="291">
        <v>952.06495299999995</v>
      </c>
      <c r="Q589" s="291">
        <v>1050.4983569999999</v>
      </c>
      <c r="R589" s="291"/>
      <c r="S589" s="291"/>
      <c r="T589" s="291">
        <v>3191.0730450000001</v>
      </c>
      <c r="U589" s="291">
        <v>11.271446299999999</v>
      </c>
      <c r="V589" s="291"/>
      <c r="W589" s="291"/>
      <c r="X589" s="291"/>
      <c r="Y589" s="291"/>
      <c r="Z589" s="291"/>
      <c r="AA589" s="61"/>
      <c r="AB589" s="291"/>
      <c r="AC589" s="61"/>
      <c r="AD589" s="291">
        <v>11.4</v>
      </c>
      <c r="AE589" s="61"/>
      <c r="AF589" s="61"/>
      <c r="AG589" s="61"/>
      <c r="AH589" s="61"/>
      <c r="AI589" s="61"/>
      <c r="AJ589" s="61"/>
      <c r="AK589" s="61"/>
      <c r="AL589" s="291">
        <v>22</v>
      </c>
      <c r="AM589" s="291">
        <v>21</v>
      </c>
      <c r="AN589" s="291">
        <v>17</v>
      </c>
      <c r="AO589" s="61"/>
      <c r="AP589" s="61"/>
      <c r="AQ589" s="61"/>
      <c r="AR589" s="61"/>
      <c r="AS589" s="292"/>
      <c r="AT589" s="206" t="str">
        <f t="shared" si="9"/>
        <v>44986-588</v>
      </c>
    </row>
    <row r="590" spans="1:46" x14ac:dyDescent="0.35">
      <c r="A590" s="204">
        <v>589</v>
      </c>
      <c r="B590" s="14" t="s">
        <v>83</v>
      </c>
      <c r="C590" s="1" t="s">
        <v>160</v>
      </c>
      <c r="D590" s="1" t="s">
        <v>161</v>
      </c>
      <c r="E590" s="12">
        <v>44986</v>
      </c>
      <c r="F590" s="291">
        <v>1.5310332120000001</v>
      </c>
      <c r="G590" s="291">
        <v>1.285306193</v>
      </c>
      <c r="H590" s="291">
        <v>0.14602452569999999</v>
      </c>
      <c r="I590" s="291">
        <v>0.65177391210000002</v>
      </c>
      <c r="J590" s="291">
        <v>0</v>
      </c>
      <c r="K590" s="291">
        <v>1.9712215080000001E-2</v>
      </c>
      <c r="L590" s="291"/>
      <c r="M590" s="291">
        <v>5.5631594140000002</v>
      </c>
      <c r="N590" s="291">
        <v>0.55825809150000005</v>
      </c>
      <c r="O590" s="291">
        <v>1.3929340779999999</v>
      </c>
      <c r="P590" s="291">
        <v>1170.2911369999999</v>
      </c>
      <c r="Q590" s="291">
        <v>1383.3630740000001</v>
      </c>
      <c r="R590" s="291"/>
      <c r="S590" s="291"/>
      <c r="T590" s="291">
        <v>2404.3072419999999</v>
      </c>
      <c r="U590" s="291">
        <v>463.54500059999998</v>
      </c>
      <c r="V590" s="291"/>
      <c r="W590" s="291"/>
      <c r="X590" s="291"/>
      <c r="Y590" s="291"/>
      <c r="Z590" s="291"/>
      <c r="AA590" s="61"/>
      <c r="AB590" s="291"/>
      <c r="AC590" s="61"/>
      <c r="AD590" s="291">
        <v>15.4</v>
      </c>
      <c r="AE590" s="61"/>
      <c r="AF590" s="61"/>
      <c r="AG590" s="61"/>
      <c r="AH590" s="61"/>
      <c r="AI590" s="61"/>
      <c r="AJ590" s="61"/>
      <c r="AK590" s="61"/>
      <c r="AL590" s="291">
        <v>22</v>
      </c>
      <c r="AM590" s="291">
        <v>21</v>
      </c>
      <c r="AN590" s="291">
        <v>18</v>
      </c>
      <c r="AO590" s="61"/>
      <c r="AP590" s="61"/>
      <c r="AQ590" s="61"/>
      <c r="AR590" s="61"/>
      <c r="AS590" s="292"/>
      <c r="AT590" s="206" t="str">
        <f t="shared" si="9"/>
        <v>44986-589</v>
      </c>
    </row>
    <row r="591" spans="1:46" x14ac:dyDescent="0.35">
      <c r="A591" s="204">
        <v>590</v>
      </c>
      <c r="B591" s="14" t="s">
        <v>83</v>
      </c>
      <c r="C591" s="1" t="s">
        <v>155</v>
      </c>
      <c r="D591" s="1" t="s">
        <v>161</v>
      </c>
      <c r="E591" s="12">
        <v>44986</v>
      </c>
      <c r="F591" s="291">
        <v>1.1751200260000001</v>
      </c>
      <c r="G591" s="291">
        <v>0.87621841690000002</v>
      </c>
      <c r="H591" s="291">
        <v>0</v>
      </c>
      <c r="I591" s="291">
        <v>0.29523937169999998</v>
      </c>
      <c r="J591" s="291">
        <v>0</v>
      </c>
      <c r="K591" s="291">
        <v>4.7690858709999997E-3</v>
      </c>
      <c r="L591" s="291"/>
      <c r="M591" s="291">
        <v>15.07460296</v>
      </c>
      <c r="N591" s="291">
        <v>0.8825716146</v>
      </c>
      <c r="O591" s="291">
        <v>0.1175589027</v>
      </c>
      <c r="P591" s="291">
        <v>990.9296233</v>
      </c>
      <c r="Q591" s="291">
        <v>1080.0861339999999</v>
      </c>
      <c r="R591" s="291"/>
      <c r="S591" s="291"/>
      <c r="T591" s="291">
        <v>3314.9899329999998</v>
      </c>
      <c r="U591" s="291">
        <v>10.57694073</v>
      </c>
      <c r="V591" s="291"/>
      <c r="W591" s="291"/>
      <c r="X591" s="291"/>
      <c r="Y591" s="291"/>
      <c r="Z591" s="291"/>
      <c r="AA591" s="61"/>
      <c r="AB591" s="291"/>
      <c r="AC591" s="61"/>
      <c r="AD591" s="291">
        <v>25.3</v>
      </c>
      <c r="AE591" s="61"/>
      <c r="AF591" s="61"/>
      <c r="AG591" s="61"/>
      <c r="AH591" s="61"/>
      <c r="AI591" s="61"/>
      <c r="AJ591" s="61"/>
      <c r="AK591" s="61"/>
      <c r="AL591" s="291">
        <v>22</v>
      </c>
      <c r="AM591" s="291">
        <v>21</v>
      </c>
      <c r="AN591" s="291">
        <v>19</v>
      </c>
      <c r="AO591" s="61"/>
      <c r="AP591" s="61"/>
      <c r="AQ591" s="61"/>
      <c r="AR591" s="61"/>
      <c r="AS591" s="292"/>
      <c r="AT591" s="206" t="str">
        <f t="shared" si="9"/>
        <v>44986-590</v>
      </c>
    </row>
    <row r="592" spans="1:46" x14ac:dyDescent="0.35">
      <c r="A592" s="204">
        <v>591</v>
      </c>
      <c r="B592" s="14" t="s">
        <v>83</v>
      </c>
      <c r="C592" s="1" t="s">
        <v>198</v>
      </c>
      <c r="D592" s="1" t="s">
        <v>161</v>
      </c>
      <c r="E592" s="12">
        <v>44986</v>
      </c>
      <c r="F592" s="291">
        <v>1.1711349179999999</v>
      </c>
      <c r="G592" s="291">
        <v>0.85835272399999996</v>
      </c>
      <c r="H592" s="291">
        <v>0</v>
      </c>
      <c r="I592" s="291">
        <v>0.2164336499</v>
      </c>
      <c r="J592" s="291">
        <v>4.955053265E-2</v>
      </c>
      <c r="K592" s="291">
        <v>4.26685038E-2</v>
      </c>
      <c r="L592" s="291"/>
      <c r="M592" s="291">
        <v>13.70851794</v>
      </c>
      <c r="N592" s="291">
        <v>1.0084715280000001</v>
      </c>
      <c r="O592" s="291">
        <v>0.14881591659999999</v>
      </c>
      <c r="P592" s="291">
        <v>970.23634249999998</v>
      </c>
      <c r="Q592" s="291">
        <v>1055.360833</v>
      </c>
      <c r="R592" s="291"/>
      <c r="S592" s="291"/>
      <c r="T592" s="291">
        <v>3261.5471130000001</v>
      </c>
      <c r="U592" s="291">
        <v>9.9060508420000009</v>
      </c>
      <c r="V592" s="291"/>
      <c r="W592" s="291"/>
      <c r="X592" s="291"/>
      <c r="Y592" s="291"/>
      <c r="Z592" s="291"/>
      <c r="AA592" s="61"/>
      <c r="AB592" s="291"/>
      <c r="AC592" s="61"/>
      <c r="AD592" s="291">
        <v>11.4</v>
      </c>
      <c r="AE592" s="61"/>
      <c r="AF592" s="61"/>
      <c r="AG592" s="61"/>
      <c r="AH592" s="61"/>
      <c r="AI592" s="61"/>
      <c r="AJ592" s="61"/>
      <c r="AK592" s="61"/>
      <c r="AL592" s="291">
        <v>22</v>
      </c>
      <c r="AM592" s="291">
        <v>21</v>
      </c>
      <c r="AN592" s="291">
        <v>20</v>
      </c>
      <c r="AO592" s="61"/>
      <c r="AP592" s="61"/>
      <c r="AQ592" s="61"/>
      <c r="AR592" s="61"/>
      <c r="AS592" s="292"/>
      <c r="AT592" s="206" t="str">
        <f t="shared" si="9"/>
        <v>44986-591</v>
      </c>
    </row>
    <row r="593" spans="1:46" x14ac:dyDescent="0.35">
      <c r="A593" s="204">
        <v>592</v>
      </c>
      <c r="B593" s="14" t="s">
        <v>73</v>
      </c>
      <c r="C593" s="1" t="s">
        <v>245</v>
      </c>
      <c r="D593" s="1" t="s">
        <v>150</v>
      </c>
      <c r="E593" s="12">
        <v>44996</v>
      </c>
      <c r="F593" s="59">
        <v>0</v>
      </c>
      <c r="G593" s="201">
        <v>0</v>
      </c>
      <c r="H593" s="201">
        <v>0</v>
      </c>
      <c r="I593" s="201">
        <v>0</v>
      </c>
      <c r="J593" s="59">
        <v>0</v>
      </c>
      <c r="K593" s="201">
        <v>0</v>
      </c>
      <c r="L593" s="201">
        <v>0</v>
      </c>
      <c r="M593" s="59">
        <v>26</v>
      </c>
      <c r="N593" s="201">
        <v>0</v>
      </c>
      <c r="O593" s="201">
        <v>0</v>
      </c>
      <c r="P593" s="201">
        <v>0</v>
      </c>
      <c r="Q593" s="59">
        <v>415</v>
      </c>
      <c r="R593" s="201">
        <v>0</v>
      </c>
      <c r="S593" s="201">
        <v>0</v>
      </c>
      <c r="T593" s="59">
        <v>0</v>
      </c>
      <c r="U593" s="201">
        <v>0</v>
      </c>
      <c r="V593" s="59">
        <v>0</v>
      </c>
      <c r="W593" s="201">
        <v>0</v>
      </c>
      <c r="X593" s="59">
        <v>0</v>
      </c>
      <c r="Y593" s="201">
        <v>0</v>
      </c>
      <c r="Z593" s="201">
        <v>0</v>
      </c>
      <c r="AA593" s="201">
        <v>0</v>
      </c>
      <c r="AB593" s="201">
        <v>0</v>
      </c>
      <c r="AC593" s="201">
        <v>0</v>
      </c>
      <c r="AD593" s="295">
        <v>77.41</v>
      </c>
      <c r="AE593" s="61"/>
      <c r="AF593" s="61"/>
      <c r="AG593" s="61"/>
      <c r="AH593" s="61"/>
      <c r="AI593" s="61"/>
      <c r="AJ593" s="61"/>
      <c r="AK593" s="61"/>
      <c r="AL593" s="291">
        <v>24</v>
      </c>
      <c r="AM593" s="59">
        <v>22</v>
      </c>
      <c r="AN593" s="59">
        <v>15</v>
      </c>
      <c r="AO593" s="61"/>
      <c r="AP593" s="61"/>
      <c r="AQ593" s="61"/>
      <c r="AR593" s="61"/>
      <c r="AS593" s="58" t="s">
        <v>226</v>
      </c>
      <c r="AT593" s="206" t="str">
        <f t="shared" si="9"/>
        <v>44996-592</v>
      </c>
    </row>
    <row r="594" spans="1:46" x14ac:dyDescent="0.35">
      <c r="A594" s="204">
        <v>593</v>
      </c>
      <c r="B594" s="14" t="s">
        <v>73</v>
      </c>
      <c r="C594" s="14" t="s">
        <v>265</v>
      </c>
      <c r="D594" s="1" t="s">
        <v>150</v>
      </c>
      <c r="E594" s="12">
        <v>44996</v>
      </c>
      <c r="F594" s="98">
        <v>1</v>
      </c>
      <c r="G594" s="201">
        <v>0</v>
      </c>
      <c r="H594" s="201">
        <v>0</v>
      </c>
      <c r="I594" s="201">
        <v>0</v>
      </c>
      <c r="J594" s="201">
        <v>0</v>
      </c>
      <c r="K594" s="201">
        <v>0</v>
      </c>
      <c r="L594" s="201">
        <v>0</v>
      </c>
      <c r="M594" s="98">
        <v>15</v>
      </c>
      <c r="N594" s="98">
        <v>3</v>
      </c>
      <c r="O594" s="201">
        <v>0</v>
      </c>
      <c r="P594" s="98">
        <v>1276</v>
      </c>
      <c r="Q594" s="98">
        <v>807</v>
      </c>
      <c r="R594" s="98">
        <v>268</v>
      </c>
      <c r="S594" s="291"/>
      <c r="T594" s="98">
        <v>2278</v>
      </c>
      <c r="U594" s="201">
        <v>0</v>
      </c>
      <c r="V594" s="291"/>
      <c r="W594" s="201">
        <v>0</v>
      </c>
      <c r="X594" s="291"/>
      <c r="Y594" s="98">
        <v>28</v>
      </c>
      <c r="Z594" s="291"/>
      <c r="AA594" s="61"/>
      <c r="AB594" s="201">
        <v>0</v>
      </c>
      <c r="AC594" s="61"/>
      <c r="AD594" s="98">
        <v>15.64</v>
      </c>
      <c r="AE594" s="61"/>
      <c r="AF594" s="61"/>
      <c r="AG594" s="61"/>
      <c r="AH594" s="61"/>
      <c r="AI594" s="98">
        <v>10.6</v>
      </c>
      <c r="AJ594" s="61"/>
      <c r="AK594" s="61"/>
      <c r="AL594" s="291"/>
      <c r="AM594" s="291"/>
      <c r="AN594" s="291"/>
      <c r="AO594" s="98">
        <v>0.1</v>
      </c>
      <c r="AP594" s="61"/>
      <c r="AQ594" s="61"/>
      <c r="AR594" s="98">
        <v>95</v>
      </c>
      <c r="AS594" s="292"/>
      <c r="AT594" s="206" t="str">
        <f t="shared" si="9"/>
        <v>44996-593</v>
      </c>
    </row>
    <row r="595" spans="1:46" x14ac:dyDescent="0.35">
      <c r="A595" s="204">
        <v>594</v>
      </c>
      <c r="B595" s="14" t="s">
        <v>83</v>
      </c>
      <c r="C595" s="1" t="s">
        <v>152</v>
      </c>
      <c r="D595" s="1" t="s">
        <v>161</v>
      </c>
      <c r="E595" s="12">
        <v>44997</v>
      </c>
      <c r="F595" s="291">
        <v>4.3063564889999997</v>
      </c>
      <c r="G595" s="291">
        <v>1.75903035</v>
      </c>
      <c r="H595" s="291">
        <v>0.59927185689999996</v>
      </c>
      <c r="I595" s="291">
        <v>1.808808481</v>
      </c>
      <c r="J595" s="291">
        <v>0</v>
      </c>
      <c r="K595" s="291">
        <v>3.3042564830000003E-2</v>
      </c>
      <c r="L595" s="291"/>
      <c r="M595" s="291">
        <v>13.81590971</v>
      </c>
      <c r="N595" s="291">
        <v>1.0106065209999999</v>
      </c>
      <c r="O595" s="291">
        <v>0.45940610339999999</v>
      </c>
      <c r="P595" s="291">
        <v>995.18557629999998</v>
      </c>
      <c r="Q595" s="291">
        <v>1072.3213000000001</v>
      </c>
      <c r="R595" s="291"/>
      <c r="S595" s="291"/>
      <c r="T595" s="291">
        <v>3309.2447219999999</v>
      </c>
      <c r="U595" s="291">
        <v>9.7908580740000009</v>
      </c>
      <c r="V595" s="291"/>
      <c r="W595" s="291"/>
      <c r="X595" s="291"/>
      <c r="Y595" s="291"/>
      <c r="Z595" s="291"/>
      <c r="AA595" s="61"/>
      <c r="AB595" s="291"/>
      <c r="AC595" s="61"/>
      <c r="AD595" s="291">
        <v>6.2</v>
      </c>
      <c r="AE595" s="61"/>
      <c r="AF595" s="61"/>
      <c r="AG595" s="61"/>
      <c r="AH595" s="61"/>
      <c r="AI595" s="61"/>
      <c r="AJ595" s="61"/>
      <c r="AK595" s="61"/>
      <c r="AL595" s="291">
        <v>24</v>
      </c>
      <c r="AM595" s="291">
        <v>22</v>
      </c>
      <c r="AN595" s="291">
        <v>15</v>
      </c>
      <c r="AO595" s="61"/>
      <c r="AP595" s="61"/>
      <c r="AQ595" s="61"/>
      <c r="AR595" s="61"/>
      <c r="AS595" s="292"/>
      <c r="AT595" s="206" t="str">
        <f t="shared" si="9"/>
        <v>44997-594</v>
      </c>
    </row>
    <row r="596" spans="1:46" x14ac:dyDescent="0.35">
      <c r="A596" s="204">
        <v>595</v>
      </c>
      <c r="B596" s="14" t="s">
        <v>83</v>
      </c>
      <c r="C596" s="1" t="s">
        <v>160</v>
      </c>
      <c r="D596" s="1" t="s">
        <v>161</v>
      </c>
      <c r="E596" s="12">
        <v>44997</v>
      </c>
      <c r="F596" s="291">
        <v>2.2886785430000001</v>
      </c>
      <c r="G596" s="291">
        <v>1.4997593279999999</v>
      </c>
      <c r="H596" s="291">
        <v>0.264397665</v>
      </c>
      <c r="I596" s="291">
        <v>0.28491744499999999</v>
      </c>
      <c r="J596" s="291">
        <v>0</v>
      </c>
      <c r="K596" s="291">
        <v>0.19437020899999999</v>
      </c>
      <c r="L596" s="291"/>
      <c r="M596" s="291">
        <v>5.9405184780000004</v>
      </c>
      <c r="N596" s="291">
        <v>0</v>
      </c>
      <c r="O596" s="291">
        <v>0.73262710900000005</v>
      </c>
      <c r="P596" s="291">
        <v>1161.5337730000001</v>
      </c>
      <c r="Q596" s="291">
        <v>1362.6560159999999</v>
      </c>
      <c r="R596" s="291"/>
      <c r="S596" s="291"/>
      <c r="T596" s="291">
        <v>2308.8670090000001</v>
      </c>
      <c r="U596" s="291">
        <v>461.09221120000001</v>
      </c>
      <c r="V596" s="291"/>
      <c r="W596" s="291"/>
      <c r="X596" s="291"/>
      <c r="Y596" s="291"/>
      <c r="Z596" s="291"/>
      <c r="AA596" s="61"/>
      <c r="AB596" s="291"/>
      <c r="AC596" s="61"/>
      <c r="AD596" s="291">
        <v>15.4</v>
      </c>
      <c r="AE596" s="61"/>
      <c r="AF596" s="61"/>
      <c r="AG596" s="61"/>
      <c r="AH596" s="61"/>
      <c r="AI596" s="61"/>
      <c r="AJ596" s="61"/>
      <c r="AK596" s="61"/>
      <c r="AL596" s="291">
        <v>23</v>
      </c>
      <c r="AM596" s="291">
        <v>21</v>
      </c>
      <c r="AN596" s="291">
        <v>16</v>
      </c>
      <c r="AO596" s="61"/>
      <c r="AP596" s="61"/>
      <c r="AQ596" s="61"/>
      <c r="AR596" s="61"/>
      <c r="AS596" s="292"/>
      <c r="AT596" s="206" t="str">
        <f t="shared" si="9"/>
        <v>44997-595</v>
      </c>
    </row>
    <row r="597" spans="1:46" x14ac:dyDescent="0.35">
      <c r="A597" s="204">
        <v>596</v>
      </c>
      <c r="B597" s="14" t="s">
        <v>83</v>
      </c>
      <c r="C597" s="1" t="s">
        <v>160</v>
      </c>
      <c r="D597" s="1" t="s">
        <v>161</v>
      </c>
      <c r="E597" s="12">
        <v>44997</v>
      </c>
      <c r="F597" s="291">
        <v>1.7984139960000001</v>
      </c>
      <c r="G597" s="291">
        <v>1.4385934650000001</v>
      </c>
      <c r="H597" s="291">
        <v>7.3800903000000001E-2</v>
      </c>
      <c r="I597" s="291">
        <v>0</v>
      </c>
      <c r="J597" s="291">
        <v>0</v>
      </c>
      <c r="K597" s="291">
        <v>5.5898917999999999E-2</v>
      </c>
      <c r="L597" s="291"/>
      <c r="M597" s="291">
        <v>4.9483426939999999</v>
      </c>
      <c r="N597" s="291">
        <v>0</v>
      </c>
      <c r="O597" s="291">
        <v>0.61578465999999998</v>
      </c>
      <c r="P597" s="291">
        <v>1106.516824</v>
      </c>
      <c r="Q597" s="291">
        <v>1292.7298089999999</v>
      </c>
      <c r="R597" s="291"/>
      <c r="S597" s="291"/>
      <c r="T597" s="291">
        <v>2374.5105840000001</v>
      </c>
      <c r="U597" s="291">
        <v>439.02101820000001</v>
      </c>
      <c r="V597" s="291"/>
      <c r="W597" s="291"/>
      <c r="X597" s="291"/>
      <c r="Y597" s="291"/>
      <c r="Z597" s="291"/>
      <c r="AA597" s="61"/>
      <c r="AB597" s="291"/>
      <c r="AC597" s="61"/>
      <c r="AD597" s="291">
        <v>15.4</v>
      </c>
      <c r="AE597" s="61"/>
      <c r="AF597" s="61"/>
      <c r="AG597" s="61"/>
      <c r="AH597" s="61"/>
      <c r="AI597" s="61"/>
      <c r="AJ597" s="61"/>
      <c r="AK597" s="61"/>
      <c r="AL597" s="291">
        <v>22</v>
      </c>
      <c r="AM597" s="291">
        <v>21</v>
      </c>
      <c r="AN597" s="291">
        <v>15</v>
      </c>
      <c r="AO597" s="61"/>
      <c r="AP597" s="61"/>
      <c r="AQ597" s="61"/>
      <c r="AR597" s="61"/>
      <c r="AS597" s="292"/>
      <c r="AT597" s="206" t="str">
        <f t="shared" si="9"/>
        <v>44997-596</v>
      </c>
    </row>
    <row r="598" spans="1:46" x14ac:dyDescent="0.35">
      <c r="A598" s="204">
        <v>597</v>
      </c>
      <c r="B598" s="14" t="s">
        <v>83</v>
      </c>
      <c r="C598" s="1" t="s">
        <v>152</v>
      </c>
      <c r="D598" s="1" t="s">
        <v>161</v>
      </c>
      <c r="E598" s="12">
        <v>44998</v>
      </c>
      <c r="F598" s="291">
        <v>1.3365219530000001</v>
      </c>
      <c r="G598" s="291">
        <v>1.106450379</v>
      </c>
      <c r="H598" s="291">
        <v>1.7353575999999999E-2</v>
      </c>
      <c r="I598" s="291">
        <v>0.24016942799999999</v>
      </c>
      <c r="J598" s="291">
        <v>0</v>
      </c>
      <c r="K598" s="291">
        <v>5.1231389000000002E-2</v>
      </c>
      <c r="L598" s="291"/>
      <c r="M598" s="291">
        <v>13.45898708</v>
      </c>
      <c r="N598" s="291">
        <v>1.0143384179999999</v>
      </c>
      <c r="O598" s="291">
        <v>0.499525355</v>
      </c>
      <c r="P598" s="291">
        <v>1006.672501</v>
      </c>
      <c r="Q598" s="291">
        <v>1086.138111</v>
      </c>
      <c r="R598" s="291"/>
      <c r="S598" s="291"/>
      <c r="T598" s="291">
        <v>3466.170959</v>
      </c>
      <c r="U598" s="291">
        <v>14.203157579999999</v>
      </c>
      <c r="V598" s="291"/>
      <c r="W598" s="291"/>
      <c r="X598" s="291"/>
      <c r="Y598" s="291"/>
      <c r="Z598" s="291"/>
      <c r="AA598" s="61"/>
      <c r="AB598" s="291"/>
      <c r="AC598" s="61"/>
      <c r="AD598" s="291">
        <v>6.1</v>
      </c>
      <c r="AE598" s="61"/>
      <c r="AF598" s="61"/>
      <c r="AG598" s="61"/>
      <c r="AH598" s="61"/>
      <c r="AI598" s="61"/>
      <c r="AJ598" s="61"/>
      <c r="AK598" s="61"/>
      <c r="AL598" s="291">
        <v>24</v>
      </c>
      <c r="AM598" s="291">
        <v>22</v>
      </c>
      <c r="AN598" s="291">
        <v>15</v>
      </c>
      <c r="AO598" s="61"/>
      <c r="AP598" s="61"/>
      <c r="AQ598" s="61"/>
      <c r="AR598" s="61"/>
      <c r="AS598" s="292"/>
      <c r="AT598" s="206" t="str">
        <f t="shared" si="9"/>
        <v>44998-597</v>
      </c>
    </row>
    <row r="599" spans="1:46" x14ac:dyDescent="0.35">
      <c r="A599" s="204">
        <v>598</v>
      </c>
      <c r="B599" s="14" t="s">
        <v>83</v>
      </c>
      <c r="C599" s="1" t="s">
        <v>160</v>
      </c>
      <c r="D599" s="1" t="s">
        <v>161</v>
      </c>
      <c r="E599" s="12">
        <v>44998</v>
      </c>
      <c r="F599" s="291">
        <v>1.751605589</v>
      </c>
      <c r="G599" s="291">
        <v>1.4711977650000001</v>
      </c>
      <c r="H599" s="291">
        <v>2.8573425E-2</v>
      </c>
      <c r="I599" s="291">
        <v>0</v>
      </c>
      <c r="J599" s="291">
        <v>0</v>
      </c>
      <c r="K599" s="291">
        <v>1.5228116999999999E-2</v>
      </c>
      <c r="L599" s="291"/>
      <c r="M599" s="291">
        <v>5.3456617670000002</v>
      </c>
      <c r="N599" s="291">
        <v>0</v>
      </c>
      <c r="O599" s="291">
        <v>0.70450969799999996</v>
      </c>
      <c r="P599" s="291">
        <v>1193.9099120000001</v>
      </c>
      <c r="Q599" s="291">
        <v>1373.4198120000001</v>
      </c>
      <c r="R599" s="291"/>
      <c r="S599" s="291"/>
      <c r="T599" s="291">
        <v>2374.5105840000001</v>
      </c>
      <c r="U599" s="291">
        <v>473.55009460000002</v>
      </c>
      <c r="V599" s="291"/>
      <c r="W599" s="291"/>
      <c r="X599" s="291"/>
      <c r="Y599" s="291"/>
      <c r="Z599" s="291"/>
      <c r="AA599" s="61"/>
      <c r="AB599" s="291"/>
      <c r="AC599" s="61"/>
      <c r="AD599" s="291">
        <v>15.4</v>
      </c>
      <c r="AE599" s="61"/>
      <c r="AF599" s="61"/>
      <c r="AG599" s="61"/>
      <c r="AH599" s="61"/>
      <c r="AI599" s="61"/>
      <c r="AJ599" s="61"/>
      <c r="AK599" s="61"/>
      <c r="AL599" s="291">
        <v>22</v>
      </c>
      <c r="AM599" s="291">
        <v>20</v>
      </c>
      <c r="AN599" s="291">
        <v>15</v>
      </c>
      <c r="AO599" s="61"/>
      <c r="AP599" s="61"/>
      <c r="AQ599" s="61"/>
      <c r="AR599" s="61"/>
      <c r="AS599" s="292"/>
      <c r="AT599" s="206" t="str">
        <f t="shared" si="9"/>
        <v>44998-598</v>
      </c>
    </row>
    <row r="600" spans="1:46" x14ac:dyDescent="0.35">
      <c r="A600" s="204">
        <v>599</v>
      </c>
      <c r="B600" s="14" t="s">
        <v>83</v>
      </c>
      <c r="C600" s="1" t="s">
        <v>152</v>
      </c>
      <c r="D600" s="1" t="s">
        <v>161</v>
      </c>
      <c r="E600" s="12">
        <v>44999</v>
      </c>
      <c r="F600" s="291">
        <v>1.27292603</v>
      </c>
      <c r="G600" s="291">
        <v>0.93980354769999996</v>
      </c>
      <c r="H600" s="291">
        <v>0</v>
      </c>
      <c r="I600" s="291">
        <v>0</v>
      </c>
      <c r="J600" s="291">
        <v>0</v>
      </c>
      <c r="K600" s="291">
        <v>7.6773943550000001E-2</v>
      </c>
      <c r="L600" s="291"/>
      <c r="M600" s="291">
        <v>13.0623422</v>
      </c>
      <c r="N600" s="291">
        <v>0.30501972999999999</v>
      </c>
      <c r="O600" s="291">
        <v>0</v>
      </c>
      <c r="P600" s="291">
        <v>948.4282839</v>
      </c>
      <c r="Q600" s="291">
        <v>1065.3246979999999</v>
      </c>
      <c r="R600" s="291"/>
      <c r="S600" s="291"/>
      <c r="T600" s="291">
        <v>3301.660241</v>
      </c>
      <c r="U600" s="291">
        <v>10.78804478</v>
      </c>
      <c r="V600" s="291"/>
      <c r="W600" s="291"/>
      <c r="X600" s="291"/>
      <c r="Y600" s="291"/>
      <c r="Z600" s="291"/>
      <c r="AA600" s="61"/>
      <c r="AB600" s="291"/>
      <c r="AC600" s="61"/>
      <c r="AD600" s="291">
        <v>6.2</v>
      </c>
      <c r="AE600" s="61"/>
      <c r="AF600" s="61"/>
      <c r="AG600" s="61"/>
      <c r="AH600" s="61"/>
      <c r="AI600" s="61"/>
      <c r="AJ600" s="61"/>
      <c r="AK600" s="61"/>
      <c r="AL600" s="291">
        <v>24</v>
      </c>
      <c r="AM600" s="291">
        <v>22</v>
      </c>
      <c r="AN600" s="291">
        <v>15</v>
      </c>
      <c r="AO600" s="61"/>
      <c r="AP600" s="61"/>
      <c r="AQ600" s="61"/>
      <c r="AR600" s="61"/>
      <c r="AS600" s="292"/>
      <c r="AT600" s="206" t="str">
        <f t="shared" si="9"/>
        <v>44999-599</v>
      </c>
    </row>
    <row r="601" spans="1:46" x14ac:dyDescent="0.35">
      <c r="A601" s="204">
        <v>600</v>
      </c>
      <c r="B601" s="14" t="s">
        <v>83</v>
      </c>
      <c r="C601" s="1" t="s">
        <v>160</v>
      </c>
      <c r="D601" s="1" t="s">
        <v>161</v>
      </c>
      <c r="E601" s="12">
        <v>44999</v>
      </c>
      <c r="F601" s="291">
        <v>1.6316922659999999</v>
      </c>
      <c r="G601" s="291">
        <v>1.269866513</v>
      </c>
      <c r="H601" s="291">
        <v>0</v>
      </c>
      <c r="I601" s="291">
        <v>0</v>
      </c>
      <c r="J601" s="291">
        <v>0</v>
      </c>
      <c r="K601" s="291">
        <v>4.0927968949999997E-2</v>
      </c>
      <c r="L601" s="291"/>
      <c r="M601" s="291">
        <v>5.25699513</v>
      </c>
      <c r="N601" s="291">
        <v>0</v>
      </c>
      <c r="O601" s="291">
        <v>0.90704364569999996</v>
      </c>
      <c r="P601" s="291">
        <v>1116.3606010000001</v>
      </c>
      <c r="Q601" s="291">
        <v>1347.044463</v>
      </c>
      <c r="R601" s="291"/>
      <c r="S601" s="291"/>
      <c r="T601" s="291">
        <v>2346.0420779999999</v>
      </c>
      <c r="U601" s="291">
        <v>441.0358875</v>
      </c>
      <c r="V601" s="291"/>
      <c r="W601" s="291"/>
      <c r="X601" s="291"/>
      <c r="Y601" s="291"/>
      <c r="Z601" s="291"/>
      <c r="AA601" s="61"/>
      <c r="AB601" s="291"/>
      <c r="AC601" s="61"/>
      <c r="AD601" s="291">
        <v>15.4</v>
      </c>
      <c r="AE601" s="61"/>
      <c r="AF601" s="61"/>
      <c r="AG601" s="61"/>
      <c r="AH601" s="61"/>
      <c r="AI601" s="61"/>
      <c r="AJ601" s="61"/>
      <c r="AK601" s="61"/>
      <c r="AL601" s="291">
        <v>23</v>
      </c>
      <c r="AM601" s="291">
        <v>21</v>
      </c>
      <c r="AN601" s="291">
        <v>16</v>
      </c>
      <c r="AO601" s="61"/>
      <c r="AP601" s="61"/>
      <c r="AQ601" s="61"/>
      <c r="AR601" s="61"/>
      <c r="AS601" s="292"/>
      <c r="AT601" s="206" t="str">
        <f t="shared" si="9"/>
        <v>44999-600</v>
      </c>
    </row>
    <row r="602" spans="1:46" x14ac:dyDescent="0.35">
      <c r="A602" s="204">
        <v>601</v>
      </c>
      <c r="B602" s="14" t="s">
        <v>83</v>
      </c>
      <c r="C602" s="1" t="s">
        <v>198</v>
      </c>
      <c r="D602" s="1" t="s">
        <v>161</v>
      </c>
      <c r="E602" s="12">
        <v>44999</v>
      </c>
      <c r="F602" s="291">
        <v>1.245485312</v>
      </c>
      <c r="G602" s="291">
        <v>0.68092877760000003</v>
      </c>
      <c r="H602" s="291">
        <v>9.8658376670000006E-2</v>
      </c>
      <c r="I602" s="291">
        <v>0.42613243420000002</v>
      </c>
      <c r="J602" s="291">
        <v>0.13790253129999999</v>
      </c>
      <c r="K602" s="291">
        <v>3.7478167089999999E-3</v>
      </c>
      <c r="L602" s="291"/>
      <c r="M602" s="291">
        <v>14.158043599999999</v>
      </c>
      <c r="N602" s="291">
        <v>1.0864439880000001</v>
      </c>
      <c r="O602" s="291">
        <v>0.39940667769999999</v>
      </c>
      <c r="P602" s="291">
        <v>965.4357493</v>
      </c>
      <c r="Q602" s="291">
        <v>1038.841803</v>
      </c>
      <c r="R602" s="291"/>
      <c r="S602" s="291"/>
      <c r="T602" s="291">
        <v>3284.310023</v>
      </c>
      <c r="U602" s="291">
        <v>11.61524097</v>
      </c>
      <c r="V602" s="291"/>
      <c r="W602" s="291"/>
      <c r="X602" s="291"/>
      <c r="Y602" s="291"/>
      <c r="Z602" s="291"/>
      <c r="AA602" s="61"/>
      <c r="AB602" s="291"/>
      <c r="AC602" s="61"/>
      <c r="AD602" s="291">
        <v>11.4</v>
      </c>
      <c r="AE602" s="61"/>
      <c r="AF602" s="61"/>
      <c r="AG602" s="61"/>
      <c r="AH602" s="61"/>
      <c r="AI602" s="61"/>
      <c r="AJ602" s="61"/>
      <c r="AK602" s="61"/>
      <c r="AL602" s="291">
        <v>24</v>
      </c>
      <c r="AM602" s="291">
        <v>23</v>
      </c>
      <c r="AN602" s="291">
        <v>16</v>
      </c>
      <c r="AO602" s="61"/>
      <c r="AP602" s="61"/>
      <c r="AQ602" s="61"/>
      <c r="AR602" s="61"/>
      <c r="AS602" s="292"/>
      <c r="AT602" s="206" t="str">
        <f t="shared" si="9"/>
        <v>44999-601</v>
      </c>
    </row>
    <row r="603" spans="1:46" x14ac:dyDescent="0.35">
      <c r="A603" s="204">
        <v>602</v>
      </c>
      <c r="B603" s="14" t="s">
        <v>83</v>
      </c>
      <c r="C603" s="1" t="s">
        <v>152</v>
      </c>
      <c r="D603" s="1" t="s">
        <v>161</v>
      </c>
      <c r="E603" s="12">
        <v>45000</v>
      </c>
      <c r="F603" s="291">
        <v>1.1933181390000001</v>
      </c>
      <c r="G603" s="291">
        <v>0.79987968760000006</v>
      </c>
      <c r="H603" s="291">
        <v>0</v>
      </c>
      <c r="I603" s="291">
        <v>0.27628367390000003</v>
      </c>
      <c r="J603" s="291">
        <v>0</v>
      </c>
      <c r="K603" s="291">
        <v>0</v>
      </c>
      <c r="L603" s="291"/>
      <c r="M603" s="291">
        <v>13.20602974</v>
      </c>
      <c r="N603" s="291">
        <v>1.0160492299999999</v>
      </c>
      <c r="O603" s="291">
        <v>0.47887896969999999</v>
      </c>
      <c r="P603" s="291">
        <v>963.30196679999995</v>
      </c>
      <c r="Q603" s="291">
        <v>1030.174888</v>
      </c>
      <c r="R603" s="291"/>
      <c r="S603" s="291"/>
      <c r="T603" s="291">
        <v>3279.3637290000001</v>
      </c>
      <c r="U603" s="291">
        <v>12.445888350000001</v>
      </c>
      <c r="V603" s="291"/>
      <c r="W603" s="291"/>
      <c r="X603" s="291"/>
      <c r="Y603" s="291"/>
      <c r="Z603" s="291"/>
      <c r="AA603" s="61"/>
      <c r="AB603" s="291"/>
      <c r="AC603" s="61"/>
      <c r="AD603" s="291">
        <v>6.1</v>
      </c>
      <c r="AE603" s="61"/>
      <c r="AF603" s="61"/>
      <c r="AG603" s="61"/>
      <c r="AH603" s="61"/>
      <c r="AI603" s="61"/>
      <c r="AJ603" s="61"/>
      <c r="AK603" s="61"/>
      <c r="AL603" s="291">
        <v>23</v>
      </c>
      <c r="AM603" s="291">
        <v>22</v>
      </c>
      <c r="AN603" s="291">
        <v>15</v>
      </c>
      <c r="AO603" s="61"/>
      <c r="AP603" s="61"/>
      <c r="AQ603" s="61"/>
      <c r="AR603" s="61"/>
      <c r="AS603" s="292"/>
      <c r="AT603" s="206" t="str">
        <f t="shared" si="9"/>
        <v>45000-602</v>
      </c>
    </row>
    <row r="604" spans="1:46" x14ac:dyDescent="0.35">
      <c r="A604" s="204">
        <v>603</v>
      </c>
      <c r="B604" s="14" t="s">
        <v>83</v>
      </c>
      <c r="C604" s="1" t="s">
        <v>160</v>
      </c>
      <c r="D604" s="1" t="s">
        <v>161</v>
      </c>
      <c r="E604" s="12">
        <v>45000</v>
      </c>
      <c r="F604" s="291">
        <v>1.4885120439999999</v>
      </c>
      <c r="G604" s="291">
        <v>1.2910294099999999</v>
      </c>
      <c r="H604" s="291">
        <v>2.1001829310000001E-3</v>
      </c>
      <c r="I604" s="291">
        <v>0.1528743353</v>
      </c>
      <c r="J604" s="291">
        <v>0</v>
      </c>
      <c r="K604" s="291">
        <v>5.1765102969999997E-2</v>
      </c>
      <c r="L604" s="291"/>
      <c r="M604" s="291">
        <v>5.2592428729999998</v>
      </c>
      <c r="N604" s="291">
        <v>0</v>
      </c>
      <c r="O604" s="291">
        <v>1.3709327469999999</v>
      </c>
      <c r="P604" s="291">
        <v>1124.0778310000001</v>
      </c>
      <c r="Q604" s="291">
        <v>1300.3903150000001</v>
      </c>
      <c r="R604" s="291"/>
      <c r="S604" s="291"/>
      <c r="T604" s="291">
        <v>2306.1541099999999</v>
      </c>
      <c r="U604" s="291">
        <v>443.63191749999999</v>
      </c>
      <c r="V604" s="291"/>
      <c r="W604" s="291"/>
      <c r="X604" s="291"/>
      <c r="Y604" s="291"/>
      <c r="Z604" s="291"/>
      <c r="AA604" s="61"/>
      <c r="AB604" s="291"/>
      <c r="AC604" s="61"/>
      <c r="AD604" s="291">
        <v>15.4</v>
      </c>
      <c r="AE604" s="61"/>
      <c r="AF604" s="61"/>
      <c r="AG604" s="61"/>
      <c r="AH604" s="61"/>
      <c r="AI604" s="61"/>
      <c r="AJ604" s="61"/>
      <c r="AK604" s="61"/>
      <c r="AL604" s="291">
        <v>22</v>
      </c>
      <c r="AM604" s="291">
        <v>21</v>
      </c>
      <c r="AN604" s="291">
        <v>15</v>
      </c>
      <c r="AO604" s="61"/>
      <c r="AP604" s="61"/>
      <c r="AQ604" s="61"/>
      <c r="AR604" s="61"/>
      <c r="AS604" s="292"/>
      <c r="AT604" s="206" t="str">
        <f t="shared" si="9"/>
        <v>45000-603</v>
      </c>
    </row>
    <row r="605" spans="1:46" x14ac:dyDescent="0.35">
      <c r="A605" s="204">
        <v>604</v>
      </c>
      <c r="B605" s="14" t="s">
        <v>83</v>
      </c>
      <c r="C605" s="1" t="s">
        <v>198</v>
      </c>
      <c r="D605" s="1" t="s">
        <v>161</v>
      </c>
      <c r="E605" s="12">
        <v>45000</v>
      </c>
      <c r="F605" s="291">
        <v>1.3368735350000001</v>
      </c>
      <c r="G605" s="291">
        <v>1.0830610119999999</v>
      </c>
      <c r="H605" s="291">
        <v>4.7735058660000003E-2</v>
      </c>
      <c r="I605" s="291">
        <v>0.1329218429</v>
      </c>
      <c r="J605" s="291">
        <v>0</v>
      </c>
      <c r="K605" s="291">
        <v>0</v>
      </c>
      <c r="L605" s="291"/>
      <c r="M605" s="291">
        <v>12</v>
      </c>
      <c r="N605" s="291">
        <v>1.094328288</v>
      </c>
      <c r="O605" s="291">
        <v>0.36802819860000002</v>
      </c>
      <c r="P605" s="291">
        <v>1003.017556</v>
      </c>
      <c r="Q605" s="291">
        <v>1074.693755</v>
      </c>
      <c r="R605" s="291"/>
      <c r="S605" s="291"/>
      <c r="T605" s="291">
        <v>3390.9668080000001</v>
      </c>
      <c r="U605" s="291">
        <v>11.46870637</v>
      </c>
      <c r="V605" s="291"/>
      <c r="W605" s="291"/>
      <c r="X605" s="291"/>
      <c r="Y605" s="291"/>
      <c r="Z605" s="291"/>
      <c r="AA605" s="61"/>
      <c r="AB605" s="291"/>
      <c r="AC605" s="61"/>
      <c r="AD605" s="291">
        <v>11.4</v>
      </c>
      <c r="AE605" s="61"/>
      <c r="AF605" s="61"/>
      <c r="AG605" s="61"/>
      <c r="AH605" s="61"/>
      <c r="AI605" s="61"/>
      <c r="AJ605" s="61"/>
      <c r="AK605" s="61"/>
      <c r="AL605" s="291">
        <v>23</v>
      </c>
      <c r="AM605" s="291">
        <v>22</v>
      </c>
      <c r="AN605" s="291">
        <v>18</v>
      </c>
      <c r="AO605" s="61"/>
      <c r="AP605" s="61"/>
      <c r="AQ605" s="61"/>
      <c r="AR605" s="61"/>
      <c r="AS605" s="292"/>
      <c r="AT605" s="206" t="str">
        <f t="shared" si="9"/>
        <v>45000-604</v>
      </c>
    </row>
    <row r="606" spans="1:46" x14ac:dyDescent="0.35">
      <c r="A606" s="204">
        <v>605</v>
      </c>
      <c r="B606" s="14" t="s">
        <v>83</v>
      </c>
      <c r="C606" s="1" t="s">
        <v>160</v>
      </c>
      <c r="D606" s="1" t="s">
        <v>161</v>
      </c>
      <c r="E606" s="12">
        <v>45014</v>
      </c>
      <c r="F606" s="291">
        <v>1.6</v>
      </c>
      <c r="G606" s="291">
        <v>1.5</v>
      </c>
      <c r="H606" s="291">
        <v>0.1</v>
      </c>
      <c r="I606" s="291">
        <v>0.1</v>
      </c>
      <c r="J606" s="291">
        <v>0</v>
      </c>
      <c r="K606" s="291">
        <v>0.1</v>
      </c>
      <c r="L606" s="291"/>
      <c r="M606" s="291">
        <v>5</v>
      </c>
      <c r="N606" s="291">
        <v>0</v>
      </c>
      <c r="O606" s="291">
        <v>1.4</v>
      </c>
      <c r="P606" s="291">
        <v>1130.2</v>
      </c>
      <c r="Q606" s="291">
        <v>1274</v>
      </c>
      <c r="R606" s="291"/>
      <c r="S606" s="291"/>
      <c r="T606" s="291">
        <v>2210.3000000000002</v>
      </c>
      <c r="U606" s="291">
        <v>450.9</v>
      </c>
      <c r="V606" s="291"/>
      <c r="W606" s="291"/>
      <c r="X606" s="291"/>
      <c r="Y606" s="291"/>
      <c r="Z606" s="291"/>
      <c r="AA606" s="61"/>
      <c r="AB606" s="291"/>
      <c r="AC606" s="61"/>
      <c r="AD606" s="291">
        <v>15.5</v>
      </c>
      <c r="AE606" s="61"/>
      <c r="AF606" s="61"/>
      <c r="AG606" s="61"/>
      <c r="AH606" s="61"/>
      <c r="AI606" s="61"/>
      <c r="AJ606" s="61"/>
      <c r="AK606" s="61"/>
      <c r="AL606" s="291">
        <v>23</v>
      </c>
      <c r="AM606" s="291">
        <v>20</v>
      </c>
      <c r="AN606" s="291">
        <v>15</v>
      </c>
      <c r="AO606" s="61"/>
      <c r="AP606" s="61"/>
      <c r="AQ606" s="61"/>
      <c r="AR606" s="61"/>
      <c r="AS606" s="292"/>
      <c r="AT606" s="206" t="str">
        <f t="shared" si="9"/>
        <v>45014-605</v>
      </c>
    </row>
    <row r="607" spans="1:46" x14ac:dyDescent="0.35">
      <c r="A607" s="204">
        <v>606</v>
      </c>
      <c r="B607" s="14" t="s">
        <v>83</v>
      </c>
      <c r="C607" s="1" t="s">
        <v>152</v>
      </c>
      <c r="D607" s="1" t="s">
        <v>161</v>
      </c>
      <c r="E607" s="12">
        <v>45014</v>
      </c>
      <c r="F607" s="291">
        <v>1.3</v>
      </c>
      <c r="G607" s="291">
        <v>1</v>
      </c>
      <c r="H607" s="291">
        <v>0</v>
      </c>
      <c r="I607" s="291">
        <v>0</v>
      </c>
      <c r="J607" s="291">
        <v>0</v>
      </c>
      <c r="K607" s="291">
        <v>0.1</v>
      </c>
      <c r="L607" s="291"/>
      <c r="M607" s="291">
        <v>13.4</v>
      </c>
      <c r="N607" s="291">
        <v>1.4</v>
      </c>
      <c r="O607" s="291">
        <v>0.2</v>
      </c>
      <c r="P607" s="291">
        <v>1002.6</v>
      </c>
      <c r="Q607" s="291">
        <v>1051.7</v>
      </c>
      <c r="R607" s="291"/>
      <c r="S607" s="291"/>
      <c r="T607" s="291">
        <v>3368.3</v>
      </c>
      <c r="U607" s="291">
        <v>13.1</v>
      </c>
      <c r="V607" s="291"/>
      <c r="W607" s="291"/>
      <c r="X607" s="291"/>
      <c r="Y607" s="291"/>
      <c r="Z607" s="291"/>
      <c r="AA607" s="61"/>
      <c r="AB607" s="291"/>
      <c r="AC607" s="61"/>
      <c r="AD607" s="291">
        <v>6.1</v>
      </c>
      <c r="AE607" s="61"/>
      <c r="AF607" s="61"/>
      <c r="AG607" s="61"/>
      <c r="AH607" s="61"/>
      <c r="AI607" s="61"/>
      <c r="AJ607" s="61"/>
      <c r="AK607" s="61"/>
      <c r="AL607" s="291">
        <v>23</v>
      </c>
      <c r="AM607" s="291">
        <v>22</v>
      </c>
      <c r="AN607" s="291">
        <v>17</v>
      </c>
      <c r="AO607" s="61"/>
      <c r="AP607" s="61"/>
      <c r="AQ607" s="61"/>
      <c r="AR607" s="61"/>
      <c r="AS607" s="292"/>
      <c r="AT607" s="206" t="str">
        <f t="shared" si="9"/>
        <v>45014-606</v>
      </c>
    </row>
    <row r="608" spans="1:46" x14ac:dyDescent="0.35">
      <c r="A608" s="204">
        <v>607</v>
      </c>
      <c r="B608" s="14" t="s">
        <v>83</v>
      </c>
      <c r="C608" s="1" t="s">
        <v>152</v>
      </c>
      <c r="D608" s="1" t="s">
        <v>161</v>
      </c>
      <c r="E608" s="12">
        <v>45014</v>
      </c>
      <c r="F608" s="291">
        <v>1.3</v>
      </c>
      <c r="G608" s="291">
        <v>0.9</v>
      </c>
      <c r="H608" s="291">
        <v>0</v>
      </c>
      <c r="I608" s="291">
        <v>0</v>
      </c>
      <c r="J608" s="291">
        <v>0</v>
      </c>
      <c r="K608" s="291">
        <v>0.1</v>
      </c>
      <c r="L608" s="291"/>
      <c r="M608" s="291">
        <v>13.9</v>
      </c>
      <c r="N608" s="291">
        <v>1.2</v>
      </c>
      <c r="O608" s="291">
        <v>0</v>
      </c>
      <c r="P608" s="291">
        <v>1013.1</v>
      </c>
      <c r="Q608" s="291">
        <v>1056.2</v>
      </c>
      <c r="R608" s="291"/>
      <c r="S608" s="291"/>
      <c r="T608" s="291">
        <v>3397</v>
      </c>
      <c r="U608" s="291">
        <v>12.1</v>
      </c>
      <c r="V608" s="291"/>
      <c r="W608" s="291"/>
      <c r="X608" s="291"/>
      <c r="Y608" s="291"/>
      <c r="Z608" s="291"/>
      <c r="AA608" s="61"/>
      <c r="AB608" s="291"/>
      <c r="AC608" s="61"/>
      <c r="AD608" s="291">
        <v>6.1</v>
      </c>
      <c r="AE608" s="61"/>
      <c r="AF608" s="61"/>
      <c r="AG608" s="61"/>
      <c r="AH608" s="61"/>
      <c r="AI608" s="61"/>
      <c r="AJ608" s="61"/>
      <c r="AK608" s="61"/>
      <c r="AL608" s="291">
        <v>23</v>
      </c>
      <c r="AM608" s="291">
        <v>22</v>
      </c>
      <c r="AN608" s="291">
        <v>17</v>
      </c>
      <c r="AO608" s="61"/>
      <c r="AP608" s="61"/>
      <c r="AQ608" s="61"/>
      <c r="AR608" s="61"/>
      <c r="AS608" s="292"/>
      <c r="AT608" s="206" t="str">
        <f t="shared" si="9"/>
        <v>45014-607</v>
      </c>
    </row>
    <row r="609" spans="1:46" x14ac:dyDescent="0.35">
      <c r="A609" s="204">
        <v>608</v>
      </c>
      <c r="B609" s="14" t="s">
        <v>83</v>
      </c>
      <c r="C609" s="1" t="s">
        <v>160</v>
      </c>
      <c r="D609" s="1" t="s">
        <v>161</v>
      </c>
      <c r="E609" s="12">
        <v>45015</v>
      </c>
      <c r="F609" s="291">
        <v>1.6</v>
      </c>
      <c r="G609" s="291">
        <v>1.4</v>
      </c>
      <c r="H609" s="291">
        <v>0</v>
      </c>
      <c r="I609" s="291">
        <v>0</v>
      </c>
      <c r="J609" s="291">
        <v>0</v>
      </c>
      <c r="K609" s="291">
        <v>0.1</v>
      </c>
      <c r="L609" s="291"/>
      <c r="M609" s="291">
        <v>5.2</v>
      </c>
      <c r="N609" s="291">
        <v>0</v>
      </c>
      <c r="O609" s="291">
        <v>1.4</v>
      </c>
      <c r="P609" s="291">
        <v>1167.4000000000001</v>
      </c>
      <c r="Q609" s="291">
        <v>1335.6</v>
      </c>
      <c r="R609" s="291"/>
      <c r="S609" s="291"/>
      <c r="T609" s="291">
        <v>2262.9</v>
      </c>
      <c r="U609" s="291">
        <v>458</v>
      </c>
      <c r="V609" s="291"/>
      <c r="W609" s="291"/>
      <c r="X609" s="291"/>
      <c r="Y609" s="291"/>
      <c r="Z609" s="291"/>
      <c r="AA609" s="61"/>
      <c r="AB609" s="291"/>
      <c r="AC609" s="61"/>
      <c r="AD609" s="291">
        <v>15.7</v>
      </c>
      <c r="AE609" s="61"/>
      <c r="AF609" s="61"/>
      <c r="AG609" s="61"/>
      <c r="AH609" s="61"/>
      <c r="AI609" s="61"/>
      <c r="AJ609" s="61"/>
      <c r="AK609" s="61"/>
      <c r="AL609" s="291">
        <v>23</v>
      </c>
      <c r="AM609" s="291">
        <v>21</v>
      </c>
      <c r="AN609" s="291">
        <v>15</v>
      </c>
      <c r="AO609" s="61"/>
      <c r="AP609" s="61"/>
      <c r="AQ609" s="61"/>
      <c r="AR609" s="61"/>
      <c r="AS609" s="292"/>
      <c r="AT609" s="206" t="str">
        <f t="shared" si="9"/>
        <v>45015-608</v>
      </c>
    </row>
    <row r="610" spans="1:46" x14ac:dyDescent="0.35">
      <c r="A610" s="204">
        <v>609</v>
      </c>
      <c r="B610" s="14" t="s">
        <v>83</v>
      </c>
      <c r="C610" s="1" t="s">
        <v>152</v>
      </c>
      <c r="D610" s="1" t="s">
        <v>161</v>
      </c>
      <c r="E610" s="12">
        <v>45015</v>
      </c>
      <c r="F610" s="291">
        <v>1.3</v>
      </c>
      <c r="G610" s="291">
        <v>1.1000000000000001</v>
      </c>
      <c r="H610" s="291">
        <v>0</v>
      </c>
      <c r="I610" s="291">
        <v>0.1</v>
      </c>
      <c r="J610" s="291">
        <v>0</v>
      </c>
      <c r="K610" s="291">
        <v>0</v>
      </c>
      <c r="L610" s="291"/>
      <c r="M610" s="291">
        <v>13.1</v>
      </c>
      <c r="N610" s="291">
        <v>1</v>
      </c>
      <c r="O610" s="291">
        <v>0</v>
      </c>
      <c r="P610" s="291">
        <v>994.3</v>
      </c>
      <c r="Q610" s="291">
        <v>1049.8</v>
      </c>
      <c r="R610" s="291"/>
      <c r="S610" s="291"/>
      <c r="T610" s="291">
        <v>3336.6</v>
      </c>
      <c r="U610" s="291">
        <v>11.6</v>
      </c>
      <c r="V610" s="291"/>
      <c r="W610" s="291"/>
      <c r="X610" s="291"/>
      <c r="Y610" s="291"/>
      <c r="Z610" s="291"/>
      <c r="AA610" s="61"/>
      <c r="AB610" s="291"/>
      <c r="AC610" s="61"/>
      <c r="AD610" s="291">
        <v>6.1</v>
      </c>
      <c r="AE610" s="61"/>
      <c r="AF610" s="61"/>
      <c r="AG610" s="61"/>
      <c r="AH610" s="61"/>
      <c r="AI610" s="61"/>
      <c r="AJ610" s="61"/>
      <c r="AK610" s="61"/>
      <c r="AL610" s="291">
        <v>23</v>
      </c>
      <c r="AM610" s="291">
        <v>22</v>
      </c>
      <c r="AN610" s="291">
        <v>16</v>
      </c>
      <c r="AO610" s="61"/>
      <c r="AP610" s="61"/>
      <c r="AQ610" s="61"/>
      <c r="AR610" s="61"/>
      <c r="AS610" s="292"/>
      <c r="AT610" s="206" t="str">
        <f t="shared" si="9"/>
        <v>45015-609</v>
      </c>
    </row>
    <row r="611" spans="1:46" x14ac:dyDescent="0.35">
      <c r="A611" s="204">
        <v>610</v>
      </c>
      <c r="B611" s="14" t="s">
        <v>83</v>
      </c>
      <c r="C611" s="1" t="s">
        <v>152</v>
      </c>
      <c r="D611" s="1" t="s">
        <v>161</v>
      </c>
      <c r="E611" s="12">
        <v>45016</v>
      </c>
      <c r="F611" s="291">
        <v>1.3</v>
      </c>
      <c r="G611" s="291">
        <v>1.2</v>
      </c>
      <c r="H611" s="291">
        <v>0</v>
      </c>
      <c r="I611" s="291">
        <v>0</v>
      </c>
      <c r="J611" s="291">
        <v>0.1</v>
      </c>
      <c r="K611" s="291">
        <v>0.1</v>
      </c>
      <c r="L611" s="291"/>
      <c r="M611" s="291">
        <v>12.2</v>
      </c>
      <c r="N611" s="291">
        <v>0.4</v>
      </c>
      <c r="O611" s="291">
        <v>0.3</v>
      </c>
      <c r="P611" s="291">
        <v>971.5</v>
      </c>
      <c r="Q611" s="291">
        <v>1063.3</v>
      </c>
      <c r="R611" s="291"/>
      <c r="S611" s="291"/>
      <c r="T611" s="291">
        <v>3287.4</v>
      </c>
      <c r="U611" s="291">
        <v>9.8000000000000007</v>
      </c>
      <c r="V611" s="291"/>
      <c r="W611" s="291"/>
      <c r="X611" s="291"/>
      <c r="Y611" s="291"/>
      <c r="Z611" s="291"/>
      <c r="AA611" s="61"/>
      <c r="AB611" s="291"/>
      <c r="AC611" s="61"/>
      <c r="AD611" s="291">
        <v>6.1</v>
      </c>
      <c r="AE611" s="61"/>
      <c r="AF611" s="61"/>
      <c r="AG611" s="61"/>
      <c r="AH611" s="61"/>
      <c r="AI611" s="61"/>
      <c r="AJ611" s="61"/>
      <c r="AK611" s="61"/>
      <c r="AL611" s="291">
        <v>21</v>
      </c>
      <c r="AM611" s="291">
        <v>19</v>
      </c>
      <c r="AN611" s="291">
        <v>14</v>
      </c>
      <c r="AO611" s="61"/>
      <c r="AP611" s="61"/>
      <c r="AQ611" s="61"/>
      <c r="AR611" s="61"/>
      <c r="AS611" s="292"/>
      <c r="AT611" s="206" t="str">
        <f t="shared" si="9"/>
        <v>45016-610</v>
      </c>
    </row>
    <row r="612" spans="1:46" x14ac:dyDescent="0.35">
      <c r="A612" s="204">
        <v>611</v>
      </c>
      <c r="B612" s="14" t="s">
        <v>83</v>
      </c>
      <c r="C612" s="1" t="s">
        <v>160</v>
      </c>
      <c r="D612" s="1" t="s">
        <v>161</v>
      </c>
      <c r="E612" s="12">
        <v>45016</v>
      </c>
      <c r="F612" s="291">
        <v>1.6</v>
      </c>
      <c r="G612" s="291">
        <v>1.4</v>
      </c>
      <c r="H612" s="291">
        <v>0</v>
      </c>
      <c r="I612" s="291">
        <v>0</v>
      </c>
      <c r="J612" s="291">
        <v>0</v>
      </c>
      <c r="K612" s="291">
        <v>0.1</v>
      </c>
      <c r="L612" s="291"/>
      <c r="M612" s="291">
        <v>5.7</v>
      </c>
      <c r="N612" s="291">
        <v>0</v>
      </c>
      <c r="O612" s="291">
        <v>1</v>
      </c>
      <c r="P612" s="291">
        <v>1121.0999999999999</v>
      </c>
      <c r="Q612" s="291">
        <v>1330.2</v>
      </c>
      <c r="R612" s="291"/>
      <c r="S612" s="291"/>
      <c r="T612" s="291">
        <v>2200.5</v>
      </c>
      <c r="U612" s="291">
        <v>451</v>
      </c>
      <c r="V612" s="291"/>
      <c r="W612" s="291"/>
      <c r="X612" s="291"/>
      <c r="Y612" s="291"/>
      <c r="Z612" s="291"/>
      <c r="AA612" s="61"/>
      <c r="AB612" s="291"/>
      <c r="AC612" s="61"/>
      <c r="AD612" s="291">
        <v>15.6</v>
      </c>
      <c r="AE612" s="61"/>
      <c r="AF612" s="61"/>
      <c r="AG612" s="61"/>
      <c r="AH612" s="61"/>
      <c r="AI612" s="61"/>
      <c r="AJ612" s="61"/>
      <c r="AK612" s="61"/>
      <c r="AL612" s="291">
        <v>22</v>
      </c>
      <c r="AM612" s="291">
        <v>20</v>
      </c>
      <c r="AN612" s="291">
        <v>16</v>
      </c>
      <c r="AO612" s="61"/>
      <c r="AP612" s="61"/>
      <c r="AQ612" s="61"/>
      <c r="AR612" s="61"/>
      <c r="AS612" s="292"/>
      <c r="AT612" s="206" t="str">
        <f t="shared" si="9"/>
        <v>45016-611</v>
      </c>
    </row>
    <row r="613" spans="1:46" x14ac:dyDescent="0.35">
      <c r="A613" s="204">
        <v>612</v>
      </c>
      <c r="B613" s="14" t="s">
        <v>83</v>
      </c>
      <c r="C613" s="1" t="s">
        <v>160</v>
      </c>
      <c r="D613" s="1" t="s">
        <v>161</v>
      </c>
      <c r="E613" s="12">
        <v>45016</v>
      </c>
      <c r="F613" s="291">
        <v>1.5</v>
      </c>
      <c r="G613" s="291">
        <v>1.4</v>
      </c>
      <c r="H613" s="291">
        <v>0</v>
      </c>
      <c r="I613" s="291">
        <v>0</v>
      </c>
      <c r="J613" s="291">
        <v>0</v>
      </c>
      <c r="K613" s="291">
        <v>0</v>
      </c>
      <c r="L613" s="291"/>
      <c r="M613" s="291">
        <v>5.7</v>
      </c>
      <c r="N613" s="291">
        <v>0</v>
      </c>
      <c r="O613" s="291">
        <v>0.9</v>
      </c>
      <c r="P613" s="291">
        <v>1131.3</v>
      </c>
      <c r="Q613" s="291">
        <v>1324.8</v>
      </c>
      <c r="R613" s="291"/>
      <c r="S613" s="291"/>
      <c r="T613" s="291">
        <v>2221</v>
      </c>
      <c r="U613" s="291">
        <v>454</v>
      </c>
      <c r="V613" s="291"/>
      <c r="W613" s="291"/>
      <c r="X613" s="291"/>
      <c r="Y613" s="291"/>
      <c r="Z613" s="291"/>
      <c r="AA613" s="61"/>
      <c r="AB613" s="291"/>
      <c r="AC613" s="61"/>
      <c r="AD613" s="291">
        <v>15.6</v>
      </c>
      <c r="AE613" s="61"/>
      <c r="AF613" s="61"/>
      <c r="AG613" s="61"/>
      <c r="AH613" s="61"/>
      <c r="AI613" s="61"/>
      <c r="AJ613" s="61"/>
      <c r="AK613" s="61"/>
      <c r="AL613" s="291">
        <v>21</v>
      </c>
      <c r="AM613" s="291">
        <v>19</v>
      </c>
      <c r="AN613" s="291">
        <v>15</v>
      </c>
      <c r="AO613" s="61"/>
      <c r="AP613" s="61"/>
      <c r="AQ613" s="61"/>
      <c r="AR613" s="61"/>
      <c r="AS613" s="292"/>
      <c r="AT613" s="206" t="str">
        <f t="shared" si="9"/>
        <v>45016-612</v>
      </c>
    </row>
    <row r="614" spans="1:46" x14ac:dyDescent="0.35">
      <c r="A614" s="204">
        <v>613</v>
      </c>
      <c r="B614" s="226" t="s">
        <v>83</v>
      </c>
      <c r="C614" s="1" t="s">
        <v>152</v>
      </c>
      <c r="D614" s="114" t="s">
        <v>161</v>
      </c>
      <c r="E614" s="12">
        <v>45016</v>
      </c>
      <c r="F614" s="293">
        <v>1.2</v>
      </c>
      <c r="G614" s="293">
        <v>1.2</v>
      </c>
      <c r="H614" s="293">
        <v>0</v>
      </c>
      <c r="I614" s="293">
        <v>0.1</v>
      </c>
      <c r="J614" s="293">
        <v>0</v>
      </c>
      <c r="K614" s="293">
        <v>0</v>
      </c>
      <c r="L614" s="293"/>
      <c r="M614" s="293">
        <v>12.2</v>
      </c>
      <c r="N614" s="293">
        <v>0.7</v>
      </c>
      <c r="O614" s="293">
        <v>0</v>
      </c>
      <c r="P614" s="293">
        <v>935.4</v>
      </c>
      <c r="Q614" s="293">
        <v>1035.3</v>
      </c>
      <c r="R614" s="293"/>
      <c r="S614" s="293"/>
      <c r="T614" s="293">
        <v>3254.7</v>
      </c>
      <c r="U614" s="293">
        <v>11.2</v>
      </c>
      <c r="V614" s="293"/>
      <c r="W614" s="293"/>
      <c r="X614" s="293"/>
      <c r="Y614" s="293"/>
      <c r="Z614" s="293"/>
      <c r="AA614" s="227"/>
      <c r="AB614" s="293"/>
      <c r="AC614" s="227"/>
      <c r="AD614" s="293">
        <v>6.2</v>
      </c>
      <c r="AE614" s="227"/>
      <c r="AF614" s="227"/>
      <c r="AG614" s="227"/>
      <c r="AH614" s="227"/>
      <c r="AI614" s="227"/>
      <c r="AJ614" s="227"/>
      <c r="AK614" s="227"/>
      <c r="AL614" s="291">
        <v>22</v>
      </c>
      <c r="AM614" s="293">
        <v>20</v>
      </c>
      <c r="AN614" s="293">
        <v>15</v>
      </c>
      <c r="AO614" s="227"/>
      <c r="AP614" s="227"/>
      <c r="AQ614" s="227"/>
      <c r="AR614" s="227"/>
      <c r="AS614" s="294"/>
      <c r="AT614" s="206" t="str">
        <f t="shared" si="9"/>
        <v>45016-613</v>
      </c>
    </row>
    <row r="615" spans="1:46" x14ac:dyDescent="0.35">
      <c r="A615" s="204">
        <v>614</v>
      </c>
      <c r="B615" s="14" t="s">
        <v>83</v>
      </c>
      <c r="C615" s="1" t="s">
        <v>160</v>
      </c>
      <c r="D615" s="1" t="s">
        <v>161</v>
      </c>
      <c r="E615" s="12">
        <v>45016</v>
      </c>
      <c r="F615" s="291">
        <v>1.5</v>
      </c>
      <c r="G615" s="291">
        <v>1.4</v>
      </c>
      <c r="H615" s="291">
        <v>0.1</v>
      </c>
      <c r="I615" s="291">
        <v>0</v>
      </c>
      <c r="J615" s="291">
        <v>0</v>
      </c>
      <c r="K615" s="291">
        <v>0</v>
      </c>
      <c r="L615" s="291"/>
      <c r="M615" s="291">
        <v>4.5999999999999996</v>
      </c>
      <c r="N615" s="291">
        <v>0</v>
      </c>
      <c r="O615" s="291">
        <v>1.4</v>
      </c>
      <c r="P615" s="291">
        <v>1073.2</v>
      </c>
      <c r="Q615" s="291">
        <v>1280.2</v>
      </c>
      <c r="R615" s="291"/>
      <c r="S615" s="291"/>
      <c r="T615" s="291">
        <v>2166</v>
      </c>
      <c r="U615" s="291">
        <v>447.6</v>
      </c>
      <c r="V615" s="291"/>
      <c r="W615" s="291"/>
      <c r="X615" s="291"/>
      <c r="Y615" s="291"/>
      <c r="Z615" s="291"/>
      <c r="AA615" s="61"/>
      <c r="AB615" s="291"/>
      <c r="AC615" s="61"/>
      <c r="AD615" s="291">
        <v>15.7</v>
      </c>
      <c r="AE615" s="61"/>
      <c r="AF615" s="61"/>
      <c r="AG615" s="61"/>
      <c r="AH615" s="61"/>
      <c r="AI615" s="61"/>
      <c r="AJ615" s="61"/>
      <c r="AK615" s="61"/>
      <c r="AL615" s="291">
        <v>23</v>
      </c>
      <c r="AM615" s="291">
        <v>21</v>
      </c>
      <c r="AN615" s="291">
        <v>16</v>
      </c>
      <c r="AO615" s="61"/>
      <c r="AP615" s="61"/>
      <c r="AQ615" s="61"/>
      <c r="AR615" s="61"/>
      <c r="AS615" s="292"/>
      <c r="AT615" s="206" t="str">
        <f t="shared" si="9"/>
        <v>45016-614</v>
      </c>
    </row>
    <row r="616" spans="1:46" x14ac:dyDescent="0.35">
      <c r="A616" s="204">
        <v>615</v>
      </c>
      <c r="B616" s="14" t="s">
        <v>83</v>
      </c>
      <c r="C616" s="1" t="s">
        <v>160</v>
      </c>
      <c r="D616" s="1" t="s">
        <v>161</v>
      </c>
      <c r="E616" s="12">
        <v>45016</v>
      </c>
      <c r="F616" s="291">
        <v>1.5</v>
      </c>
      <c r="G616" s="291">
        <v>1.5</v>
      </c>
      <c r="H616" s="291">
        <v>0</v>
      </c>
      <c r="I616" s="291">
        <v>0.2</v>
      </c>
      <c r="J616" s="291">
        <v>0</v>
      </c>
      <c r="K616" s="291">
        <v>0</v>
      </c>
      <c r="L616" s="291"/>
      <c r="M616" s="291">
        <v>4.8</v>
      </c>
      <c r="N616" s="291">
        <v>0</v>
      </c>
      <c r="O616" s="291">
        <v>1.6</v>
      </c>
      <c r="P616" s="291">
        <v>1107.2</v>
      </c>
      <c r="Q616" s="291">
        <v>1299</v>
      </c>
      <c r="R616" s="291"/>
      <c r="S616" s="291"/>
      <c r="T616" s="291">
        <v>2238.1</v>
      </c>
      <c r="U616" s="291">
        <v>462.8</v>
      </c>
      <c r="V616" s="291"/>
      <c r="W616" s="291"/>
      <c r="X616" s="291"/>
      <c r="Y616" s="291"/>
      <c r="Z616" s="291"/>
      <c r="AA616" s="61"/>
      <c r="AB616" s="291"/>
      <c r="AC616" s="61"/>
      <c r="AD616" s="291">
        <v>15.7</v>
      </c>
      <c r="AE616" s="61"/>
      <c r="AF616" s="61"/>
      <c r="AG616" s="61"/>
      <c r="AH616" s="61"/>
      <c r="AI616" s="61"/>
      <c r="AJ616" s="61"/>
      <c r="AK616" s="61"/>
      <c r="AL616" s="291">
        <v>19</v>
      </c>
      <c r="AM616" s="291">
        <v>17</v>
      </c>
      <c r="AN616" s="291">
        <v>11</v>
      </c>
      <c r="AO616" s="61"/>
      <c r="AP616" s="61"/>
      <c r="AQ616" s="61"/>
      <c r="AR616" s="61"/>
      <c r="AS616" s="292"/>
      <c r="AT616" s="206" t="str">
        <f t="shared" si="9"/>
        <v>45016-615</v>
      </c>
    </row>
    <row r="617" spans="1:46" x14ac:dyDescent="0.35">
      <c r="A617" s="204">
        <v>616</v>
      </c>
      <c r="B617" s="14" t="s">
        <v>83</v>
      </c>
      <c r="C617" s="1" t="s">
        <v>152</v>
      </c>
      <c r="D617" s="1" t="s">
        <v>161</v>
      </c>
      <c r="E617" s="12">
        <v>45021</v>
      </c>
      <c r="F617" s="291">
        <v>1.5</v>
      </c>
      <c r="G617" s="291">
        <v>0.9</v>
      </c>
      <c r="H617" s="291">
        <v>0</v>
      </c>
      <c r="I617" s="291">
        <v>0.4</v>
      </c>
      <c r="J617" s="291">
        <v>0.1</v>
      </c>
      <c r="K617" s="291">
        <v>0</v>
      </c>
      <c r="L617" s="291"/>
      <c r="M617" s="291">
        <v>12.5</v>
      </c>
      <c r="N617" s="291">
        <v>1.3</v>
      </c>
      <c r="O617" s="291">
        <v>0</v>
      </c>
      <c r="P617" s="291">
        <v>969.8</v>
      </c>
      <c r="Q617" s="291">
        <v>1125.0999999999999</v>
      </c>
      <c r="R617" s="291"/>
      <c r="S617" s="291"/>
      <c r="T617" s="291">
        <v>3417</v>
      </c>
      <c r="U617" s="291">
        <v>20.399999999999999</v>
      </c>
      <c r="V617" s="291"/>
      <c r="W617" s="291"/>
      <c r="X617" s="291"/>
      <c r="Y617" s="291"/>
      <c r="Z617" s="291"/>
      <c r="AA617" s="61"/>
      <c r="AB617" s="291"/>
      <c r="AC617" s="61"/>
      <c r="AD617" s="291">
        <v>6.2</v>
      </c>
      <c r="AE617" s="61"/>
      <c r="AF617" s="61"/>
      <c r="AG617" s="61"/>
      <c r="AH617" s="61"/>
      <c r="AI617" s="61"/>
      <c r="AJ617" s="61"/>
      <c r="AK617" s="61"/>
      <c r="AL617" s="291">
        <v>23</v>
      </c>
      <c r="AM617" s="291">
        <v>22</v>
      </c>
      <c r="AN617" s="291">
        <v>17</v>
      </c>
      <c r="AO617" s="61"/>
      <c r="AP617" s="61"/>
      <c r="AQ617" s="61"/>
      <c r="AR617" s="61"/>
      <c r="AS617" s="292"/>
      <c r="AT617" s="206" t="str">
        <f t="shared" si="9"/>
        <v>45021-616</v>
      </c>
    </row>
    <row r="618" spans="1:46" x14ac:dyDescent="0.35">
      <c r="A618" s="204">
        <v>617</v>
      </c>
      <c r="B618" s="14" t="s">
        <v>83</v>
      </c>
      <c r="C618" s="1" t="s">
        <v>160</v>
      </c>
      <c r="D618" s="1" t="s">
        <v>161</v>
      </c>
      <c r="E618" s="12">
        <v>45021</v>
      </c>
      <c r="F618" s="291">
        <v>1.7</v>
      </c>
      <c r="G618" s="291">
        <v>1.4</v>
      </c>
      <c r="H618" s="291">
        <v>0</v>
      </c>
      <c r="I618" s="291">
        <v>0</v>
      </c>
      <c r="J618" s="291">
        <v>0</v>
      </c>
      <c r="K618" s="291">
        <v>0</v>
      </c>
      <c r="L618" s="291"/>
      <c r="M618" s="291">
        <v>5.7</v>
      </c>
      <c r="N618" s="291">
        <v>0.1</v>
      </c>
      <c r="O618" s="291">
        <v>1.8</v>
      </c>
      <c r="P618" s="291">
        <v>1110.9000000000001</v>
      </c>
      <c r="Q618" s="291">
        <v>1398</v>
      </c>
      <c r="R618" s="291"/>
      <c r="S618" s="291"/>
      <c r="T618" s="291">
        <v>2299.1</v>
      </c>
      <c r="U618" s="291">
        <v>463.6</v>
      </c>
      <c r="V618" s="291"/>
      <c r="W618" s="291"/>
      <c r="X618" s="291"/>
      <c r="Y618" s="291"/>
      <c r="Z618" s="291"/>
      <c r="AA618" s="61"/>
      <c r="AB618" s="291"/>
      <c r="AC618" s="61"/>
      <c r="AD618" s="291">
        <v>15.7</v>
      </c>
      <c r="AE618" s="61"/>
      <c r="AF618" s="61"/>
      <c r="AG618" s="61"/>
      <c r="AH618" s="61"/>
      <c r="AI618" s="61"/>
      <c r="AJ618" s="61"/>
      <c r="AK618" s="61"/>
      <c r="AL618" s="291">
        <v>22</v>
      </c>
      <c r="AM618" s="291">
        <v>21</v>
      </c>
      <c r="AN618" s="291">
        <v>15</v>
      </c>
      <c r="AO618" s="61"/>
      <c r="AP618" s="61"/>
      <c r="AQ618" s="61"/>
      <c r="AR618" s="61"/>
      <c r="AS618" s="292"/>
      <c r="AT618" s="206" t="str">
        <f t="shared" si="9"/>
        <v>45021-617</v>
      </c>
    </row>
    <row r="619" spans="1:46" x14ac:dyDescent="0.35">
      <c r="A619" s="204">
        <v>618</v>
      </c>
      <c r="B619" s="14" t="s">
        <v>83</v>
      </c>
      <c r="C619" s="1" t="s">
        <v>152</v>
      </c>
      <c r="D619" s="1" t="s">
        <v>161</v>
      </c>
      <c r="E619" s="12">
        <v>45021</v>
      </c>
      <c r="F619" s="291">
        <v>1.4</v>
      </c>
      <c r="G619" s="291">
        <v>1</v>
      </c>
      <c r="H619" s="291">
        <v>0</v>
      </c>
      <c r="I619" s="291">
        <v>0.1</v>
      </c>
      <c r="J619" s="291">
        <v>0.1</v>
      </c>
      <c r="K619" s="291">
        <v>0</v>
      </c>
      <c r="L619" s="291"/>
      <c r="M619" s="291">
        <v>12.5</v>
      </c>
      <c r="N619" s="291">
        <v>1</v>
      </c>
      <c r="O619" s="291">
        <v>0.5</v>
      </c>
      <c r="P619" s="291">
        <v>969.4</v>
      </c>
      <c r="Q619" s="291">
        <v>1123.8</v>
      </c>
      <c r="R619" s="291"/>
      <c r="S619" s="291"/>
      <c r="T619" s="291">
        <v>3399</v>
      </c>
      <c r="U619" s="291">
        <v>23.6</v>
      </c>
      <c r="V619" s="291"/>
      <c r="W619" s="291"/>
      <c r="X619" s="291"/>
      <c r="Y619" s="291"/>
      <c r="Z619" s="291"/>
      <c r="AA619" s="61"/>
      <c r="AB619" s="291"/>
      <c r="AC619" s="61"/>
      <c r="AD619" s="291">
        <v>6.2</v>
      </c>
      <c r="AE619" s="61"/>
      <c r="AF619" s="61"/>
      <c r="AG619" s="61"/>
      <c r="AH619" s="61"/>
      <c r="AI619" s="61"/>
      <c r="AJ619" s="61"/>
      <c r="AK619" s="61"/>
      <c r="AL619" s="291">
        <v>23</v>
      </c>
      <c r="AM619" s="291">
        <v>22</v>
      </c>
      <c r="AN619" s="291">
        <v>17</v>
      </c>
      <c r="AO619" s="61"/>
      <c r="AP619" s="61"/>
      <c r="AQ619" s="61"/>
      <c r="AR619" s="61"/>
      <c r="AS619" s="292"/>
      <c r="AT619" s="206" t="str">
        <f t="shared" si="9"/>
        <v>45021-618</v>
      </c>
    </row>
    <row r="620" spans="1:46" x14ac:dyDescent="0.35">
      <c r="A620" s="204">
        <v>619</v>
      </c>
      <c r="B620" s="14" t="s">
        <v>83</v>
      </c>
      <c r="C620" s="1" t="s">
        <v>160</v>
      </c>
      <c r="D620" s="1" t="s">
        <v>161</v>
      </c>
      <c r="E620" s="12">
        <v>45022</v>
      </c>
      <c r="F620" s="291">
        <v>1.7</v>
      </c>
      <c r="G620" s="291">
        <v>1.4</v>
      </c>
      <c r="H620" s="291">
        <v>0</v>
      </c>
      <c r="I620" s="291">
        <v>0</v>
      </c>
      <c r="J620" s="291">
        <v>0</v>
      </c>
      <c r="K620" s="291">
        <v>0</v>
      </c>
      <c r="L620" s="291"/>
      <c r="M620" s="291">
        <v>5.7</v>
      </c>
      <c r="N620" s="291">
        <v>0</v>
      </c>
      <c r="O620" s="291">
        <v>1.7</v>
      </c>
      <c r="P620" s="291">
        <v>1123.0999999999999</v>
      </c>
      <c r="Q620" s="291">
        <v>1436.8</v>
      </c>
      <c r="R620" s="291"/>
      <c r="S620" s="291"/>
      <c r="T620" s="291">
        <v>2303.9</v>
      </c>
      <c r="U620" s="291">
        <v>465</v>
      </c>
      <c r="V620" s="291"/>
      <c r="W620" s="291"/>
      <c r="X620" s="291"/>
      <c r="Y620" s="291"/>
      <c r="Z620" s="291"/>
      <c r="AA620" s="61"/>
      <c r="AB620" s="291"/>
      <c r="AC620" s="61"/>
      <c r="AD620" s="291">
        <v>15.6</v>
      </c>
      <c r="AE620" s="61"/>
      <c r="AF620" s="61"/>
      <c r="AG620" s="61"/>
      <c r="AH620" s="61"/>
      <c r="AI620" s="61"/>
      <c r="AJ620" s="61"/>
      <c r="AK620" s="61"/>
      <c r="AL620" s="291">
        <v>22</v>
      </c>
      <c r="AM620" s="291">
        <v>20</v>
      </c>
      <c r="AN620" s="291">
        <v>15</v>
      </c>
      <c r="AO620" s="61"/>
      <c r="AP620" s="61"/>
      <c r="AQ620" s="61"/>
      <c r="AR620" s="61"/>
      <c r="AS620" s="292"/>
      <c r="AT620" s="206" t="str">
        <f t="shared" si="9"/>
        <v>45022-619</v>
      </c>
    </row>
    <row r="621" spans="1:46" x14ac:dyDescent="0.35">
      <c r="A621" s="204">
        <v>620</v>
      </c>
      <c r="B621" s="14" t="s">
        <v>83</v>
      </c>
      <c r="C621" s="1" t="s">
        <v>152</v>
      </c>
      <c r="D621" s="1" t="s">
        <v>161</v>
      </c>
      <c r="E621" s="12">
        <v>45022</v>
      </c>
      <c r="F621" s="291">
        <v>1.3</v>
      </c>
      <c r="G621" s="291">
        <v>1</v>
      </c>
      <c r="H621" s="291">
        <v>0</v>
      </c>
      <c r="I621" s="291">
        <v>0</v>
      </c>
      <c r="J621" s="291">
        <v>0.1</v>
      </c>
      <c r="K621" s="291">
        <v>0.1</v>
      </c>
      <c r="L621" s="291"/>
      <c r="M621" s="291">
        <v>14.4</v>
      </c>
      <c r="N621" s="291">
        <v>1</v>
      </c>
      <c r="O621" s="291">
        <v>0.6</v>
      </c>
      <c r="P621" s="291">
        <v>979.4</v>
      </c>
      <c r="Q621" s="291">
        <v>1141.0999999999999</v>
      </c>
      <c r="R621" s="291"/>
      <c r="S621" s="291"/>
      <c r="T621" s="291">
        <v>3464.7</v>
      </c>
      <c r="U621" s="291">
        <v>17.899999999999999</v>
      </c>
      <c r="V621" s="291"/>
      <c r="W621" s="291"/>
      <c r="X621" s="291"/>
      <c r="Y621" s="291"/>
      <c r="Z621" s="291"/>
      <c r="AA621" s="61"/>
      <c r="AB621" s="291"/>
      <c r="AC621" s="61"/>
      <c r="AD621" s="291">
        <v>6.1</v>
      </c>
      <c r="AE621" s="61"/>
      <c r="AF621" s="61"/>
      <c r="AG621" s="61"/>
      <c r="AH621" s="61"/>
      <c r="AI621" s="61"/>
      <c r="AJ621" s="61"/>
      <c r="AK621" s="61"/>
      <c r="AL621" s="291">
        <v>24</v>
      </c>
      <c r="AM621" s="291">
        <v>22</v>
      </c>
      <c r="AN621" s="291">
        <v>15</v>
      </c>
      <c r="AO621" s="61"/>
      <c r="AP621" s="61"/>
      <c r="AQ621" s="61"/>
      <c r="AR621" s="61"/>
      <c r="AS621" s="292"/>
      <c r="AT621" s="206" t="str">
        <f t="shared" si="9"/>
        <v>45022-620</v>
      </c>
    </row>
    <row r="622" spans="1:46" x14ac:dyDescent="0.35">
      <c r="A622" s="204">
        <v>621</v>
      </c>
      <c r="B622" s="14" t="s">
        <v>83</v>
      </c>
      <c r="C622" s="1" t="s">
        <v>160</v>
      </c>
      <c r="D622" s="1" t="s">
        <v>161</v>
      </c>
      <c r="E622" s="12">
        <v>45023</v>
      </c>
      <c r="F622" s="291">
        <v>5.3</v>
      </c>
      <c r="G622" s="291">
        <v>1.4</v>
      </c>
      <c r="H622" s="291">
        <v>0.2</v>
      </c>
      <c r="I622" s="291">
        <v>0.4</v>
      </c>
      <c r="J622" s="291">
        <v>0</v>
      </c>
      <c r="K622" s="291">
        <v>0</v>
      </c>
      <c r="L622" s="291"/>
      <c r="M622" s="291">
        <v>6</v>
      </c>
      <c r="N622" s="291">
        <v>1.5</v>
      </c>
      <c r="O622" s="291">
        <v>1.7</v>
      </c>
      <c r="P622" s="291">
        <v>1149.7</v>
      </c>
      <c r="Q622" s="291">
        <v>1409.2</v>
      </c>
      <c r="R622" s="291"/>
      <c r="S622" s="291"/>
      <c r="T622" s="291">
        <v>2366.1</v>
      </c>
      <c r="U622" s="291">
        <v>477.3</v>
      </c>
      <c r="V622" s="291"/>
      <c r="W622" s="291"/>
      <c r="X622" s="291"/>
      <c r="Y622" s="291"/>
      <c r="Z622" s="291"/>
      <c r="AA622" s="61"/>
      <c r="AB622" s="291"/>
      <c r="AC622" s="61"/>
      <c r="AD622" s="291">
        <v>15.6</v>
      </c>
      <c r="AE622" s="61"/>
      <c r="AF622" s="61"/>
      <c r="AG622" s="61"/>
      <c r="AH622" s="61"/>
      <c r="AI622" s="61"/>
      <c r="AJ622" s="61"/>
      <c r="AK622" s="61"/>
      <c r="AL622" s="291">
        <v>23</v>
      </c>
      <c r="AM622" s="291">
        <v>22</v>
      </c>
      <c r="AN622" s="291">
        <v>17</v>
      </c>
      <c r="AO622" s="61"/>
      <c r="AP622" s="61"/>
      <c r="AQ622" s="61"/>
      <c r="AR622" s="61"/>
      <c r="AS622" s="292"/>
      <c r="AT622" s="206" t="str">
        <f t="shared" si="9"/>
        <v>45023-621</v>
      </c>
    </row>
    <row r="623" spans="1:46" x14ac:dyDescent="0.35">
      <c r="A623" s="204">
        <v>622</v>
      </c>
      <c r="B623" s="14" t="s">
        <v>83</v>
      </c>
      <c r="C623" s="1" t="s">
        <v>198</v>
      </c>
      <c r="D623" s="1" t="s">
        <v>161</v>
      </c>
      <c r="E623" s="12">
        <v>45023</v>
      </c>
      <c r="F623" s="291">
        <v>4.8</v>
      </c>
      <c r="G623" s="291">
        <v>0.9</v>
      </c>
      <c r="H623" s="291">
        <v>0.1</v>
      </c>
      <c r="I623" s="291">
        <v>0</v>
      </c>
      <c r="J623" s="291">
        <v>0</v>
      </c>
      <c r="K623" s="291">
        <v>0</v>
      </c>
      <c r="L623" s="291"/>
      <c r="M623" s="291">
        <v>12.6</v>
      </c>
      <c r="N623" s="291">
        <v>1.7</v>
      </c>
      <c r="O623" s="291">
        <v>0.4</v>
      </c>
      <c r="P623" s="291">
        <v>976.6</v>
      </c>
      <c r="Q623" s="291">
        <v>1114.3</v>
      </c>
      <c r="R623" s="291"/>
      <c r="S623" s="291"/>
      <c r="T623" s="291">
        <v>3407.2</v>
      </c>
      <c r="U623" s="291">
        <v>15.2</v>
      </c>
      <c r="V623" s="291"/>
      <c r="W623" s="291"/>
      <c r="X623" s="291"/>
      <c r="Y623" s="291"/>
      <c r="Z623" s="291"/>
      <c r="AA623" s="61"/>
      <c r="AB623" s="291"/>
      <c r="AC623" s="61"/>
      <c r="AD623" s="291">
        <v>11.4</v>
      </c>
      <c r="AE623" s="61"/>
      <c r="AF623" s="61"/>
      <c r="AG623" s="61"/>
      <c r="AH623" s="61"/>
      <c r="AI623" s="61"/>
      <c r="AJ623" s="61"/>
      <c r="AK623" s="61"/>
      <c r="AL623" s="291">
        <v>25</v>
      </c>
      <c r="AM623" s="291">
        <v>23</v>
      </c>
      <c r="AN623" s="291">
        <v>17</v>
      </c>
      <c r="AO623" s="61"/>
      <c r="AP623" s="61"/>
      <c r="AQ623" s="61"/>
      <c r="AR623" s="61"/>
      <c r="AS623" s="292"/>
      <c r="AT623" s="206" t="str">
        <f t="shared" si="9"/>
        <v>45023-622</v>
      </c>
    </row>
    <row r="624" spans="1:46" x14ac:dyDescent="0.35">
      <c r="A624" s="204">
        <v>623</v>
      </c>
      <c r="B624" s="14" t="s">
        <v>83</v>
      </c>
      <c r="C624" s="1" t="s">
        <v>152</v>
      </c>
      <c r="D624" s="1" t="s">
        <v>161</v>
      </c>
      <c r="E624" s="12">
        <v>45023</v>
      </c>
      <c r="F624" s="291">
        <v>4</v>
      </c>
      <c r="G624" s="291">
        <v>1.1000000000000001</v>
      </c>
      <c r="H624" s="291">
        <v>0.1</v>
      </c>
      <c r="I624" s="291">
        <v>0.4</v>
      </c>
      <c r="J624" s="291">
        <v>0.1</v>
      </c>
      <c r="K624" s="291">
        <v>0</v>
      </c>
      <c r="L624" s="291"/>
      <c r="M624" s="291">
        <v>14.3</v>
      </c>
      <c r="N624" s="291">
        <v>1.5</v>
      </c>
      <c r="O624" s="291">
        <v>1.4</v>
      </c>
      <c r="P624" s="291">
        <v>1007.7</v>
      </c>
      <c r="Q624" s="291">
        <v>1149.2</v>
      </c>
      <c r="R624" s="291"/>
      <c r="S624" s="291"/>
      <c r="T624" s="291">
        <v>3547.9</v>
      </c>
      <c r="U624" s="291">
        <v>12</v>
      </c>
      <c r="V624" s="291"/>
      <c r="W624" s="291"/>
      <c r="X624" s="291"/>
      <c r="Y624" s="291"/>
      <c r="Z624" s="291"/>
      <c r="AA624" s="61"/>
      <c r="AB624" s="291"/>
      <c r="AC624" s="61"/>
      <c r="AD624" s="291">
        <v>6.1</v>
      </c>
      <c r="AE624" s="61"/>
      <c r="AF624" s="61"/>
      <c r="AG624" s="61"/>
      <c r="AH624" s="61"/>
      <c r="AI624" s="61"/>
      <c r="AJ624" s="61"/>
      <c r="AK624" s="61"/>
      <c r="AL624" s="291">
        <v>25</v>
      </c>
      <c r="AM624" s="291">
        <v>23</v>
      </c>
      <c r="AN624" s="291">
        <v>18</v>
      </c>
      <c r="AO624" s="61"/>
      <c r="AP624" s="61"/>
      <c r="AQ624" s="61"/>
      <c r="AR624" s="61"/>
      <c r="AS624" s="292"/>
      <c r="AT624" s="206" t="str">
        <f t="shared" si="9"/>
        <v>45023-623</v>
      </c>
    </row>
    <row r="625" spans="1:46" x14ac:dyDescent="0.35">
      <c r="A625" s="204">
        <v>624</v>
      </c>
      <c r="B625" s="14" t="s">
        <v>83</v>
      </c>
      <c r="C625" s="1" t="s">
        <v>198</v>
      </c>
      <c r="D625" s="1" t="s">
        <v>161</v>
      </c>
      <c r="E625" s="12">
        <v>45025</v>
      </c>
      <c r="F625" s="291">
        <v>1.3</v>
      </c>
      <c r="G625" s="291">
        <v>0.9</v>
      </c>
      <c r="H625" s="291">
        <v>0</v>
      </c>
      <c r="I625" s="291">
        <v>0</v>
      </c>
      <c r="J625" s="291">
        <v>0.1</v>
      </c>
      <c r="K625" s="291">
        <v>0</v>
      </c>
      <c r="L625" s="291"/>
      <c r="M625" s="291">
        <v>14.2</v>
      </c>
      <c r="N625" s="291">
        <v>1</v>
      </c>
      <c r="O625" s="291">
        <v>0</v>
      </c>
      <c r="P625" s="291">
        <v>1000.4</v>
      </c>
      <c r="Q625" s="291">
        <v>1139.8</v>
      </c>
      <c r="R625" s="291"/>
      <c r="S625" s="291"/>
      <c r="T625" s="291">
        <v>3540.1</v>
      </c>
      <c r="U625" s="291">
        <v>11.4</v>
      </c>
      <c r="V625" s="291"/>
      <c r="W625" s="291"/>
      <c r="X625" s="291"/>
      <c r="Y625" s="291"/>
      <c r="Z625" s="291"/>
      <c r="AA625" s="61"/>
      <c r="AB625" s="291"/>
      <c r="AC625" s="61"/>
      <c r="AD625" s="291">
        <v>11.4</v>
      </c>
      <c r="AE625" s="61"/>
      <c r="AF625" s="61"/>
      <c r="AG625" s="61"/>
      <c r="AH625" s="61"/>
      <c r="AI625" s="61"/>
      <c r="AJ625" s="61"/>
      <c r="AK625" s="61"/>
      <c r="AL625" s="291">
        <v>24</v>
      </c>
      <c r="AM625" s="291">
        <v>23</v>
      </c>
      <c r="AN625" s="291">
        <v>16</v>
      </c>
      <c r="AO625" s="61"/>
      <c r="AP625" s="61"/>
      <c r="AQ625" s="61"/>
      <c r="AR625" s="61"/>
      <c r="AS625" s="292"/>
      <c r="AT625" s="206" t="str">
        <f t="shared" si="9"/>
        <v>45025-624</v>
      </c>
    </row>
    <row r="626" spans="1:46" x14ac:dyDescent="0.35">
      <c r="A626" s="204">
        <v>625</v>
      </c>
      <c r="B626" s="14" t="s">
        <v>83</v>
      </c>
      <c r="C626" s="1" t="s">
        <v>160</v>
      </c>
      <c r="D626" s="1" t="s">
        <v>161</v>
      </c>
      <c r="E626" s="12">
        <v>45025</v>
      </c>
      <c r="F626" s="291">
        <v>1.6</v>
      </c>
      <c r="G626" s="291">
        <v>1.3</v>
      </c>
      <c r="H626" s="291">
        <v>0</v>
      </c>
      <c r="I626" s="291">
        <v>0.4</v>
      </c>
      <c r="J626" s="291">
        <v>0</v>
      </c>
      <c r="K626" s="291">
        <v>0</v>
      </c>
      <c r="L626" s="291"/>
      <c r="M626" s="291">
        <v>5.6</v>
      </c>
      <c r="N626" s="291">
        <v>0</v>
      </c>
      <c r="O626" s="291">
        <v>1.7</v>
      </c>
      <c r="P626" s="291">
        <v>1157.5999999999999</v>
      </c>
      <c r="Q626" s="291">
        <v>1416.1</v>
      </c>
      <c r="R626" s="291"/>
      <c r="S626" s="291"/>
      <c r="T626" s="291">
        <v>2365.5</v>
      </c>
      <c r="U626" s="291">
        <v>473.7</v>
      </c>
      <c r="V626" s="291"/>
      <c r="W626" s="291"/>
      <c r="X626" s="291"/>
      <c r="Y626" s="291"/>
      <c r="Z626" s="291"/>
      <c r="AA626" s="61"/>
      <c r="AB626" s="291"/>
      <c r="AC626" s="61"/>
      <c r="AD626" s="291">
        <v>15.5</v>
      </c>
      <c r="AE626" s="61"/>
      <c r="AF626" s="61"/>
      <c r="AG626" s="61"/>
      <c r="AH626" s="61"/>
      <c r="AI626" s="61"/>
      <c r="AJ626" s="61"/>
      <c r="AK626" s="61"/>
      <c r="AL626" s="291">
        <v>22</v>
      </c>
      <c r="AM626" s="291">
        <v>20</v>
      </c>
      <c r="AN626" s="291">
        <v>14</v>
      </c>
      <c r="AO626" s="61"/>
      <c r="AP626" s="61"/>
      <c r="AQ626" s="61"/>
      <c r="AR626" s="61"/>
      <c r="AS626" s="292"/>
      <c r="AT626" s="206" t="str">
        <f t="shared" si="9"/>
        <v>45025-625</v>
      </c>
    </row>
    <row r="627" spans="1:46" x14ac:dyDescent="0.35">
      <c r="A627" s="204">
        <v>626</v>
      </c>
      <c r="B627" s="14" t="s">
        <v>83</v>
      </c>
      <c r="C627" s="1" t="s">
        <v>152</v>
      </c>
      <c r="D627" s="1" t="s">
        <v>161</v>
      </c>
      <c r="E627" s="12">
        <v>45025</v>
      </c>
      <c r="F627" s="291">
        <v>1.3</v>
      </c>
      <c r="G627" s="291">
        <v>1</v>
      </c>
      <c r="H627" s="291">
        <v>0</v>
      </c>
      <c r="I627" s="291">
        <v>0</v>
      </c>
      <c r="J627" s="291">
        <v>0</v>
      </c>
      <c r="K627" s="291">
        <v>0</v>
      </c>
      <c r="L627" s="291"/>
      <c r="M627" s="291">
        <v>12.7</v>
      </c>
      <c r="N627" s="291">
        <v>0.9</v>
      </c>
      <c r="O627" s="291">
        <v>0.4</v>
      </c>
      <c r="P627" s="291">
        <v>988.5</v>
      </c>
      <c r="Q627" s="291">
        <v>1112.4000000000001</v>
      </c>
      <c r="R627" s="291"/>
      <c r="S627" s="291"/>
      <c r="T627" s="291">
        <v>3474.6</v>
      </c>
      <c r="U627" s="291">
        <v>15.2</v>
      </c>
      <c r="V627" s="291"/>
      <c r="W627" s="291"/>
      <c r="X627" s="291"/>
      <c r="Y627" s="291"/>
      <c r="Z627" s="291"/>
      <c r="AA627" s="61"/>
      <c r="AB627" s="291"/>
      <c r="AC627" s="61"/>
      <c r="AD627" s="291">
        <v>6.2</v>
      </c>
      <c r="AE627" s="61"/>
      <c r="AF627" s="61"/>
      <c r="AG627" s="61"/>
      <c r="AH627" s="61"/>
      <c r="AI627" s="61"/>
      <c r="AJ627" s="61"/>
      <c r="AK627" s="61"/>
      <c r="AL627" s="291">
        <v>23</v>
      </c>
      <c r="AM627" s="291">
        <v>22</v>
      </c>
      <c r="AN627" s="291">
        <v>16</v>
      </c>
      <c r="AO627" s="61"/>
      <c r="AP627" s="61"/>
      <c r="AQ627" s="61"/>
      <c r="AR627" s="61"/>
      <c r="AS627" s="292"/>
      <c r="AT627" s="206" t="str">
        <f t="shared" si="9"/>
        <v>45025-626</v>
      </c>
    </row>
    <row r="628" spans="1:46" x14ac:dyDescent="0.35">
      <c r="A628" s="204">
        <v>627</v>
      </c>
      <c r="B628" s="14" t="s">
        <v>83</v>
      </c>
      <c r="C628" s="1" t="s">
        <v>152</v>
      </c>
      <c r="D628" s="1" t="s">
        <v>161</v>
      </c>
      <c r="E628" s="12">
        <v>45028</v>
      </c>
      <c r="F628" s="291">
        <v>1.4208175279999999</v>
      </c>
      <c r="G628" s="291">
        <v>0.81267270250000001</v>
      </c>
      <c r="H628" s="291">
        <v>0</v>
      </c>
      <c r="I628" s="291">
        <v>0.40945326879999999</v>
      </c>
      <c r="J628" s="291">
        <v>0</v>
      </c>
      <c r="K628" s="291">
        <v>9.2866797500000001E-2</v>
      </c>
      <c r="L628" s="291"/>
      <c r="M628" s="291">
        <v>12.96205793</v>
      </c>
      <c r="N628" s="291">
        <v>0</v>
      </c>
      <c r="O628" s="291">
        <v>0.25272697240000003</v>
      </c>
      <c r="P628" s="291">
        <v>987.18390769999996</v>
      </c>
      <c r="Q628" s="291">
        <v>1108.33563</v>
      </c>
      <c r="R628" s="291"/>
      <c r="S628" s="291"/>
      <c r="T628" s="291">
        <v>3456.0667790000002</v>
      </c>
      <c r="U628" s="291">
        <v>11.821805899999999</v>
      </c>
      <c r="V628" s="291"/>
      <c r="W628" s="291"/>
      <c r="X628" s="291"/>
      <c r="Y628" s="291"/>
      <c r="Z628" s="291"/>
      <c r="AA628" s="61"/>
      <c r="AB628" s="291"/>
      <c r="AC628" s="61"/>
      <c r="AD628" s="291">
        <v>6.21</v>
      </c>
      <c r="AE628" s="61"/>
      <c r="AF628" s="61"/>
      <c r="AG628" s="61"/>
      <c r="AH628" s="61"/>
      <c r="AI628" s="61"/>
      <c r="AJ628" s="61"/>
      <c r="AK628" s="61"/>
      <c r="AL628" s="291">
        <v>23</v>
      </c>
      <c r="AM628" s="291">
        <v>22</v>
      </c>
      <c r="AN628" s="291">
        <v>17</v>
      </c>
      <c r="AO628" s="61"/>
      <c r="AP628" s="61"/>
      <c r="AQ628" s="61"/>
      <c r="AR628" s="61"/>
      <c r="AS628" s="292"/>
      <c r="AT628" s="206" t="str">
        <f t="shared" si="9"/>
        <v>45028-627</v>
      </c>
    </row>
    <row r="629" spans="1:46" x14ac:dyDescent="0.35">
      <c r="A629" s="204">
        <v>628</v>
      </c>
      <c r="B629" s="14" t="s">
        <v>83</v>
      </c>
      <c r="C629" s="1" t="s">
        <v>160</v>
      </c>
      <c r="D629" s="1" t="s">
        <v>161</v>
      </c>
      <c r="E629" s="12">
        <v>45028</v>
      </c>
      <c r="F629" s="291">
        <v>1.676024315</v>
      </c>
      <c r="G629" s="291">
        <v>1.2123507039999999</v>
      </c>
      <c r="H629" s="291">
        <v>0</v>
      </c>
      <c r="I629" s="291">
        <v>0.28241705119999999</v>
      </c>
      <c r="J629" s="291">
        <v>0</v>
      </c>
      <c r="K629" s="291">
        <v>3.7086478329999999E-2</v>
      </c>
      <c r="L629" s="291"/>
      <c r="M629" s="291">
        <v>5.1874603629999996</v>
      </c>
      <c r="N629" s="291">
        <v>0</v>
      </c>
      <c r="O629" s="291">
        <v>1.919112014</v>
      </c>
      <c r="P629" s="291">
        <v>1145.354257</v>
      </c>
      <c r="Q629" s="291">
        <v>1353.9991110000001</v>
      </c>
      <c r="R629" s="291"/>
      <c r="S629" s="291"/>
      <c r="T629" s="291">
        <v>2336.451939</v>
      </c>
      <c r="U629" s="291">
        <v>468.04561580000001</v>
      </c>
      <c r="V629" s="291"/>
      <c r="W629" s="291"/>
      <c r="X629" s="291"/>
      <c r="Y629" s="291"/>
      <c r="Z629" s="291"/>
      <c r="AA629" s="61"/>
      <c r="AB629" s="291"/>
      <c r="AC629" s="61"/>
      <c r="AD629" s="291">
        <v>15.6</v>
      </c>
      <c r="AE629" s="61"/>
      <c r="AF629" s="61"/>
      <c r="AG629" s="61"/>
      <c r="AH629" s="61"/>
      <c r="AI629" s="61"/>
      <c r="AJ629" s="61"/>
      <c r="AK629" s="61"/>
      <c r="AL629" s="291">
        <v>23</v>
      </c>
      <c r="AM629" s="291">
        <v>20</v>
      </c>
      <c r="AN629" s="291">
        <v>15</v>
      </c>
      <c r="AO629" s="61"/>
      <c r="AP629" s="61"/>
      <c r="AQ629" s="61"/>
      <c r="AR629" s="61"/>
      <c r="AS629" s="292"/>
      <c r="AT629" s="206" t="str">
        <f t="shared" si="9"/>
        <v>45028-628</v>
      </c>
    </row>
    <row r="630" spans="1:46" x14ac:dyDescent="0.35">
      <c r="A630" s="204">
        <v>629</v>
      </c>
      <c r="B630" s="14" t="s">
        <v>83</v>
      </c>
      <c r="C630" s="1" t="s">
        <v>160</v>
      </c>
      <c r="D630" s="1" t="s">
        <v>161</v>
      </c>
      <c r="E630" s="12">
        <v>45029</v>
      </c>
      <c r="F630" s="291">
        <v>1.7087839469999999</v>
      </c>
      <c r="G630" s="291">
        <v>1.550780263</v>
      </c>
      <c r="H630" s="291">
        <v>0.21329905069999999</v>
      </c>
      <c r="I630" s="291">
        <v>0.11820551</v>
      </c>
      <c r="J630" s="291">
        <v>0</v>
      </c>
      <c r="K630" s="291">
        <v>6.6490755009999999E-2</v>
      </c>
      <c r="L630" s="291"/>
      <c r="M630" s="291">
        <v>5.7130967830000001</v>
      </c>
      <c r="N630" s="291">
        <v>1.2599704</v>
      </c>
      <c r="O630" s="291">
        <v>1.9893152650000001</v>
      </c>
      <c r="P630" s="291">
        <v>1213.557847</v>
      </c>
      <c r="Q630" s="291">
        <v>1383.8140840000001</v>
      </c>
      <c r="R630" s="291"/>
      <c r="S630" s="291"/>
      <c r="T630" s="291">
        <v>2416.681247</v>
      </c>
      <c r="U630" s="291">
        <v>490.69871230000001</v>
      </c>
      <c r="V630" s="291"/>
      <c r="W630" s="291"/>
      <c r="X630" s="291"/>
      <c r="Y630" s="291"/>
      <c r="Z630" s="291"/>
      <c r="AA630" s="61"/>
      <c r="AB630" s="291"/>
      <c r="AC630" s="61"/>
      <c r="AD630" s="291">
        <v>15.7</v>
      </c>
      <c r="AE630" s="61"/>
      <c r="AF630" s="61"/>
      <c r="AG630" s="61"/>
      <c r="AH630" s="61"/>
      <c r="AI630" s="61"/>
      <c r="AJ630" s="61"/>
      <c r="AK630" s="61"/>
      <c r="AL630" s="291">
        <v>23</v>
      </c>
      <c r="AM630" s="291">
        <v>20</v>
      </c>
      <c r="AN630" s="291">
        <v>15</v>
      </c>
      <c r="AO630" s="61"/>
      <c r="AP630" s="61"/>
      <c r="AQ630" s="61"/>
      <c r="AR630" s="61"/>
      <c r="AS630" s="292"/>
      <c r="AT630" s="206" t="str">
        <f t="shared" si="9"/>
        <v>45029-629</v>
      </c>
    </row>
    <row r="631" spans="1:46" x14ac:dyDescent="0.35">
      <c r="A631" s="204">
        <v>630</v>
      </c>
      <c r="B631" s="14" t="s">
        <v>83</v>
      </c>
      <c r="C631" s="1" t="s">
        <v>152</v>
      </c>
      <c r="D631" s="1" t="s">
        <v>161</v>
      </c>
      <c r="E631" s="12">
        <v>45029</v>
      </c>
      <c r="F631" s="291">
        <v>1.3249065449999999</v>
      </c>
      <c r="G631" s="291">
        <v>0.99046280099999995</v>
      </c>
      <c r="H631" s="291">
        <v>0</v>
      </c>
      <c r="I631" s="291">
        <v>0</v>
      </c>
      <c r="J631" s="291">
        <v>3.6781405480000001E-2</v>
      </c>
      <c r="K631" s="291">
        <v>0.1200573041</v>
      </c>
      <c r="L631" s="291"/>
      <c r="M631" s="291">
        <v>13.22179375</v>
      </c>
      <c r="N631" s="291">
        <v>0.42043310830000002</v>
      </c>
      <c r="O631" s="291">
        <v>0.40220804030000001</v>
      </c>
      <c r="P631" s="291">
        <v>1038.762418</v>
      </c>
      <c r="Q631" s="291">
        <v>1111.9396569999999</v>
      </c>
      <c r="R631" s="291"/>
      <c r="S631" s="291"/>
      <c r="T631" s="291">
        <v>3505.5228379999999</v>
      </c>
      <c r="U631" s="291">
        <v>11.764304900000001</v>
      </c>
      <c r="V631" s="291"/>
      <c r="W631" s="291"/>
      <c r="X631" s="291"/>
      <c r="Y631" s="291"/>
      <c r="Z631" s="291"/>
      <c r="AA631" s="61"/>
      <c r="AB631" s="291"/>
      <c r="AC631" s="61"/>
      <c r="AD631" s="291">
        <v>6.18</v>
      </c>
      <c r="AE631" s="61"/>
      <c r="AF631" s="61"/>
      <c r="AG631" s="61"/>
      <c r="AH631" s="61"/>
      <c r="AI631" s="61"/>
      <c r="AJ631" s="61"/>
      <c r="AK631" s="61"/>
      <c r="AL631" s="291">
        <v>23</v>
      </c>
      <c r="AM631" s="291">
        <v>22</v>
      </c>
      <c r="AN631" s="291">
        <v>17</v>
      </c>
      <c r="AO631" s="61"/>
      <c r="AP631" s="61"/>
      <c r="AQ631" s="61"/>
      <c r="AR631" s="61"/>
      <c r="AS631" s="292"/>
      <c r="AT631" s="206" t="str">
        <f t="shared" si="9"/>
        <v>45029-630</v>
      </c>
    </row>
    <row r="632" spans="1:46" x14ac:dyDescent="0.35">
      <c r="A632" s="204">
        <v>631</v>
      </c>
      <c r="B632" s="14" t="s">
        <v>83</v>
      </c>
      <c r="C632" s="1" t="s">
        <v>160</v>
      </c>
      <c r="D632" s="1" t="s">
        <v>161</v>
      </c>
      <c r="E632" s="12">
        <v>45029</v>
      </c>
      <c r="F632" s="291">
        <v>1.6392789219999999</v>
      </c>
      <c r="G632" s="291">
        <v>1.4317162400000001</v>
      </c>
      <c r="H632" s="291">
        <v>0</v>
      </c>
      <c r="I632" s="291">
        <v>0</v>
      </c>
      <c r="J632" s="291">
        <v>0</v>
      </c>
      <c r="K632" s="291">
        <v>6.6348113439999995E-2</v>
      </c>
      <c r="L632" s="291"/>
      <c r="M632" s="291">
        <v>5.4952020409999998</v>
      </c>
      <c r="N632" s="291">
        <v>0.49971657219999999</v>
      </c>
      <c r="O632" s="291">
        <v>1.6556914629999999</v>
      </c>
      <c r="P632" s="291">
        <v>1230.0066220000001</v>
      </c>
      <c r="Q632" s="291">
        <v>1428.313271</v>
      </c>
      <c r="R632" s="291"/>
      <c r="S632" s="291"/>
      <c r="T632" s="291">
        <v>2463.0740070000002</v>
      </c>
      <c r="U632" s="291">
        <v>493.7677152</v>
      </c>
      <c r="V632" s="291"/>
      <c r="W632" s="291"/>
      <c r="X632" s="291"/>
      <c r="Y632" s="291"/>
      <c r="Z632" s="291"/>
      <c r="AA632" s="61"/>
      <c r="AB632" s="291"/>
      <c r="AC632" s="61"/>
      <c r="AD632" s="291">
        <v>15.4</v>
      </c>
      <c r="AE632" s="61"/>
      <c r="AF632" s="61"/>
      <c r="AG632" s="61"/>
      <c r="AH632" s="61"/>
      <c r="AI632" s="61"/>
      <c r="AJ632" s="61"/>
      <c r="AK632" s="61"/>
      <c r="AL632" s="291">
        <v>22</v>
      </c>
      <c r="AM632" s="291">
        <v>20</v>
      </c>
      <c r="AN632" s="291">
        <v>15</v>
      </c>
      <c r="AO632" s="61"/>
      <c r="AP632" s="61"/>
      <c r="AQ632" s="61"/>
      <c r="AR632" s="61"/>
      <c r="AS632" s="292"/>
      <c r="AT632" s="206" t="str">
        <f t="shared" si="9"/>
        <v>45029-631</v>
      </c>
    </row>
    <row r="633" spans="1:46" x14ac:dyDescent="0.35">
      <c r="A633" s="204">
        <v>632</v>
      </c>
      <c r="B633" s="14" t="s">
        <v>83</v>
      </c>
      <c r="C633" s="1" t="s">
        <v>160</v>
      </c>
      <c r="D633" s="1" t="s">
        <v>161</v>
      </c>
      <c r="E633" s="12">
        <v>45030</v>
      </c>
      <c r="F633" s="291">
        <v>1.675834469</v>
      </c>
      <c r="G633" s="291">
        <v>1.3306272619999999</v>
      </c>
      <c r="H633" s="291">
        <v>0</v>
      </c>
      <c r="I633" s="291">
        <v>0.1183967428</v>
      </c>
      <c r="J633" s="291">
        <v>0</v>
      </c>
      <c r="K633" s="291">
        <v>9.1433935829999993E-2</v>
      </c>
      <c r="L633" s="291"/>
      <c r="M633" s="291">
        <v>5.2538581720000002</v>
      </c>
      <c r="N633" s="291">
        <v>0.4002475606</v>
      </c>
      <c r="O633" s="291">
        <v>2.176257729</v>
      </c>
      <c r="P633" s="291">
        <v>1228.9627359999999</v>
      </c>
      <c r="Q633" s="291">
        <v>1438.921435</v>
      </c>
      <c r="R633" s="291"/>
      <c r="S633" s="291"/>
      <c r="T633" s="291">
        <v>2485.9435539999999</v>
      </c>
      <c r="U633" s="291">
        <v>494.20607139999998</v>
      </c>
      <c r="V633" s="291"/>
      <c r="W633" s="291"/>
      <c r="X633" s="291"/>
      <c r="Y633" s="291"/>
      <c r="Z633" s="291"/>
      <c r="AA633" s="61"/>
      <c r="AB633" s="291"/>
      <c r="AC633" s="61"/>
      <c r="AD633" s="291">
        <v>15.6</v>
      </c>
      <c r="AE633" s="61"/>
      <c r="AF633" s="61"/>
      <c r="AG633" s="61"/>
      <c r="AH633" s="61"/>
      <c r="AI633" s="61"/>
      <c r="AJ633" s="61"/>
      <c r="AK633" s="61"/>
      <c r="AL633" s="291">
        <v>22</v>
      </c>
      <c r="AM633" s="291">
        <v>20</v>
      </c>
      <c r="AN633" s="291">
        <v>14</v>
      </c>
      <c r="AO633" s="61"/>
      <c r="AP633" s="61"/>
      <c r="AQ633" s="61"/>
      <c r="AR633" s="61"/>
      <c r="AS633" s="292"/>
      <c r="AT633" s="206" t="str">
        <f t="shared" si="9"/>
        <v>45030-632</v>
      </c>
    </row>
    <row r="634" spans="1:46" x14ac:dyDescent="0.35">
      <c r="A634" s="204">
        <v>633</v>
      </c>
      <c r="B634" s="14" t="s">
        <v>83</v>
      </c>
      <c r="C634" s="1" t="s">
        <v>160</v>
      </c>
      <c r="D634" s="1" t="s">
        <v>161</v>
      </c>
      <c r="E634" s="12">
        <v>45030</v>
      </c>
      <c r="F634" s="291">
        <v>1.8117954540000001</v>
      </c>
      <c r="G634" s="291">
        <v>1.3731418740000001</v>
      </c>
      <c r="H634" s="291">
        <v>0</v>
      </c>
      <c r="I634" s="291">
        <v>0</v>
      </c>
      <c r="J634" s="291">
        <v>0</v>
      </c>
      <c r="K634" s="291">
        <v>4.3679284149999997E-2</v>
      </c>
      <c r="L634" s="291"/>
      <c r="M634" s="291">
        <v>7.0485340399999998</v>
      </c>
      <c r="N634" s="291">
        <v>3.6842439659999997E-2</v>
      </c>
      <c r="O634" s="291">
        <v>1.628250712</v>
      </c>
      <c r="P634" s="291">
        <v>1175.6518639999999</v>
      </c>
      <c r="Q634" s="291">
        <v>1442.0168470000001</v>
      </c>
      <c r="R634" s="291"/>
      <c r="S634" s="291"/>
      <c r="T634" s="291">
        <v>2399.3145880000002</v>
      </c>
      <c r="U634" s="291">
        <v>487.23737569999997</v>
      </c>
      <c r="V634" s="291"/>
      <c r="W634" s="291"/>
      <c r="X634" s="291"/>
      <c r="Y634" s="291"/>
      <c r="Z634" s="291"/>
      <c r="AA634" s="61"/>
      <c r="AB634" s="291"/>
      <c r="AC634" s="61"/>
      <c r="AD634" s="291">
        <v>15.5</v>
      </c>
      <c r="AE634" s="61"/>
      <c r="AF634" s="61"/>
      <c r="AG634" s="61"/>
      <c r="AH634" s="61"/>
      <c r="AI634" s="61"/>
      <c r="AJ634" s="61"/>
      <c r="AK634" s="61"/>
      <c r="AL634" s="291">
        <v>23</v>
      </c>
      <c r="AM634" s="291">
        <v>21</v>
      </c>
      <c r="AN634" s="291">
        <v>16</v>
      </c>
      <c r="AO634" s="61"/>
      <c r="AP634" s="61"/>
      <c r="AQ634" s="61"/>
      <c r="AR634" s="61"/>
      <c r="AS634" s="292"/>
      <c r="AT634" s="206" t="str">
        <f t="shared" si="9"/>
        <v>45030-633</v>
      </c>
    </row>
    <row r="635" spans="1:46" x14ac:dyDescent="0.35">
      <c r="A635" s="204">
        <v>634</v>
      </c>
      <c r="B635" s="14" t="s">
        <v>83</v>
      </c>
      <c r="C635" s="1" t="s">
        <v>198</v>
      </c>
      <c r="D635" s="1" t="s">
        <v>161</v>
      </c>
      <c r="E635" s="12">
        <v>45030</v>
      </c>
      <c r="F635" s="291">
        <v>1.431314942</v>
      </c>
      <c r="G635" s="291">
        <v>1.0490912029999999</v>
      </c>
      <c r="H635" s="291">
        <v>0</v>
      </c>
      <c r="I635" s="291">
        <v>0</v>
      </c>
      <c r="J635" s="291">
        <v>7.7557321260000006E-2</v>
      </c>
      <c r="K635" s="291">
        <v>0.1005843931</v>
      </c>
      <c r="L635" s="291"/>
      <c r="M635" s="291">
        <v>15.868874330000001</v>
      </c>
      <c r="N635" s="291">
        <v>1.0433225500000001</v>
      </c>
      <c r="O635" s="291">
        <v>0</v>
      </c>
      <c r="P635" s="291">
        <v>1021.500439</v>
      </c>
      <c r="Q635" s="291">
        <v>1147.546664</v>
      </c>
      <c r="R635" s="291"/>
      <c r="S635" s="291"/>
      <c r="T635" s="291">
        <v>3593.9302160000002</v>
      </c>
      <c r="U635" s="291">
        <v>11.760131640000001</v>
      </c>
      <c r="V635" s="291"/>
      <c r="W635" s="291"/>
      <c r="X635" s="291"/>
      <c r="Y635" s="291"/>
      <c r="Z635" s="291"/>
      <c r="AA635" s="61"/>
      <c r="AB635" s="291"/>
      <c r="AC635" s="61"/>
      <c r="AD635" s="291">
        <v>11.27</v>
      </c>
      <c r="AE635" s="61"/>
      <c r="AF635" s="61"/>
      <c r="AG635" s="61"/>
      <c r="AH635" s="61"/>
      <c r="AI635" s="61"/>
      <c r="AJ635" s="61"/>
      <c r="AK635" s="61"/>
      <c r="AL635" s="291">
        <v>24</v>
      </c>
      <c r="AM635" s="291">
        <v>23</v>
      </c>
      <c r="AN635" s="291">
        <v>17</v>
      </c>
      <c r="AO635" s="61"/>
      <c r="AP635" s="61"/>
      <c r="AQ635" s="61"/>
      <c r="AR635" s="61"/>
      <c r="AS635" s="292"/>
      <c r="AT635" s="206" t="str">
        <f t="shared" si="9"/>
        <v>45030-634</v>
      </c>
    </row>
    <row r="636" spans="1:46" x14ac:dyDescent="0.35">
      <c r="A636" s="204">
        <v>635</v>
      </c>
      <c r="B636" s="14" t="s">
        <v>83</v>
      </c>
      <c r="C636" s="1" t="s">
        <v>152</v>
      </c>
      <c r="D636" s="1" t="s">
        <v>161</v>
      </c>
      <c r="E636" s="12">
        <v>45032</v>
      </c>
      <c r="F636" s="291">
        <v>1.62801939</v>
      </c>
      <c r="G636" s="291">
        <v>0.96610423160000003</v>
      </c>
      <c r="H636" s="291">
        <v>0</v>
      </c>
      <c r="I636" s="291">
        <v>0</v>
      </c>
      <c r="J636" s="291">
        <v>9.3507447339999994E-2</v>
      </c>
      <c r="K636" s="291">
        <v>6.4897518129999998E-2</v>
      </c>
      <c r="L636" s="291"/>
      <c r="M636" s="291">
        <v>17.022034990000002</v>
      </c>
      <c r="N636" s="291">
        <v>1.1455732830000001</v>
      </c>
      <c r="O636" s="291">
        <v>0</v>
      </c>
      <c r="P636" s="291">
        <v>1018.570614</v>
      </c>
      <c r="Q636" s="291">
        <v>1160.8868010000001</v>
      </c>
      <c r="R636" s="291"/>
      <c r="S636" s="291"/>
      <c r="T636" s="291">
        <v>3572.5722030000002</v>
      </c>
      <c r="U636" s="291">
        <v>10.41777237</v>
      </c>
      <c r="V636" s="291"/>
      <c r="W636" s="291"/>
      <c r="X636" s="291"/>
      <c r="Y636" s="291"/>
      <c r="Z636" s="291"/>
      <c r="AA636" s="61"/>
      <c r="AB636" s="291"/>
      <c r="AC636" s="61"/>
      <c r="AD636" s="291">
        <v>6.15</v>
      </c>
      <c r="AE636" s="61"/>
      <c r="AF636" s="61"/>
      <c r="AG636" s="61"/>
      <c r="AH636" s="61"/>
      <c r="AI636" s="61"/>
      <c r="AJ636" s="61"/>
      <c r="AK636" s="61"/>
      <c r="AL636" s="291">
        <v>24</v>
      </c>
      <c r="AM636" s="291">
        <v>23</v>
      </c>
      <c r="AN636" s="291">
        <v>18</v>
      </c>
      <c r="AO636" s="61"/>
      <c r="AP636" s="61"/>
      <c r="AQ636" s="61"/>
      <c r="AR636" s="61"/>
      <c r="AS636" s="292"/>
      <c r="AT636" s="206" t="str">
        <f t="shared" si="9"/>
        <v>45032-635</v>
      </c>
    </row>
    <row r="637" spans="1:46" x14ac:dyDescent="0.35">
      <c r="A637" s="204">
        <v>636</v>
      </c>
      <c r="B637" s="14" t="s">
        <v>83</v>
      </c>
      <c r="C637" s="1" t="s">
        <v>160</v>
      </c>
      <c r="D637" s="1" t="s">
        <v>161</v>
      </c>
      <c r="E637" s="12">
        <v>45032</v>
      </c>
      <c r="F637" s="291">
        <v>1.610154911</v>
      </c>
      <c r="G637" s="291">
        <v>1.422045711</v>
      </c>
      <c r="H637" s="291">
        <v>0</v>
      </c>
      <c r="I637" s="291">
        <v>0.17614342499999999</v>
      </c>
      <c r="J637" s="291">
        <v>0</v>
      </c>
      <c r="K637" s="291">
        <v>0</v>
      </c>
      <c r="L637" s="291"/>
      <c r="M637" s="291">
        <v>7.0123705459999996</v>
      </c>
      <c r="N637" s="291">
        <v>0.33114878879999998</v>
      </c>
      <c r="O637" s="291">
        <v>2.0057577700000002</v>
      </c>
      <c r="P637" s="291">
        <v>1240.3636819999999</v>
      </c>
      <c r="Q637" s="291">
        <v>1451.813449</v>
      </c>
      <c r="R637" s="291"/>
      <c r="S637" s="291"/>
      <c r="T637" s="291">
        <v>2442.6603719999998</v>
      </c>
      <c r="U637" s="291">
        <v>495.67086399999999</v>
      </c>
      <c r="V637" s="291"/>
      <c r="W637" s="291"/>
      <c r="X637" s="291"/>
      <c r="Y637" s="291"/>
      <c r="Z637" s="291"/>
      <c r="AA637" s="61"/>
      <c r="AB637" s="291"/>
      <c r="AC637" s="61"/>
      <c r="AD637" s="291">
        <v>15.3</v>
      </c>
      <c r="AE637" s="61"/>
      <c r="AF637" s="61"/>
      <c r="AG637" s="61"/>
      <c r="AH637" s="61"/>
      <c r="AI637" s="61"/>
      <c r="AJ637" s="61"/>
      <c r="AK637" s="61"/>
      <c r="AL637" s="291">
        <v>22</v>
      </c>
      <c r="AM637" s="291">
        <v>20</v>
      </c>
      <c r="AN637" s="291">
        <v>15</v>
      </c>
      <c r="AO637" s="61"/>
      <c r="AP637" s="61"/>
      <c r="AQ637" s="61"/>
      <c r="AR637" s="61"/>
      <c r="AS637" s="292"/>
      <c r="AT637" s="206" t="str">
        <f t="shared" si="9"/>
        <v>45032-636</v>
      </c>
    </row>
    <row r="638" spans="1:46" x14ac:dyDescent="0.35">
      <c r="A638" s="204">
        <v>637</v>
      </c>
      <c r="B638" s="14" t="s">
        <v>83</v>
      </c>
      <c r="C638" s="1" t="s">
        <v>198</v>
      </c>
      <c r="D638" s="1" t="s">
        <v>161</v>
      </c>
      <c r="E638" s="12">
        <v>45032</v>
      </c>
      <c r="F638" s="291">
        <v>1.374543361</v>
      </c>
      <c r="G638" s="291">
        <v>0.96382401380000005</v>
      </c>
      <c r="H638" s="291">
        <v>9.3187533980000001E-2</v>
      </c>
      <c r="I638" s="291">
        <v>4.8151032529999999E-2</v>
      </c>
      <c r="J638" s="291">
        <v>0</v>
      </c>
      <c r="K638" s="291">
        <v>2.1177554420000001E-2</v>
      </c>
      <c r="L638" s="291"/>
      <c r="M638" s="291">
        <v>16.767112780000001</v>
      </c>
      <c r="N638" s="291">
        <v>1.6927575500000001</v>
      </c>
      <c r="O638" s="291">
        <v>0.71787405209999999</v>
      </c>
      <c r="P638" s="291">
        <v>1069.443143</v>
      </c>
      <c r="Q638" s="291">
        <v>1163.4163940000001</v>
      </c>
      <c r="R638" s="291"/>
      <c r="S638" s="291"/>
      <c r="T638" s="291">
        <v>3557.9692169999998</v>
      </c>
      <c r="U638" s="291">
        <v>11.356997489999999</v>
      </c>
      <c r="V638" s="291"/>
      <c r="W638" s="291"/>
      <c r="X638" s="291"/>
      <c r="Y638" s="291"/>
      <c r="Z638" s="291"/>
      <c r="AA638" s="61"/>
      <c r="AB638" s="291"/>
      <c r="AC638" s="61"/>
      <c r="AD638" s="291">
        <v>11.24</v>
      </c>
      <c r="AE638" s="61"/>
      <c r="AF638" s="61"/>
      <c r="AG638" s="61"/>
      <c r="AH638" s="61"/>
      <c r="AI638" s="61"/>
      <c r="AJ638" s="61"/>
      <c r="AK638" s="61"/>
      <c r="AL638" s="291">
        <v>24</v>
      </c>
      <c r="AM638" s="291">
        <v>23</v>
      </c>
      <c r="AN638" s="291">
        <v>17</v>
      </c>
      <c r="AO638" s="61"/>
      <c r="AP638" s="61"/>
      <c r="AQ638" s="61"/>
      <c r="AR638" s="61"/>
      <c r="AS638" s="292"/>
      <c r="AT638" s="206" t="str">
        <f t="shared" si="9"/>
        <v>45032-637</v>
      </c>
    </row>
    <row r="639" spans="1:46" x14ac:dyDescent="0.35">
      <c r="A639" s="204">
        <v>638</v>
      </c>
      <c r="B639" s="14" t="s">
        <v>83</v>
      </c>
      <c r="C639" s="1" t="s">
        <v>152</v>
      </c>
      <c r="D639" s="1" t="s">
        <v>161</v>
      </c>
      <c r="E639" s="12">
        <v>45032</v>
      </c>
      <c r="F639" s="291">
        <v>1.2519849970000001</v>
      </c>
      <c r="G639" s="291">
        <v>0.86402643059999995</v>
      </c>
      <c r="H639" s="291">
        <v>0</v>
      </c>
      <c r="I639" s="291">
        <v>0</v>
      </c>
      <c r="J639" s="291">
        <v>0</v>
      </c>
      <c r="K639" s="291">
        <v>0</v>
      </c>
      <c r="L639" s="291"/>
      <c r="M639" s="291">
        <v>13.17529393</v>
      </c>
      <c r="N639" s="291">
        <v>1.321421527</v>
      </c>
      <c r="O639" s="291">
        <v>0.29976452879999999</v>
      </c>
      <c r="P639" s="291">
        <v>1047.021307</v>
      </c>
      <c r="Q639" s="291">
        <v>1134.9447479999999</v>
      </c>
      <c r="R639" s="291"/>
      <c r="S639" s="291"/>
      <c r="T639" s="291">
        <v>3571.715952</v>
      </c>
      <c r="U639" s="291">
        <v>11.431980060000001</v>
      </c>
      <c r="V639" s="291"/>
      <c r="W639" s="291"/>
      <c r="X639" s="291"/>
      <c r="Y639" s="291"/>
      <c r="Z639" s="291"/>
      <c r="AA639" s="61"/>
      <c r="AB639" s="291"/>
      <c r="AC639" s="61"/>
      <c r="AD639" s="291">
        <v>6.17</v>
      </c>
      <c r="AE639" s="61"/>
      <c r="AF639" s="61"/>
      <c r="AG639" s="61"/>
      <c r="AH639" s="61"/>
      <c r="AI639" s="61"/>
      <c r="AJ639" s="61"/>
      <c r="AK639" s="61"/>
      <c r="AL639" s="291">
        <v>23</v>
      </c>
      <c r="AM639" s="291">
        <v>22</v>
      </c>
      <c r="AN639" s="291">
        <v>16</v>
      </c>
      <c r="AO639" s="61"/>
      <c r="AP639" s="61"/>
      <c r="AQ639" s="61"/>
      <c r="AR639" s="61"/>
      <c r="AS639" s="292"/>
      <c r="AT639" s="206" t="str">
        <f t="shared" si="9"/>
        <v>45032-638</v>
      </c>
    </row>
    <row r="640" spans="1:46" x14ac:dyDescent="0.35">
      <c r="A640" s="204">
        <v>639</v>
      </c>
      <c r="B640" s="14" t="s">
        <v>83</v>
      </c>
      <c r="C640" s="1" t="s">
        <v>160</v>
      </c>
      <c r="D640" s="1" t="s">
        <v>161</v>
      </c>
      <c r="E640" s="12">
        <v>45036</v>
      </c>
      <c r="F640" s="291">
        <v>1.9</v>
      </c>
      <c r="G640" s="291">
        <v>1.2</v>
      </c>
      <c r="H640" s="291">
        <v>0</v>
      </c>
      <c r="I640" s="291">
        <v>0.2</v>
      </c>
      <c r="J640" s="291">
        <v>0</v>
      </c>
      <c r="K640" s="291">
        <v>0</v>
      </c>
      <c r="L640" s="291"/>
      <c r="M640" s="291">
        <v>4.9000000000000004</v>
      </c>
      <c r="N640" s="291">
        <v>0.2</v>
      </c>
      <c r="O640" s="291">
        <v>1.6</v>
      </c>
      <c r="P640" s="291">
        <v>1229.2</v>
      </c>
      <c r="Q640" s="291">
        <v>1402.2</v>
      </c>
      <c r="R640" s="291"/>
      <c r="S640" s="291"/>
      <c r="T640" s="291">
        <v>2420.9</v>
      </c>
      <c r="U640" s="291">
        <v>493.8</v>
      </c>
      <c r="V640" s="291"/>
      <c r="W640" s="291"/>
      <c r="X640" s="291"/>
      <c r="Y640" s="291"/>
      <c r="Z640" s="291"/>
      <c r="AA640" s="61"/>
      <c r="AB640" s="291"/>
      <c r="AC640" s="61"/>
      <c r="AD640" s="291">
        <v>15.6</v>
      </c>
      <c r="AE640" s="61"/>
      <c r="AF640" s="61"/>
      <c r="AG640" s="61"/>
      <c r="AH640" s="61"/>
      <c r="AI640" s="61"/>
      <c r="AJ640" s="61"/>
      <c r="AK640" s="61"/>
      <c r="AL640" s="291">
        <v>23</v>
      </c>
      <c r="AM640" s="291">
        <v>21</v>
      </c>
      <c r="AN640" s="291">
        <v>16</v>
      </c>
      <c r="AO640" s="61"/>
      <c r="AP640" s="61"/>
      <c r="AQ640" s="61"/>
      <c r="AR640" s="61"/>
      <c r="AS640" s="292"/>
      <c r="AT640" s="206" t="str">
        <f t="shared" si="9"/>
        <v>45036-639</v>
      </c>
    </row>
    <row r="641" spans="1:46" x14ac:dyDescent="0.35">
      <c r="A641" s="204">
        <v>640</v>
      </c>
      <c r="B641" s="14" t="s">
        <v>83</v>
      </c>
      <c r="C641" s="1" t="s">
        <v>152</v>
      </c>
      <c r="D641" s="1" t="s">
        <v>161</v>
      </c>
      <c r="E641" s="12">
        <v>45036</v>
      </c>
      <c r="F641" s="291">
        <v>1.4</v>
      </c>
      <c r="G641" s="291">
        <v>1</v>
      </c>
      <c r="H641" s="291">
        <v>0</v>
      </c>
      <c r="I641" s="291">
        <v>0</v>
      </c>
      <c r="J641" s="291">
        <v>0</v>
      </c>
      <c r="K641" s="291">
        <v>0</v>
      </c>
      <c r="L641" s="291"/>
      <c r="M641" s="291">
        <v>14.7</v>
      </c>
      <c r="N641" s="291">
        <v>1.2</v>
      </c>
      <c r="O641" s="291">
        <v>0.5</v>
      </c>
      <c r="P641" s="291">
        <v>1011.9</v>
      </c>
      <c r="Q641" s="291">
        <v>1069.7</v>
      </c>
      <c r="R641" s="291"/>
      <c r="S641" s="291"/>
      <c r="T641" s="291">
        <v>3443.6</v>
      </c>
      <c r="U641" s="291">
        <v>14.7</v>
      </c>
      <c r="V641" s="291"/>
      <c r="W641" s="291"/>
      <c r="X641" s="291"/>
      <c r="Y641" s="291"/>
      <c r="Z641" s="291"/>
      <c r="AA641" s="61"/>
      <c r="AB641" s="291"/>
      <c r="AC641" s="61"/>
      <c r="AD641" s="291">
        <v>6.2</v>
      </c>
      <c r="AE641" s="61"/>
      <c r="AF641" s="61"/>
      <c r="AG641" s="61"/>
      <c r="AH641" s="61"/>
      <c r="AI641" s="61"/>
      <c r="AJ641" s="61"/>
      <c r="AK641" s="61"/>
      <c r="AL641" s="291">
        <v>24</v>
      </c>
      <c r="AM641" s="291">
        <v>22</v>
      </c>
      <c r="AN641" s="291">
        <v>16</v>
      </c>
      <c r="AO641" s="61"/>
      <c r="AP641" s="61"/>
      <c r="AQ641" s="61"/>
      <c r="AR641" s="61"/>
      <c r="AS641" s="292"/>
      <c r="AT641" s="206" t="str">
        <f t="shared" si="9"/>
        <v>45036-640</v>
      </c>
    </row>
    <row r="642" spans="1:46" x14ac:dyDescent="0.35">
      <c r="A642" s="204">
        <v>641</v>
      </c>
      <c r="B642" s="14" t="s">
        <v>83</v>
      </c>
      <c r="C642" s="1" t="s">
        <v>160</v>
      </c>
      <c r="D642" s="1" t="s">
        <v>161</v>
      </c>
      <c r="E642" s="12">
        <v>45036</v>
      </c>
      <c r="F642" s="291">
        <v>1.8</v>
      </c>
      <c r="G642" s="291">
        <v>1.2</v>
      </c>
      <c r="H642" s="291">
        <v>0</v>
      </c>
      <c r="I642" s="291">
        <v>0.2</v>
      </c>
      <c r="J642" s="291">
        <v>0</v>
      </c>
      <c r="K642" s="291">
        <v>0</v>
      </c>
      <c r="L642" s="291"/>
      <c r="M642" s="291">
        <v>7</v>
      </c>
      <c r="N642" s="291">
        <v>0.1</v>
      </c>
      <c r="O642" s="291">
        <v>1.2</v>
      </c>
      <c r="P642" s="291">
        <v>1238.9000000000001</v>
      </c>
      <c r="Q642" s="291">
        <v>1388</v>
      </c>
      <c r="R642" s="291"/>
      <c r="S642" s="291"/>
      <c r="T642" s="291">
        <v>2438.6</v>
      </c>
      <c r="U642" s="291">
        <v>495.7</v>
      </c>
      <c r="V642" s="291"/>
      <c r="W642" s="291"/>
      <c r="X642" s="291"/>
      <c r="Y642" s="291"/>
      <c r="Z642" s="291"/>
      <c r="AA642" s="61"/>
      <c r="AB642" s="291"/>
      <c r="AC642" s="61"/>
      <c r="AD642" s="291">
        <v>15.6</v>
      </c>
      <c r="AE642" s="61"/>
      <c r="AF642" s="61"/>
      <c r="AG642" s="61"/>
      <c r="AH642" s="61"/>
      <c r="AI642" s="61"/>
      <c r="AJ642" s="61"/>
      <c r="AK642" s="61"/>
      <c r="AL642" s="291">
        <v>23</v>
      </c>
      <c r="AM642" s="291">
        <v>21</v>
      </c>
      <c r="AN642" s="291">
        <v>16</v>
      </c>
      <c r="AO642" s="61"/>
      <c r="AP642" s="61"/>
      <c r="AQ642" s="61"/>
      <c r="AR642" s="61"/>
      <c r="AS642" s="292"/>
      <c r="AT642" s="206" t="str">
        <f t="shared" ref="AT642:AT683" si="10">CONCATENATE(E642,"-",A642)</f>
        <v>45036-641</v>
      </c>
    </row>
    <row r="643" spans="1:46" x14ac:dyDescent="0.35">
      <c r="A643" s="204">
        <v>642</v>
      </c>
      <c r="B643" s="226" t="s">
        <v>83</v>
      </c>
      <c r="C643" s="1" t="s">
        <v>160</v>
      </c>
      <c r="D643" s="114" t="s">
        <v>161</v>
      </c>
      <c r="E643" s="12">
        <v>45037</v>
      </c>
      <c r="F643" s="293">
        <v>1.7</v>
      </c>
      <c r="G643" s="293">
        <v>1.3</v>
      </c>
      <c r="H643" s="293">
        <v>0</v>
      </c>
      <c r="I643" s="293">
        <v>0.2</v>
      </c>
      <c r="J643" s="293">
        <v>0</v>
      </c>
      <c r="K643" s="293">
        <v>0</v>
      </c>
      <c r="L643" s="293"/>
      <c r="M643" s="293">
        <v>6</v>
      </c>
      <c r="N643" s="293">
        <v>0.1</v>
      </c>
      <c r="O643" s="293">
        <v>1.7</v>
      </c>
      <c r="P643" s="293">
        <v>1257.5999999999999</v>
      </c>
      <c r="Q643" s="293">
        <v>1434.2</v>
      </c>
      <c r="R643" s="293"/>
      <c r="S643" s="293"/>
      <c r="T643" s="293">
        <v>2475.6</v>
      </c>
      <c r="U643" s="293">
        <v>503.2</v>
      </c>
      <c r="V643" s="293"/>
      <c r="W643" s="293"/>
      <c r="X643" s="293"/>
      <c r="Y643" s="293"/>
      <c r="Z643" s="293"/>
      <c r="AA643" s="227"/>
      <c r="AB643" s="293"/>
      <c r="AC643" s="227"/>
      <c r="AD643" s="293">
        <v>15.6</v>
      </c>
      <c r="AE643" s="227"/>
      <c r="AF643" s="227"/>
      <c r="AG643" s="227"/>
      <c r="AH643" s="227"/>
      <c r="AI643" s="227"/>
      <c r="AJ643" s="227"/>
      <c r="AK643" s="227"/>
      <c r="AL643" s="291">
        <v>23</v>
      </c>
      <c r="AM643" s="293">
        <v>21</v>
      </c>
      <c r="AN643" s="293">
        <v>14</v>
      </c>
      <c r="AO643" s="227"/>
      <c r="AP643" s="227"/>
      <c r="AQ643" s="227"/>
      <c r="AR643" s="227"/>
      <c r="AS643" s="294"/>
      <c r="AT643" s="206" t="str">
        <f t="shared" si="10"/>
        <v>45037-642</v>
      </c>
    </row>
    <row r="644" spans="1:46" x14ac:dyDescent="0.35">
      <c r="A644" s="204">
        <v>643</v>
      </c>
      <c r="B644" s="14" t="s">
        <v>83</v>
      </c>
      <c r="C644" s="1" t="s">
        <v>152</v>
      </c>
      <c r="D644" s="1" t="s">
        <v>161</v>
      </c>
      <c r="E644" s="12">
        <v>45037</v>
      </c>
      <c r="F644" s="291">
        <v>1.3</v>
      </c>
      <c r="G644" s="291">
        <v>0.9</v>
      </c>
      <c r="H644" s="291">
        <v>0</v>
      </c>
      <c r="I644" s="291">
        <v>0.2</v>
      </c>
      <c r="J644" s="291">
        <v>0</v>
      </c>
      <c r="K644" s="291">
        <v>0</v>
      </c>
      <c r="L644" s="291"/>
      <c r="M644" s="291">
        <v>13</v>
      </c>
      <c r="N644" s="291">
        <v>1.1000000000000001</v>
      </c>
      <c r="O644" s="291">
        <v>0.3</v>
      </c>
      <c r="P644" s="291">
        <v>1024.0999999999999</v>
      </c>
      <c r="Q644" s="291">
        <v>1088.5999999999999</v>
      </c>
      <c r="R644" s="291"/>
      <c r="S644" s="291"/>
      <c r="T644" s="291">
        <v>3469.1</v>
      </c>
      <c r="U644" s="291">
        <v>14.4</v>
      </c>
      <c r="V644" s="291"/>
      <c r="W644" s="291"/>
      <c r="X644" s="291"/>
      <c r="Y644" s="291"/>
      <c r="Z644" s="291"/>
      <c r="AA644" s="61"/>
      <c r="AB644" s="291"/>
      <c r="AC644" s="61"/>
      <c r="AD644" s="291">
        <v>6.2</v>
      </c>
      <c r="AE644" s="61"/>
      <c r="AF644" s="61"/>
      <c r="AG644" s="61"/>
      <c r="AH644" s="61"/>
      <c r="AI644" s="61"/>
      <c r="AJ644" s="61"/>
      <c r="AK644" s="61"/>
      <c r="AL644" s="291">
        <v>23</v>
      </c>
      <c r="AM644" s="291">
        <v>22</v>
      </c>
      <c r="AN644" s="291">
        <v>16</v>
      </c>
      <c r="AO644" s="61"/>
      <c r="AP644" s="61"/>
      <c r="AQ644" s="61"/>
      <c r="AR644" s="61"/>
      <c r="AS644" s="292"/>
      <c r="AT644" s="206" t="str">
        <f t="shared" si="10"/>
        <v>45037-643</v>
      </c>
    </row>
    <row r="645" spans="1:46" x14ac:dyDescent="0.35">
      <c r="A645" s="204">
        <v>644</v>
      </c>
      <c r="B645" s="14" t="s">
        <v>83</v>
      </c>
      <c r="C645" s="1" t="s">
        <v>160</v>
      </c>
      <c r="D645" s="1" t="s">
        <v>161</v>
      </c>
      <c r="E645" s="12">
        <v>45037</v>
      </c>
      <c r="F645" s="291">
        <v>1.6</v>
      </c>
      <c r="G645" s="291">
        <v>1.2</v>
      </c>
      <c r="H645" s="291">
        <v>0</v>
      </c>
      <c r="I645" s="291">
        <v>0.1</v>
      </c>
      <c r="J645" s="291">
        <v>0</v>
      </c>
      <c r="K645" s="291">
        <v>0</v>
      </c>
      <c r="L645" s="291"/>
      <c r="M645" s="291">
        <v>5.6</v>
      </c>
      <c r="N645" s="291">
        <v>0.2</v>
      </c>
      <c r="O645" s="291">
        <v>1.2</v>
      </c>
      <c r="P645" s="291">
        <v>1236.0999999999999</v>
      </c>
      <c r="Q645" s="291">
        <v>1400.4</v>
      </c>
      <c r="R645" s="291"/>
      <c r="S645" s="291"/>
      <c r="T645" s="291">
        <v>2430.8000000000002</v>
      </c>
      <c r="U645" s="291">
        <v>494.5</v>
      </c>
      <c r="V645" s="291"/>
      <c r="W645" s="291"/>
      <c r="X645" s="291"/>
      <c r="Y645" s="291"/>
      <c r="Z645" s="291"/>
      <c r="AA645" s="61"/>
      <c r="AB645" s="291"/>
      <c r="AC645" s="61"/>
      <c r="AD645" s="291">
        <v>15.5</v>
      </c>
      <c r="AE645" s="61"/>
      <c r="AF645" s="61"/>
      <c r="AG645" s="61"/>
      <c r="AH645" s="61"/>
      <c r="AI645" s="61"/>
      <c r="AJ645" s="61"/>
      <c r="AK645" s="61"/>
      <c r="AL645" s="291">
        <v>23</v>
      </c>
      <c r="AM645" s="291">
        <v>21</v>
      </c>
      <c r="AN645" s="291">
        <v>15</v>
      </c>
      <c r="AO645" s="61"/>
      <c r="AP645" s="61"/>
      <c r="AQ645" s="61"/>
      <c r="AR645" s="61"/>
      <c r="AS645" s="292"/>
      <c r="AT645" s="206" t="str">
        <f t="shared" si="10"/>
        <v>45037-644</v>
      </c>
    </row>
    <row r="646" spans="1:46" x14ac:dyDescent="0.35">
      <c r="A646" s="204">
        <v>645</v>
      </c>
      <c r="B646" s="14" t="s">
        <v>83</v>
      </c>
      <c r="C646" s="1" t="s">
        <v>152</v>
      </c>
      <c r="D646" s="1" t="s">
        <v>161</v>
      </c>
      <c r="E646" s="12">
        <v>45037</v>
      </c>
      <c r="F646" s="291">
        <v>1.6</v>
      </c>
      <c r="G646" s="291">
        <v>1</v>
      </c>
      <c r="H646" s="291">
        <v>0</v>
      </c>
      <c r="I646" s="291">
        <v>0</v>
      </c>
      <c r="J646" s="291">
        <v>0.1</v>
      </c>
      <c r="K646" s="291">
        <v>0</v>
      </c>
      <c r="L646" s="291"/>
      <c r="M646" s="291">
        <v>16.399999999999999</v>
      </c>
      <c r="N646" s="291">
        <v>1.2</v>
      </c>
      <c r="O646" s="291">
        <v>0</v>
      </c>
      <c r="P646" s="291">
        <v>1086.8</v>
      </c>
      <c r="Q646" s="291">
        <v>1148.8</v>
      </c>
      <c r="R646" s="291"/>
      <c r="S646" s="291"/>
      <c r="T646" s="291">
        <v>3747.5</v>
      </c>
      <c r="U646" s="291">
        <v>11.6</v>
      </c>
      <c r="V646" s="291"/>
      <c r="W646" s="291"/>
      <c r="X646" s="291"/>
      <c r="Y646" s="291"/>
      <c r="Z646" s="291"/>
      <c r="AA646" s="61"/>
      <c r="AB646" s="291"/>
      <c r="AC646" s="61"/>
      <c r="AD646" s="291">
        <v>6.2</v>
      </c>
      <c r="AE646" s="61"/>
      <c r="AF646" s="61"/>
      <c r="AG646" s="61"/>
      <c r="AH646" s="61"/>
      <c r="AI646" s="61"/>
      <c r="AJ646" s="61"/>
      <c r="AK646" s="61"/>
      <c r="AL646" s="291">
        <v>24</v>
      </c>
      <c r="AM646" s="291">
        <v>22</v>
      </c>
      <c r="AN646" s="291">
        <v>15</v>
      </c>
      <c r="AO646" s="61"/>
      <c r="AP646" s="61"/>
      <c r="AQ646" s="61"/>
      <c r="AR646" s="61"/>
      <c r="AS646" s="292"/>
      <c r="AT646" s="206" t="str">
        <f t="shared" si="10"/>
        <v>45037-645</v>
      </c>
    </row>
    <row r="647" spans="1:46" x14ac:dyDescent="0.35">
      <c r="A647" s="204">
        <v>646</v>
      </c>
      <c r="B647" s="14" t="s">
        <v>83</v>
      </c>
      <c r="C647" s="1" t="s">
        <v>155</v>
      </c>
      <c r="D647" s="1" t="s">
        <v>161</v>
      </c>
      <c r="E647" s="12">
        <v>45037</v>
      </c>
      <c r="F647" s="291">
        <v>1.5</v>
      </c>
      <c r="G647" s="291">
        <v>1</v>
      </c>
      <c r="H647" s="291">
        <v>0</v>
      </c>
      <c r="I647" s="291">
        <v>0</v>
      </c>
      <c r="J647" s="291">
        <v>0</v>
      </c>
      <c r="K647" s="291">
        <v>0</v>
      </c>
      <c r="L647" s="291"/>
      <c r="M647" s="291">
        <v>19.2</v>
      </c>
      <c r="N647" s="291">
        <v>1</v>
      </c>
      <c r="O647" s="291">
        <v>0.2</v>
      </c>
      <c r="P647" s="291">
        <v>1077.4000000000001</v>
      </c>
      <c r="Q647" s="291">
        <v>1155.8</v>
      </c>
      <c r="R647" s="291"/>
      <c r="S647" s="291"/>
      <c r="T647" s="291">
        <v>3704.9</v>
      </c>
      <c r="U647" s="291">
        <v>11.8</v>
      </c>
      <c r="V647" s="291"/>
      <c r="W647" s="291"/>
      <c r="X647" s="291"/>
      <c r="Y647" s="291"/>
      <c r="Z647" s="291"/>
      <c r="AA647" s="61"/>
      <c r="AB647" s="291"/>
      <c r="AC647" s="61"/>
      <c r="AD647" s="291">
        <v>25.3</v>
      </c>
      <c r="AE647" s="61"/>
      <c r="AF647" s="61"/>
      <c r="AG647" s="61"/>
      <c r="AH647" s="61"/>
      <c r="AI647" s="61"/>
      <c r="AJ647" s="61"/>
      <c r="AK647" s="61"/>
      <c r="AL647" s="291">
        <v>23</v>
      </c>
      <c r="AM647" s="291">
        <v>21</v>
      </c>
      <c r="AN647" s="291">
        <v>17</v>
      </c>
      <c r="AO647" s="61"/>
      <c r="AP647" s="61"/>
      <c r="AQ647" s="61"/>
      <c r="AR647" s="61"/>
      <c r="AS647" s="292"/>
      <c r="AT647" s="206" t="str">
        <f t="shared" si="10"/>
        <v>45037-646</v>
      </c>
    </row>
    <row r="648" spans="1:46" x14ac:dyDescent="0.35">
      <c r="A648" s="204">
        <v>647</v>
      </c>
      <c r="B648" s="14" t="s">
        <v>83</v>
      </c>
      <c r="C648" s="1" t="s">
        <v>152</v>
      </c>
      <c r="D648" s="1" t="s">
        <v>161</v>
      </c>
      <c r="E648" s="12">
        <v>45037</v>
      </c>
      <c r="F648" s="291">
        <v>1.4</v>
      </c>
      <c r="G648" s="291">
        <v>0.8</v>
      </c>
      <c r="H648" s="291">
        <v>0</v>
      </c>
      <c r="I648" s="291">
        <v>0</v>
      </c>
      <c r="J648" s="291">
        <v>0.1</v>
      </c>
      <c r="K648" s="291">
        <v>0</v>
      </c>
      <c r="L648" s="291"/>
      <c r="M648" s="291">
        <v>14</v>
      </c>
      <c r="N648" s="291">
        <v>1</v>
      </c>
      <c r="O648" s="291">
        <v>0</v>
      </c>
      <c r="P648" s="291">
        <v>1039.3</v>
      </c>
      <c r="Q648" s="291">
        <v>1109.3</v>
      </c>
      <c r="R648" s="291"/>
      <c r="S648" s="291"/>
      <c r="T648" s="291">
        <v>3563.5</v>
      </c>
      <c r="U648" s="291">
        <v>11.3</v>
      </c>
      <c r="V648" s="291"/>
      <c r="W648" s="291"/>
      <c r="X648" s="291"/>
      <c r="Y648" s="291"/>
      <c r="Z648" s="291"/>
      <c r="AA648" s="61"/>
      <c r="AB648" s="291"/>
      <c r="AC648" s="61"/>
      <c r="AD648" s="291">
        <v>6.2</v>
      </c>
      <c r="AE648" s="61"/>
      <c r="AF648" s="61"/>
      <c r="AG648" s="61"/>
      <c r="AH648" s="61"/>
      <c r="AI648" s="61"/>
      <c r="AJ648" s="61"/>
      <c r="AK648" s="61"/>
      <c r="AL648" s="291">
        <v>24</v>
      </c>
      <c r="AM648" s="291">
        <v>22</v>
      </c>
      <c r="AN648" s="291">
        <v>15</v>
      </c>
      <c r="AO648" s="61"/>
      <c r="AP648" s="61"/>
      <c r="AQ648" s="61"/>
      <c r="AR648" s="61"/>
      <c r="AS648" s="292"/>
      <c r="AT648" s="206" t="str">
        <f t="shared" si="10"/>
        <v>45037-647</v>
      </c>
    </row>
    <row r="649" spans="1:46" x14ac:dyDescent="0.35">
      <c r="A649" s="204">
        <v>648</v>
      </c>
      <c r="B649" s="14" t="s">
        <v>83</v>
      </c>
      <c r="C649" s="1" t="s">
        <v>152</v>
      </c>
      <c r="D649" s="1" t="s">
        <v>161</v>
      </c>
      <c r="E649" s="12">
        <v>45038</v>
      </c>
      <c r="F649" s="291">
        <v>1.3</v>
      </c>
      <c r="G649" s="291">
        <v>0.8</v>
      </c>
      <c r="H649" s="291">
        <v>0</v>
      </c>
      <c r="I649" s="291">
        <v>0</v>
      </c>
      <c r="J649" s="291">
        <v>0.1</v>
      </c>
      <c r="K649" s="291">
        <v>0</v>
      </c>
      <c r="L649" s="291"/>
      <c r="M649" s="291">
        <v>15.4</v>
      </c>
      <c r="N649" s="291">
        <v>1.1000000000000001</v>
      </c>
      <c r="O649" s="291">
        <v>0</v>
      </c>
      <c r="P649" s="291">
        <v>1062.5999999999999</v>
      </c>
      <c r="Q649" s="291">
        <v>1120</v>
      </c>
      <c r="R649" s="291"/>
      <c r="S649" s="291"/>
      <c r="T649" s="291">
        <v>3644.1</v>
      </c>
      <c r="U649" s="291">
        <v>12.3</v>
      </c>
      <c r="V649" s="291"/>
      <c r="W649" s="291"/>
      <c r="X649" s="291"/>
      <c r="Y649" s="291"/>
      <c r="Z649" s="291"/>
      <c r="AA649" s="61"/>
      <c r="AB649" s="291"/>
      <c r="AC649" s="61"/>
      <c r="AD649" s="291">
        <v>6.2</v>
      </c>
      <c r="AE649" s="61"/>
      <c r="AF649" s="61"/>
      <c r="AG649" s="61"/>
      <c r="AH649" s="61"/>
      <c r="AI649" s="61"/>
      <c r="AJ649" s="61"/>
      <c r="AK649" s="61"/>
      <c r="AL649" s="291">
        <v>24</v>
      </c>
      <c r="AM649" s="291">
        <v>22</v>
      </c>
      <c r="AN649" s="291">
        <v>15</v>
      </c>
      <c r="AO649" s="61"/>
      <c r="AP649" s="61"/>
      <c r="AQ649" s="61"/>
      <c r="AR649" s="61"/>
      <c r="AS649" s="292"/>
      <c r="AT649" s="206" t="str">
        <f t="shared" si="10"/>
        <v>45038-648</v>
      </c>
    </row>
    <row r="650" spans="1:46" x14ac:dyDescent="0.35">
      <c r="A650" s="204">
        <v>649</v>
      </c>
      <c r="B650" s="14" t="s">
        <v>83</v>
      </c>
      <c r="C650" s="1" t="s">
        <v>155</v>
      </c>
      <c r="D650" s="1" t="s">
        <v>161</v>
      </c>
      <c r="E650" s="12">
        <v>45038</v>
      </c>
      <c r="F650" s="291">
        <v>1.3</v>
      </c>
      <c r="G650" s="291">
        <v>0.8</v>
      </c>
      <c r="H650" s="291">
        <v>0</v>
      </c>
      <c r="I650" s="291">
        <v>0</v>
      </c>
      <c r="J650" s="291">
        <v>0.1</v>
      </c>
      <c r="K650" s="291">
        <v>0</v>
      </c>
      <c r="L650" s="291"/>
      <c r="M650" s="291">
        <v>17.5</v>
      </c>
      <c r="N650" s="291">
        <v>0.8</v>
      </c>
      <c r="O650" s="291">
        <v>0.3</v>
      </c>
      <c r="P650" s="291">
        <v>1048.3</v>
      </c>
      <c r="Q650" s="291">
        <v>1105.5</v>
      </c>
      <c r="R650" s="291"/>
      <c r="S650" s="291"/>
      <c r="T650" s="291">
        <v>3585.7</v>
      </c>
      <c r="U650" s="291">
        <v>12.2</v>
      </c>
      <c r="V650" s="291"/>
      <c r="W650" s="291"/>
      <c r="X650" s="291"/>
      <c r="Y650" s="291"/>
      <c r="Z650" s="291"/>
      <c r="AA650" s="61"/>
      <c r="AB650" s="291"/>
      <c r="AC650" s="61"/>
      <c r="AD650" s="291">
        <v>25.2</v>
      </c>
      <c r="AE650" s="61"/>
      <c r="AF650" s="61"/>
      <c r="AG650" s="61"/>
      <c r="AH650" s="61"/>
      <c r="AI650" s="61"/>
      <c r="AJ650" s="61"/>
      <c r="AK650" s="61"/>
      <c r="AL650" s="291">
        <v>22</v>
      </c>
      <c r="AM650" s="291">
        <v>20</v>
      </c>
      <c r="AN650" s="291">
        <v>15</v>
      </c>
      <c r="AO650" s="61"/>
      <c r="AP650" s="61"/>
      <c r="AQ650" s="61"/>
      <c r="AR650" s="61"/>
      <c r="AS650" s="292"/>
      <c r="AT650" s="206" t="str">
        <f t="shared" si="10"/>
        <v>45038-649</v>
      </c>
    </row>
    <row r="651" spans="1:46" x14ac:dyDescent="0.35">
      <c r="A651" s="204">
        <v>650</v>
      </c>
      <c r="B651" s="14" t="s">
        <v>83</v>
      </c>
      <c r="C651" s="1" t="s">
        <v>152</v>
      </c>
      <c r="D651" s="1" t="s">
        <v>161</v>
      </c>
      <c r="E651" s="12">
        <v>45038</v>
      </c>
      <c r="F651" s="291">
        <v>1.3</v>
      </c>
      <c r="G651" s="291">
        <v>0.8</v>
      </c>
      <c r="H651" s="291">
        <v>0</v>
      </c>
      <c r="I651" s="291">
        <v>0</v>
      </c>
      <c r="J651" s="291">
        <v>0.1</v>
      </c>
      <c r="K651" s="291">
        <v>0</v>
      </c>
      <c r="L651" s="291"/>
      <c r="M651" s="291">
        <v>13.9</v>
      </c>
      <c r="N651" s="291">
        <v>1.1000000000000001</v>
      </c>
      <c r="O651" s="291">
        <v>0</v>
      </c>
      <c r="P651" s="291">
        <v>1058.5</v>
      </c>
      <c r="Q651" s="291">
        <v>1112.8</v>
      </c>
      <c r="R651" s="291"/>
      <c r="S651" s="291"/>
      <c r="T651" s="291">
        <v>3617.2</v>
      </c>
      <c r="U651" s="291">
        <v>11.7</v>
      </c>
      <c r="V651" s="291"/>
      <c r="W651" s="291"/>
      <c r="X651" s="291"/>
      <c r="Y651" s="291"/>
      <c r="Z651" s="291"/>
      <c r="AA651" s="61"/>
      <c r="AB651" s="291"/>
      <c r="AC651" s="61"/>
      <c r="AD651" s="291">
        <v>6.2</v>
      </c>
      <c r="AE651" s="61"/>
      <c r="AF651" s="61"/>
      <c r="AG651" s="61"/>
      <c r="AH651" s="61"/>
      <c r="AI651" s="61"/>
      <c r="AJ651" s="61"/>
      <c r="AK651" s="61"/>
      <c r="AL651" s="291">
        <v>23</v>
      </c>
      <c r="AM651" s="291">
        <v>22</v>
      </c>
      <c r="AN651" s="291">
        <v>16</v>
      </c>
      <c r="AO651" s="61"/>
      <c r="AP651" s="61"/>
      <c r="AQ651" s="61"/>
      <c r="AR651" s="61"/>
      <c r="AS651" s="292"/>
      <c r="AT651" s="206" t="str">
        <f t="shared" si="10"/>
        <v>45038-650</v>
      </c>
    </row>
    <row r="652" spans="1:46" x14ac:dyDescent="0.35">
      <c r="A652" s="204">
        <v>651</v>
      </c>
      <c r="B652" s="14" t="s">
        <v>83</v>
      </c>
      <c r="C652" s="1" t="s">
        <v>198</v>
      </c>
      <c r="D652" s="1" t="s">
        <v>161</v>
      </c>
      <c r="E652" s="12">
        <v>45043</v>
      </c>
      <c r="F652" s="291">
        <v>2.1</v>
      </c>
      <c r="G652" s="291">
        <v>1</v>
      </c>
      <c r="H652" s="291">
        <v>0</v>
      </c>
      <c r="I652" s="291">
        <v>0</v>
      </c>
      <c r="J652" s="291">
        <v>0.1</v>
      </c>
      <c r="K652" s="291">
        <v>0.1</v>
      </c>
      <c r="L652" s="291"/>
      <c r="M652" s="291">
        <v>16.2</v>
      </c>
      <c r="N652" s="291">
        <v>1.2</v>
      </c>
      <c r="O652" s="291">
        <v>0.5</v>
      </c>
      <c r="P652" s="291">
        <v>1005.9</v>
      </c>
      <c r="Q652" s="291">
        <v>1120.0999999999999</v>
      </c>
      <c r="R652" s="291"/>
      <c r="S652" s="291"/>
      <c r="T652" s="291">
        <v>3593.9</v>
      </c>
      <c r="U652" s="291">
        <v>10.9</v>
      </c>
      <c r="V652" s="291"/>
      <c r="W652" s="291"/>
      <c r="X652" s="291"/>
      <c r="Y652" s="291"/>
      <c r="Z652" s="291"/>
      <c r="AA652" s="61"/>
      <c r="AB652" s="291"/>
      <c r="AC652" s="61"/>
      <c r="AD652" s="291">
        <v>11.5</v>
      </c>
      <c r="AE652" s="61"/>
      <c r="AF652" s="61"/>
      <c r="AG652" s="61"/>
      <c r="AH652" s="61"/>
      <c r="AI652" s="61"/>
      <c r="AJ652" s="61"/>
      <c r="AK652" s="61"/>
      <c r="AL652" s="291">
        <v>24</v>
      </c>
      <c r="AM652" s="291">
        <v>23</v>
      </c>
      <c r="AN652" s="291">
        <v>15</v>
      </c>
      <c r="AO652" s="61"/>
      <c r="AP652" s="61"/>
      <c r="AQ652" s="61"/>
      <c r="AR652" s="61"/>
      <c r="AS652" s="292"/>
      <c r="AT652" s="206" t="str">
        <f t="shared" si="10"/>
        <v>45043-651</v>
      </c>
    </row>
    <row r="653" spans="1:46" x14ac:dyDescent="0.35">
      <c r="A653" s="204">
        <v>652</v>
      </c>
      <c r="B653" s="14" t="s">
        <v>83</v>
      </c>
      <c r="C653" s="1" t="s">
        <v>152</v>
      </c>
      <c r="D653" s="1" t="s">
        <v>161</v>
      </c>
      <c r="E653" s="12">
        <v>45043</v>
      </c>
      <c r="F653" s="291">
        <v>1.6</v>
      </c>
      <c r="G653" s="291">
        <v>0.9</v>
      </c>
      <c r="H653" s="291">
        <v>0.1</v>
      </c>
      <c r="I653" s="291">
        <v>0.1</v>
      </c>
      <c r="J653" s="291">
        <v>0.3</v>
      </c>
      <c r="K653" s="291">
        <v>0</v>
      </c>
      <c r="L653" s="291"/>
      <c r="M653" s="291">
        <v>16.899999999999999</v>
      </c>
      <c r="N653" s="291">
        <v>1</v>
      </c>
      <c r="O653" s="291">
        <v>0.4</v>
      </c>
      <c r="P653" s="291">
        <v>1003.8</v>
      </c>
      <c r="Q653" s="291">
        <v>1115.0999999999999</v>
      </c>
      <c r="R653" s="291"/>
      <c r="S653" s="291"/>
      <c r="T653" s="291">
        <v>3526.1</v>
      </c>
      <c r="U653" s="291">
        <v>12</v>
      </c>
      <c r="V653" s="291"/>
      <c r="W653" s="291"/>
      <c r="X653" s="291"/>
      <c r="Y653" s="291"/>
      <c r="Z653" s="291"/>
      <c r="AA653" s="61"/>
      <c r="AB653" s="291"/>
      <c r="AC653" s="61"/>
      <c r="AD653" s="291">
        <v>6.3</v>
      </c>
      <c r="AE653" s="61"/>
      <c r="AF653" s="61"/>
      <c r="AG653" s="61"/>
      <c r="AH653" s="61"/>
      <c r="AI653" s="61"/>
      <c r="AJ653" s="61"/>
      <c r="AK653" s="61"/>
      <c r="AL653" s="291">
        <v>24</v>
      </c>
      <c r="AM653" s="291">
        <v>23</v>
      </c>
      <c r="AN653" s="291">
        <v>17</v>
      </c>
      <c r="AO653" s="61"/>
      <c r="AP653" s="61"/>
      <c r="AQ653" s="61"/>
      <c r="AR653" s="61"/>
      <c r="AS653" s="292"/>
      <c r="AT653" s="206" t="str">
        <f t="shared" si="10"/>
        <v>45043-652</v>
      </c>
    </row>
    <row r="654" spans="1:46" x14ac:dyDescent="0.35">
      <c r="A654" s="204">
        <v>653</v>
      </c>
      <c r="B654" s="14" t="s">
        <v>83</v>
      </c>
      <c r="C654" s="1" t="s">
        <v>160</v>
      </c>
      <c r="D654" s="1" t="s">
        <v>161</v>
      </c>
      <c r="E654" s="12">
        <v>45043</v>
      </c>
      <c r="F654" s="291">
        <v>2.4</v>
      </c>
      <c r="G654" s="291">
        <v>1.5</v>
      </c>
      <c r="H654" s="291">
        <v>0.1</v>
      </c>
      <c r="I654" s="291">
        <v>0</v>
      </c>
      <c r="J654" s="291">
        <v>0</v>
      </c>
      <c r="K654" s="291">
        <v>0.1</v>
      </c>
      <c r="L654" s="291"/>
      <c r="M654" s="291">
        <v>19.100000000000001</v>
      </c>
      <c r="N654" s="291">
        <v>0.4</v>
      </c>
      <c r="O654" s="291">
        <v>1.9</v>
      </c>
      <c r="P654" s="291">
        <v>1261.5999999999999</v>
      </c>
      <c r="Q654" s="291">
        <v>1477</v>
      </c>
      <c r="R654" s="291"/>
      <c r="S654" s="291"/>
      <c r="T654" s="291">
        <v>2552.3000000000002</v>
      </c>
      <c r="U654" s="291">
        <v>507.7</v>
      </c>
      <c r="V654" s="291"/>
      <c r="W654" s="291"/>
      <c r="X654" s="291"/>
      <c r="Y654" s="291"/>
      <c r="Z654" s="291"/>
      <c r="AA654" s="61"/>
      <c r="AB654" s="291"/>
      <c r="AC654" s="61"/>
      <c r="AD654" s="291">
        <v>15.6</v>
      </c>
      <c r="AE654" s="61"/>
      <c r="AF654" s="61"/>
      <c r="AG654" s="61"/>
      <c r="AH654" s="61"/>
      <c r="AI654" s="61"/>
      <c r="AJ654" s="61"/>
      <c r="AK654" s="61"/>
      <c r="AL654" s="291">
        <v>23</v>
      </c>
      <c r="AM654" s="291">
        <v>21</v>
      </c>
      <c r="AN654" s="291">
        <v>15</v>
      </c>
      <c r="AO654" s="61"/>
      <c r="AP654" s="61"/>
      <c r="AQ654" s="61"/>
      <c r="AR654" s="61"/>
      <c r="AS654" s="292"/>
      <c r="AT654" s="206" t="str">
        <f t="shared" si="10"/>
        <v>45043-653</v>
      </c>
    </row>
    <row r="655" spans="1:46" x14ac:dyDescent="0.35">
      <c r="A655" s="204">
        <v>654</v>
      </c>
      <c r="B655" s="14" t="s">
        <v>83</v>
      </c>
      <c r="C655" s="1" t="s">
        <v>198</v>
      </c>
      <c r="D655" s="1" t="s">
        <v>161</v>
      </c>
      <c r="E655" s="12">
        <v>45044</v>
      </c>
      <c r="F655" s="291">
        <v>1.6</v>
      </c>
      <c r="G655" s="291">
        <v>1.1000000000000001</v>
      </c>
      <c r="H655" s="291">
        <v>0</v>
      </c>
      <c r="I655" s="291">
        <v>0</v>
      </c>
      <c r="J655" s="291">
        <v>0</v>
      </c>
      <c r="K655" s="291">
        <v>0</v>
      </c>
      <c r="L655" s="291"/>
      <c r="M655" s="291">
        <v>27.4</v>
      </c>
      <c r="N655" s="291">
        <v>0.9</v>
      </c>
      <c r="O655" s="291">
        <v>0.5</v>
      </c>
      <c r="P655" s="291">
        <v>1066.4000000000001</v>
      </c>
      <c r="Q655" s="291">
        <v>1180.0999999999999</v>
      </c>
      <c r="R655" s="291"/>
      <c r="S655" s="291"/>
      <c r="T655" s="291">
        <v>3707.1</v>
      </c>
      <c r="U655" s="291">
        <v>15.9</v>
      </c>
      <c r="V655" s="291"/>
      <c r="W655" s="291"/>
      <c r="X655" s="291"/>
      <c r="Y655" s="291"/>
      <c r="Z655" s="291"/>
      <c r="AA655" s="61"/>
      <c r="AB655" s="291"/>
      <c r="AC655" s="61"/>
      <c r="AD655" s="291">
        <v>11.6</v>
      </c>
      <c r="AE655" s="61"/>
      <c r="AF655" s="61"/>
      <c r="AG655" s="61"/>
      <c r="AH655" s="61"/>
      <c r="AI655" s="61"/>
      <c r="AJ655" s="61"/>
      <c r="AK655" s="61"/>
      <c r="AL655" s="291">
        <v>24</v>
      </c>
      <c r="AM655" s="291">
        <v>23</v>
      </c>
      <c r="AN655" s="291">
        <v>15</v>
      </c>
      <c r="AO655" s="61"/>
      <c r="AP655" s="61"/>
      <c r="AQ655" s="61"/>
      <c r="AR655" s="61"/>
      <c r="AS655" s="292"/>
      <c r="AT655" s="206" t="str">
        <f t="shared" si="10"/>
        <v>45044-654</v>
      </c>
    </row>
    <row r="656" spans="1:46" x14ac:dyDescent="0.35">
      <c r="A656" s="204">
        <v>655</v>
      </c>
      <c r="B656" s="14" t="s">
        <v>83</v>
      </c>
      <c r="C656" s="1" t="s">
        <v>160</v>
      </c>
      <c r="D656" s="1" t="s">
        <v>161</v>
      </c>
      <c r="E656" s="12">
        <v>45044</v>
      </c>
      <c r="F656" s="291">
        <v>1.9</v>
      </c>
      <c r="G656" s="291">
        <v>1.4</v>
      </c>
      <c r="H656" s="291">
        <v>0</v>
      </c>
      <c r="I656" s="291">
        <v>0</v>
      </c>
      <c r="J656" s="291">
        <v>0</v>
      </c>
      <c r="K656" s="291">
        <v>0</v>
      </c>
      <c r="L656" s="291"/>
      <c r="M656" s="291">
        <v>14.6</v>
      </c>
      <c r="N656" s="291">
        <v>0</v>
      </c>
      <c r="O656" s="291">
        <v>1.7</v>
      </c>
      <c r="P656" s="291">
        <v>1275.9000000000001</v>
      </c>
      <c r="Q656" s="291">
        <v>1508.3</v>
      </c>
      <c r="R656" s="291"/>
      <c r="S656" s="291"/>
      <c r="T656" s="291">
        <v>2570</v>
      </c>
      <c r="U656" s="291">
        <v>507.9</v>
      </c>
      <c r="V656" s="291"/>
      <c r="W656" s="291"/>
      <c r="X656" s="291"/>
      <c r="Y656" s="291"/>
      <c r="Z656" s="291"/>
      <c r="AA656" s="61"/>
      <c r="AB656" s="291"/>
      <c r="AC656" s="61"/>
      <c r="AD656" s="291">
        <v>15.7</v>
      </c>
      <c r="AE656" s="61"/>
      <c r="AF656" s="61"/>
      <c r="AG656" s="61"/>
      <c r="AH656" s="61"/>
      <c r="AI656" s="61"/>
      <c r="AJ656" s="61"/>
      <c r="AK656" s="61"/>
      <c r="AL656" s="291">
        <v>23</v>
      </c>
      <c r="AM656" s="291">
        <v>21</v>
      </c>
      <c r="AN656" s="291">
        <v>14</v>
      </c>
      <c r="AO656" s="61"/>
      <c r="AP656" s="61"/>
      <c r="AQ656" s="61"/>
      <c r="AR656" s="61"/>
      <c r="AS656" s="292"/>
      <c r="AT656" s="206" t="str">
        <f t="shared" si="10"/>
        <v>45044-655</v>
      </c>
    </row>
    <row r="657" spans="1:46" x14ac:dyDescent="0.35">
      <c r="A657" s="204">
        <v>656</v>
      </c>
      <c r="B657" s="14" t="s">
        <v>83</v>
      </c>
      <c r="C657" s="1" t="s">
        <v>152</v>
      </c>
      <c r="D657" s="1" t="s">
        <v>161</v>
      </c>
      <c r="E657" s="12">
        <v>45044</v>
      </c>
      <c r="F657" s="291">
        <v>1.7</v>
      </c>
      <c r="G657" s="291">
        <v>1.2</v>
      </c>
      <c r="H657" s="291">
        <v>0</v>
      </c>
      <c r="I657" s="291">
        <v>0.1</v>
      </c>
      <c r="J657" s="291">
        <v>0</v>
      </c>
      <c r="K657" s="291">
        <v>0.1</v>
      </c>
      <c r="L657" s="291"/>
      <c r="M657" s="291">
        <v>25.3</v>
      </c>
      <c r="N657" s="291">
        <v>1</v>
      </c>
      <c r="O657" s="291">
        <v>0.3</v>
      </c>
      <c r="P657" s="291">
        <v>1084.2</v>
      </c>
      <c r="Q657" s="291">
        <v>1204.3</v>
      </c>
      <c r="R657" s="291"/>
      <c r="S657" s="291"/>
      <c r="T657" s="291">
        <v>3770.4</v>
      </c>
      <c r="U657" s="291">
        <v>15.8</v>
      </c>
      <c r="V657" s="291"/>
      <c r="W657" s="291"/>
      <c r="X657" s="291"/>
      <c r="Y657" s="291"/>
      <c r="Z657" s="291"/>
      <c r="AA657" s="61"/>
      <c r="AB657" s="291"/>
      <c r="AC657" s="61"/>
      <c r="AD657" s="291">
        <v>6.3</v>
      </c>
      <c r="AE657" s="61"/>
      <c r="AF657" s="61"/>
      <c r="AG657" s="61"/>
      <c r="AH657" s="61"/>
      <c r="AI657" s="61"/>
      <c r="AJ657" s="61"/>
      <c r="AK657" s="61"/>
      <c r="AL657" s="291">
        <v>23</v>
      </c>
      <c r="AM657" s="291">
        <v>22</v>
      </c>
      <c r="AN657" s="291">
        <v>17</v>
      </c>
      <c r="AO657" s="61"/>
      <c r="AP657" s="61"/>
      <c r="AQ657" s="61"/>
      <c r="AR657" s="61"/>
      <c r="AS657" s="292"/>
      <c r="AT657" s="206" t="str">
        <f t="shared" si="10"/>
        <v>45044-656</v>
      </c>
    </row>
    <row r="658" spans="1:46" x14ac:dyDescent="0.35">
      <c r="A658" s="204">
        <v>657</v>
      </c>
      <c r="B658" s="14" t="s">
        <v>83</v>
      </c>
      <c r="C658" s="1" t="s">
        <v>160</v>
      </c>
      <c r="D658" s="1" t="s">
        <v>161</v>
      </c>
      <c r="E658" s="12">
        <v>45053</v>
      </c>
      <c r="F658" s="291">
        <v>1.8</v>
      </c>
      <c r="G658" s="291">
        <v>1.4</v>
      </c>
      <c r="H658" s="291">
        <v>0</v>
      </c>
      <c r="I658" s="291">
        <v>0</v>
      </c>
      <c r="J658" s="291">
        <v>0</v>
      </c>
      <c r="K658" s="291">
        <v>0</v>
      </c>
      <c r="L658" s="291"/>
      <c r="M658" s="291">
        <v>6.2</v>
      </c>
      <c r="N658" s="291">
        <v>0.8</v>
      </c>
      <c r="O658" s="291">
        <v>1.6</v>
      </c>
      <c r="P658" s="291">
        <v>1260.7</v>
      </c>
      <c r="Q658" s="291">
        <v>1475.5</v>
      </c>
      <c r="R658" s="291"/>
      <c r="S658" s="291"/>
      <c r="T658" s="291">
        <v>2481.9</v>
      </c>
      <c r="U658" s="291">
        <v>502.1</v>
      </c>
      <c r="V658" s="291"/>
      <c r="W658" s="291"/>
      <c r="X658" s="291"/>
      <c r="Y658" s="291"/>
      <c r="Z658" s="291"/>
      <c r="AA658" s="61"/>
      <c r="AB658" s="291"/>
      <c r="AC658" s="61"/>
      <c r="AD658" s="291">
        <v>15.5</v>
      </c>
      <c r="AE658" s="61"/>
      <c r="AF658" s="61"/>
      <c r="AG658" s="61"/>
      <c r="AH658" s="61"/>
      <c r="AI658" s="61"/>
      <c r="AJ658" s="61"/>
      <c r="AK658" s="61"/>
      <c r="AL658" s="291">
        <v>22</v>
      </c>
      <c r="AM658" s="291">
        <v>20</v>
      </c>
      <c r="AN658" s="291">
        <v>14</v>
      </c>
      <c r="AO658" s="61"/>
      <c r="AP658" s="61"/>
      <c r="AQ658" s="61"/>
      <c r="AR658" s="61"/>
      <c r="AS658" s="292"/>
      <c r="AT658" s="206" t="str">
        <f t="shared" si="10"/>
        <v>45053-657</v>
      </c>
    </row>
    <row r="659" spans="1:46" x14ac:dyDescent="0.35">
      <c r="A659" s="204">
        <v>658</v>
      </c>
      <c r="B659" s="14" t="s">
        <v>83</v>
      </c>
      <c r="C659" s="1" t="s">
        <v>160</v>
      </c>
      <c r="D659" s="1" t="s">
        <v>161</v>
      </c>
      <c r="E659" s="12">
        <v>45053</v>
      </c>
      <c r="F659" s="291">
        <v>1.8</v>
      </c>
      <c r="G659" s="291">
        <v>1.4</v>
      </c>
      <c r="H659" s="291">
        <v>0.1</v>
      </c>
      <c r="I659" s="291">
        <v>0.3</v>
      </c>
      <c r="J659" s="291">
        <v>0</v>
      </c>
      <c r="K659" s="291">
        <v>0.1</v>
      </c>
      <c r="L659" s="291"/>
      <c r="M659" s="291">
        <v>6.1</v>
      </c>
      <c r="N659" s="291">
        <v>0.7</v>
      </c>
      <c r="O659" s="291">
        <v>1.6</v>
      </c>
      <c r="P659" s="291">
        <v>1228.9000000000001</v>
      </c>
      <c r="Q659" s="291">
        <v>1434.2</v>
      </c>
      <c r="R659" s="291"/>
      <c r="S659" s="291"/>
      <c r="T659" s="291">
        <v>2410.1999999999998</v>
      </c>
      <c r="U659" s="291">
        <v>487.8</v>
      </c>
      <c r="V659" s="291"/>
      <c r="W659" s="291"/>
      <c r="X659" s="291"/>
      <c r="Y659" s="291"/>
      <c r="Z659" s="291"/>
      <c r="AA659" s="61"/>
      <c r="AB659" s="291"/>
      <c r="AC659" s="61"/>
      <c r="AD659" s="291">
        <v>15.6</v>
      </c>
      <c r="AE659" s="61"/>
      <c r="AF659" s="61"/>
      <c r="AG659" s="61"/>
      <c r="AH659" s="61"/>
      <c r="AI659" s="61"/>
      <c r="AJ659" s="61"/>
      <c r="AK659" s="61"/>
      <c r="AL659" s="291">
        <v>22</v>
      </c>
      <c r="AM659" s="291">
        <v>20</v>
      </c>
      <c r="AN659" s="291">
        <v>15</v>
      </c>
      <c r="AO659" s="61"/>
      <c r="AP659" s="61"/>
      <c r="AQ659" s="61"/>
      <c r="AR659" s="61"/>
      <c r="AS659" s="292"/>
      <c r="AT659" s="206" t="str">
        <f t="shared" si="10"/>
        <v>45053-658</v>
      </c>
    </row>
    <row r="660" spans="1:46" x14ac:dyDescent="0.35">
      <c r="A660" s="204">
        <v>659</v>
      </c>
      <c r="B660" s="14" t="s">
        <v>83</v>
      </c>
      <c r="C660" s="1" t="s">
        <v>152</v>
      </c>
      <c r="D660" s="1" t="s">
        <v>161</v>
      </c>
      <c r="E660" s="12">
        <v>45053</v>
      </c>
      <c r="F660" s="291">
        <v>1.5</v>
      </c>
      <c r="G660" s="291">
        <v>1</v>
      </c>
      <c r="H660" s="291">
        <v>0</v>
      </c>
      <c r="I660" s="291">
        <v>0.1</v>
      </c>
      <c r="J660" s="291">
        <v>0</v>
      </c>
      <c r="K660" s="291">
        <v>0</v>
      </c>
      <c r="L660" s="291"/>
      <c r="M660" s="291">
        <v>13.4</v>
      </c>
      <c r="N660" s="291">
        <v>0.1</v>
      </c>
      <c r="O660" s="291">
        <v>0.7</v>
      </c>
      <c r="P660" s="291">
        <v>1018.6</v>
      </c>
      <c r="Q660" s="291">
        <v>1095.2</v>
      </c>
      <c r="R660" s="291"/>
      <c r="S660" s="291"/>
      <c r="T660" s="291">
        <v>3456.1</v>
      </c>
      <c r="U660" s="291">
        <v>11.3</v>
      </c>
      <c r="V660" s="291"/>
      <c r="W660" s="291"/>
      <c r="X660" s="291"/>
      <c r="Y660" s="291"/>
      <c r="Z660" s="291"/>
      <c r="AA660" s="61"/>
      <c r="AB660" s="291"/>
      <c r="AC660" s="61"/>
      <c r="AD660" s="291">
        <v>6</v>
      </c>
      <c r="AE660" s="61"/>
      <c r="AF660" s="61"/>
      <c r="AG660" s="61"/>
      <c r="AH660" s="61"/>
      <c r="AI660" s="61"/>
      <c r="AJ660" s="61"/>
      <c r="AK660" s="61"/>
      <c r="AL660" s="291">
        <v>23</v>
      </c>
      <c r="AM660" s="291">
        <v>22</v>
      </c>
      <c r="AN660" s="291">
        <v>16</v>
      </c>
      <c r="AO660" s="61"/>
      <c r="AP660" s="61"/>
      <c r="AQ660" s="61"/>
      <c r="AR660" s="61"/>
      <c r="AS660" s="292"/>
      <c r="AT660" s="206" t="str">
        <f t="shared" si="10"/>
        <v>45053-659</v>
      </c>
    </row>
    <row r="661" spans="1:46" x14ac:dyDescent="0.35">
      <c r="A661" s="204">
        <v>660</v>
      </c>
      <c r="B661" s="14" t="s">
        <v>83</v>
      </c>
      <c r="C661" s="1" t="s">
        <v>160</v>
      </c>
      <c r="D661" s="1" t="s">
        <v>161</v>
      </c>
      <c r="E661" s="12">
        <v>45054</v>
      </c>
      <c r="F661" s="291">
        <v>1.7</v>
      </c>
      <c r="G661" s="291">
        <v>1.6</v>
      </c>
      <c r="H661" s="291">
        <v>0</v>
      </c>
      <c r="I661" s="291">
        <v>0.1</v>
      </c>
      <c r="J661" s="291">
        <v>0</v>
      </c>
      <c r="K661" s="291">
        <v>0</v>
      </c>
      <c r="L661" s="291"/>
      <c r="M661" s="291">
        <v>6.1</v>
      </c>
      <c r="N661" s="291">
        <v>1</v>
      </c>
      <c r="O661" s="291">
        <v>1.6</v>
      </c>
      <c r="P661" s="291">
        <v>1229.5999999999999</v>
      </c>
      <c r="Q661" s="291">
        <v>1426.4</v>
      </c>
      <c r="R661" s="291"/>
      <c r="S661" s="291"/>
      <c r="T661" s="291">
        <v>2405.4</v>
      </c>
      <c r="U661" s="291">
        <v>487.4</v>
      </c>
      <c r="V661" s="291"/>
      <c r="W661" s="291"/>
      <c r="X661" s="291"/>
      <c r="Y661" s="291"/>
      <c r="Z661" s="291"/>
      <c r="AA661" s="61"/>
      <c r="AB661" s="291"/>
      <c r="AC661" s="61"/>
      <c r="AD661" s="291">
        <v>15.6</v>
      </c>
      <c r="AE661" s="61"/>
      <c r="AF661" s="61"/>
      <c r="AG661" s="61"/>
      <c r="AH661" s="61"/>
      <c r="AI661" s="61"/>
      <c r="AJ661" s="61"/>
      <c r="AK661" s="61"/>
      <c r="AL661" s="291">
        <v>22</v>
      </c>
      <c r="AM661" s="291">
        <v>20</v>
      </c>
      <c r="AN661" s="291">
        <v>14</v>
      </c>
      <c r="AO661" s="61"/>
      <c r="AP661" s="61"/>
      <c r="AQ661" s="61"/>
      <c r="AR661" s="61"/>
      <c r="AS661" s="292"/>
      <c r="AT661" s="206" t="str">
        <f t="shared" si="10"/>
        <v>45054-660</v>
      </c>
    </row>
    <row r="662" spans="1:46" x14ac:dyDescent="0.35">
      <c r="A662" s="204">
        <v>661</v>
      </c>
      <c r="B662" s="14" t="s">
        <v>83</v>
      </c>
      <c r="C662" s="1" t="s">
        <v>160</v>
      </c>
      <c r="D662" s="1" t="s">
        <v>161</v>
      </c>
      <c r="E662" s="12">
        <v>45054</v>
      </c>
      <c r="F662" s="291">
        <v>1.7</v>
      </c>
      <c r="G662" s="291">
        <v>1.5</v>
      </c>
      <c r="H662" s="291">
        <v>0</v>
      </c>
      <c r="I662" s="291">
        <v>0.2</v>
      </c>
      <c r="J662" s="291">
        <v>0</v>
      </c>
      <c r="K662" s="291">
        <v>0</v>
      </c>
      <c r="L662" s="291"/>
      <c r="M662" s="291">
        <v>5.8</v>
      </c>
      <c r="N662" s="291">
        <v>1.2</v>
      </c>
      <c r="O662" s="291">
        <v>1.5</v>
      </c>
      <c r="P662" s="291">
        <v>1236.8</v>
      </c>
      <c r="Q662" s="291">
        <v>1463.2</v>
      </c>
      <c r="R662" s="291"/>
      <c r="S662" s="291"/>
      <c r="T662" s="291">
        <v>2421</v>
      </c>
      <c r="U662" s="291">
        <v>489.8</v>
      </c>
      <c r="V662" s="291"/>
      <c r="W662" s="291"/>
      <c r="X662" s="291"/>
      <c r="Y662" s="291"/>
      <c r="Z662" s="291"/>
      <c r="AA662" s="61"/>
      <c r="AB662" s="291"/>
      <c r="AC662" s="61"/>
      <c r="AD662" s="291">
        <v>15.5</v>
      </c>
      <c r="AE662" s="61"/>
      <c r="AF662" s="61"/>
      <c r="AG662" s="61"/>
      <c r="AH662" s="61"/>
      <c r="AI662" s="61"/>
      <c r="AJ662" s="61"/>
      <c r="AK662" s="61"/>
      <c r="AL662" s="291">
        <v>22</v>
      </c>
      <c r="AM662" s="291">
        <v>20</v>
      </c>
      <c r="AN662" s="291">
        <v>14</v>
      </c>
      <c r="AO662" s="61"/>
      <c r="AP662" s="61"/>
      <c r="AQ662" s="61"/>
      <c r="AR662" s="61"/>
      <c r="AS662" s="292"/>
      <c r="AT662" s="206" t="str">
        <f t="shared" si="10"/>
        <v>45054-661</v>
      </c>
    </row>
    <row r="663" spans="1:46" x14ac:dyDescent="0.35">
      <c r="A663" s="204">
        <v>662</v>
      </c>
      <c r="B663" s="14" t="s">
        <v>83</v>
      </c>
      <c r="C663" s="1" t="s">
        <v>152</v>
      </c>
      <c r="D663" s="1" t="s">
        <v>161</v>
      </c>
      <c r="E663" s="12">
        <v>45054</v>
      </c>
      <c r="F663" s="291">
        <v>1.5</v>
      </c>
      <c r="G663" s="291">
        <v>1</v>
      </c>
      <c r="H663" s="291">
        <v>0</v>
      </c>
      <c r="I663" s="291">
        <v>0</v>
      </c>
      <c r="J663" s="291">
        <v>0</v>
      </c>
      <c r="K663" s="291">
        <v>0.1</v>
      </c>
      <c r="L663" s="291"/>
      <c r="M663" s="291">
        <v>15.1</v>
      </c>
      <c r="N663" s="291">
        <v>0</v>
      </c>
      <c r="O663" s="291">
        <v>0.8</v>
      </c>
      <c r="P663" s="291">
        <v>1071.8</v>
      </c>
      <c r="Q663" s="291">
        <v>1162.9000000000001</v>
      </c>
      <c r="R663" s="291"/>
      <c r="S663" s="291"/>
      <c r="T663" s="291">
        <v>3615.6</v>
      </c>
      <c r="U663" s="291">
        <v>12.2</v>
      </c>
      <c r="V663" s="291"/>
      <c r="W663" s="291"/>
      <c r="X663" s="291"/>
      <c r="Y663" s="291"/>
      <c r="Z663" s="291"/>
      <c r="AA663" s="61"/>
      <c r="AB663" s="291"/>
      <c r="AC663" s="61"/>
      <c r="AD663" s="291">
        <v>6.2</v>
      </c>
      <c r="AE663" s="61"/>
      <c r="AF663" s="61"/>
      <c r="AG663" s="61"/>
      <c r="AH663" s="61"/>
      <c r="AI663" s="61"/>
      <c r="AJ663" s="61"/>
      <c r="AK663" s="61"/>
      <c r="AL663" s="291">
        <v>23</v>
      </c>
      <c r="AM663" s="291">
        <v>22</v>
      </c>
      <c r="AN663" s="291">
        <v>16</v>
      </c>
      <c r="AO663" s="61"/>
      <c r="AP663" s="61"/>
      <c r="AQ663" s="61"/>
      <c r="AR663" s="61"/>
      <c r="AS663" s="292"/>
      <c r="AT663" s="206" t="str">
        <f t="shared" si="10"/>
        <v>45054-662</v>
      </c>
    </row>
    <row r="664" spans="1:46" x14ac:dyDescent="0.35">
      <c r="A664" s="204">
        <v>663</v>
      </c>
      <c r="B664" s="14" t="s">
        <v>83</v>
      </c>
      <c r="C664" s="1" t="s">
        <v>152</v>
      </c>
      <c r="D664" s="1" t="s">
        <v>161</v>
      </c>
      <c r="E664" s="12">
        <v>45059</v>
      </c>
      <c r="F664" s="295">
        <v>2.9</v>
      </c>
      <c r="G664" s="295">
        <v>1.3</v>
      </c>
      <c r="H664" s="295">
        <v>0.4</v>
      </c>
      <c r="I664" s="291">
        <v>0</v>
      </c>
      <c r="J664" s="291">
        <v>0</v>
      </c>
      <c r="K664" s="295">
        <v>0.1</v>
      </c>
      <c r="L664" s="291"/>
      <c r="M664" s="291">
        <v>14.5</v>
      </c>
      <c r="N664" s="295">
        <v>1.5</v>
      </c>
      <c r="O664" s="295">
        <v>0.5</v>
      </c>
      <c r="P664" s="295">
        <v>1018.3</v>
      </c>
      <c r="Q664" s="295">
        <v>1071.8</v>
      </c>
      <c r="R664" s="291"/>
      <c r="S664" s="291"/>
      <c r="T664" s="295">
        <v>3517.1</v>
      </c>
      <c r="U664" s="295">
        <v>10.9</v>
      </c>
      <c r="V664" s="291"/>
      <c r="W664" s="291"/>
      <c r="X664" s="291"/>
      <c r="Y664" s="291"/>
      <c r="Z664" s="291"/>
      <c r="AA664" s="61"/>
      <c r="AB664" s="291"/>
      <c r="AC664" s="61"/>
      <c r="AD664" s="291">
        <v>6</v>
      </c>
      <c r="AE664" s="61"/>
      <c r="AF664" s="61"/>
      <c r="AG664" s="61"/>
      <c r="AH664" s="61"/>
      <c r="AI664" s="61"/>
      <c r="AJ664" s="61"/>
      <c r="AK664" s="61"/>
      <c r="AL664" s="291">
        <v>24</v>
      </c>
      <c r="AM664" s="291">
        <v>23</v>
      </c>
      <c r="AN664" s="291">
        <v>17</v>
      </c>
      <c r="AO664" s="61"/>
      <c r="AP664" s="61"/>
      <c r="AQ664" s="61"/>
      <c r="AR664" s="61"/>
      <c r="AS664" s="292"/>
      <c r="AT664" s="206" t="str">
        <f t="shared" si="10"/>
        <v>45059-663</v>
      </c>
    </row>
    <row r="665" spans="1:46" x14ac:dyDescent="0.35">
      <c r="A665" s="204">
        <v>664</v>
      </c>
      <c r="B665" s="14" t="s">
        <v>83</v>
      </c>
      <c r="C665" s="1" t="s">
        <v>152</v>
      </c>
      <c r="D665" s="1" t="s">
        <v>161</v>
      </c>
      <c r="E665" s="12">
        <v>45059</v>
      </c>
      <c r="F665" s="295">
        <v>2.5</v>
      </c>
      <c r="G665" s="291">
        <v>1</v>
      </c>
      <c r="H665" s="295">
        <v>0.1</v>
      </c>
      <c r="I665" s="291">
        <v>0</v>
      </c>
      <c r="J665" s="291">
        <v>0</v>
      </c>
      <c r="K665" s="295">
        <v>0.1</v>
      </c>
      <c r="L665" s="291"/>
      <c r="M665" s="291">
        <v>14.7</v>
      </c>
      <c r="N665" s="295">
        <v>1.6</v>
      </c>
      <c r="O665" s="295">
        <v>0.5</v>
      </c>
      <c r="P665" s="295">
        <v>1014.6</v>
      </c>
      <c r="Q665" s="295">
        <v>1074.0999999999999</v>
      </c>
      <c r="R665" s="291"/>
      <c r="S665" s="291"/>
      <c r="T665" s="291">
        <v>3499</v>
      </c>
      <c r="U665" s="295">
        <v>10.8</v>
      </c>
      <c r="V665" s="291"/>
      <c r="W665" s="291"/>
      <c r="X665" s="291"/>
      <c r="Y665" s="291"/>
      <c r="Z665" s="291"/>
      <c r="AA665" s="61"/>
      <c r="AB665" s="291"/>
      <c r="AC665" s="61"/>
      <c r="AD665" s="291">
        <v>6</v>
      </c>
      <c r="AE665" s="61"/>
      <c r="AF665" s="61"/>
      <c r="AG665" s="61"/>
      <c r="AH665" s="61"/>
      <c r="AI665" s="61"/>
      <c r="AJ665" s="61"/>
      <c r="AK665" s="61"/>
      <c r="AL665" s="291">
        <v>24</v>
      </c>
      <c r="AM665" s="291">
        <v>23</v>
      </c>
      <c r="AN665" s="291">
        <v>17</v>
      </c>
      <c r="AO665" s="61"/>
      <c r="AP665" s="61"/>
      <c r="AQ665" s="61"/>
      <c r="AR665" s="61"/>
      <c r="AS665" s="292"/>
      <c r="AT665" s="206" t="str">
        <f t="shared" si="10"/>
        <v>45059-664</v>
      </c>
    </row>
    <row r="666" spans="1:46" x14ac:dyDescent="0.35">
      <c r="A666" s="204">
        <v>665</v>
      </c>
      <c r="B666" s="14" t="s">
        <v>83</v>
      </c>
      <c r="C666" s="1" t="s">
        <v>152</v>
      </c>
      <c r="D666" s="1" t="s">
        <v>161</v>
      </c>
      <c r="E666" s="12">
        <v>45059</v>
      </c>
      <c r="F666" s="295">
        <v>2.5</v>
      </c>
      <c r="G666" s="295">
        <v>1.1000000000000001</v>
      </c>
      <c r="H666" s="295">
        <v>0.1</v>
      </c>
      <c r="I666" s="291">
        <v>0</v>
      </c>
      <c r="J666" s="291">
        <v>0</v>
      </c>
      <c r="K666" s="291">
        <v>0</v>
      </c>
      <c r="L666" s="291"/>
      <c r="M666" s="291">
        <v>14.2</v>
      </c>
      <c r="N666" s="295">
        <v>1.4</v>
      </c>
      <c r="O666" s="295">
        <v>0.5</v>
      </c>
      <c r="P666" s="295">
        <v>979.8</v>
      </c>
      <c r="Q666" s="291">
        <v>1040</v>
      </c>
      <c r="R666" s="291"/>
      <c r="S666" s="291"/>
      <c r="T666" s="291">
        <v>3378</v>
      </c>
      <c r="U666" s="295">
        <v>10.4</v>
      </c>
      <c r="V666" s="291"/>
      <c r="W666" s="291"/>
      <c r="X666" s="291"/>
      <c r="Y666" s="291"/>
      <c r="Z666" s="291"/>
      <c r="AA666" s="61"/>
      <c r="AB666" s="291"/>
      <c r="AC666" s="61"/>
      <c r="AD666" s="291">
        <v>6</v>
      </c>
      <c r="AE666" s="61"/>
      <c r="AF666" s="61"/>
      <c r="AG666" s="61"/>
      <c r="AH666" s="61"/>
      <c r="AI666" s="61"/>
      <c r="AJ666" s="61"/>
      <c r="AK666" s="61"/>
      <c r="AL666" s="291">
        <v>24</v>
      </c>
      <c r="AM666" s="291">
        <v>23</v>
      </c>
      <c r="AN666" s="291">
        <v>17</v>
      </c>
      <c r="AO666" s="61"/>
      <c r="AP666" s="61"/>
      <c r="AQ666" s="61"/>
      <c r="AR666" s="61"/>
      <c r="AS666" s="292"/>
      <c r="AT666" s="206" t="str">
        <f t="shared" si="10"/>
        <v>45059-665</v>
      </c>
    </row>
    <row r="667" spans="1:46" x14ac:dyDescent="0.35">
      <c r="A667" s="204">
        <v>666</v>
      </c>
      <c r="B667" s="14" t="s">
        <v>83</v>
      </c>
      <c r="C667" s="1" t="s">
        <v>152</v>
      </c>
      <c r="D667" s="1" t="s">
        <v>161</v>
      </c>
      <c r="E667" s="12">
        <v>45060</v>
      </c>
      <c r="F667" s="295">
        <v>1.5</v>
      </c>
      <c r="G667" s="295">
        <v>1.2</v>
      </c>
      <c r="H667" s="291">
        <v>0</v>
      </c>
      <c r="I667" s="291">
        <v>0</v>
      </c>
      <c r="J667" s="291">
        <v>0</v>
      </c>
      <c r="K667" s="291">
        <v>0</v>
      </c>
      <c r="L667" s="291"/>
      <c r="M667" s="291">
        <v>14.2</v>
      </c>
      <c r="N667" s="295">
        <v>1.3</v>
      </c>
      <c r="O667" s="291">
        <v>1</v>
      </c>
      <c r="P667" s="295">
        <v>1047.3</v>
      </c>
      <c r="Q667" s="295">
        <v>1093.5999999999999</v>
      </c>
      <c r="R667" s="291"/>
      <c r="S667" s="291"/>
      <c r="T667" s="295">
        <v>3596.5</v>
      </c>
      <c r="U667" s="295">
        <v>11.9</v>
      </c>
      <c r="V667" s="291"/>
      <c r="W667" s="291"/>
      <c r="X667" s="291"/>
      <c r="Y667" s="291"/>
      <c r="Z667" s="291"/>
      <c r="AA667" s="61"/>
      <c r="AB667" s="291"/>
      <c r="AC667" s="61"/>
      <c r="AD667" s="291" t="s">
        <v>1013</v>
      </c>
      <c r="AE667" s="61"/>
      <c r="AF667" s="61"/>
      <c r="AG667" s="61"/>
      <c r="AH667" s="61"/>
      <c r="AI667" s="61"/>
      <c r="AJ667" s="61"/>
      <c r="AK667" s="61"/>
      <c r="AL667" s="291">
        <v>23</v>
      </c>
      <c r="AM667" s="291">
        <v>22</v>
      </c>
      <c r="AN667" s="291">
        <v>16</v>
      </c>
      <c r="AO667" s="61"/>
      <c r="AP667" s="61"/>
      <c r="AQ667" s="61"/>
      <c r="AR667" s="61"/>
      <c r="AS667" s="292"/>
      <c r="AT667" s="206" t="str">
        <f t="shared" si="10"/>
        <v>45060-666</v>
      </c>
    </row>
    <row r="668" spans="1:46" x14ac:dyDescent="0.35">
      <c r="A668" s="204">
        <v>667</v>
      </c>
      <c r="B668" s="14" t="s">
        <v>83</v>
      </c>
      <c r="C668" s="1" t="s">
        <v>152</v>
      </c>
      <c r="D668" s="1" t="s">
        <v>161</v>
      </c>
      <c r="E668" s="12">
        <v>45060</v>
      </c>
      <c r="F668" s="295">
        <v>1.4</v>
      </c>
      <c r="G668" s="295">
        <v>1.1000000000000001</v>
      </c>
      <c r="H668" s="291">
        <v>0</v>
      </c>
      <c r="I668" s="291">
        <v>0</v>
      </c>
      <c r="J668" s="291">
        <v>0</v>
      </c>
      <c r="K668" s="295">
        <v>0.1</v>
      </c>
      <c r="L668" s="291"/>
      <c r="M668" s="291">
        <v>11.8</v>
      </c>
      <c r="N668" s="295">
        <v>1.4</v>
      </c>
      <c r="O668" s="295">
        <v>0.5</v>
      </c>
      <c r="P668" s="295">
        <v>1052.4000000000001</v>
      </c>
      <c r="Q668" s="295">
        <v>1114.7</v>
      </c>
      <c r="R668" s="291"/>
      <c r="S668" s="291"/>
      <c r="T668" s="295">
        <v>3598.7</v>
      </c>
      <c r="U668" s="295">
        <v>13.8</v>
      </c>
      <c r="V668" s="291"/>
      <c r="W668" s="291"/>
      <c r="X668" s="291"/>
      <c r="Y668" s="291"/>
      <c r="Z668" s="291"/>
      <c r="AA668" s="61"/>
      <c r="AB668" s="291"/>
      <c r="AC668" s="61"/>
      <c r="AD668" s="291" t="s">
        <v>1013</v>
      </c>
      <c r="AE668" s="61"/>
      <c r="AF668" s="61"/>
      <c r="AG668" s="61"/>
      <c r="AH668" s="61"/>
      <c r="AI668" s="61"/>
      <c r="AJ668" s="61"/>
      <c r="AK668" s="61"/>
      <c r="AL668" s="291">
        <v>23</v>
      </c>
      <c r="AM668" s="291">
        <v>22</v>
      </c>
      <c r="AN668" s="291">
        <v>14</v>
      </c>
      <c r="AO668" s="61"/>
      <c r="AP668" s="61"/>
      <c r="AQ668" s="61"/>
      <c r="AR668" s="61"/>
      <c r="AS668" s="292"/>
      <c r="AT668" s="206" t="str">
        <f t="shared" si="10"/>
        <v>45060-667</v>
      </c>
    </row>
    <row r="669" spans="1:46" x14ac:dyDescent="0.35">
      <c r="A669" s="204">
        <v>668</v>
      </c>
      <c r="B669" s="226" t="s">
        <v>83</v>
      </c>
      <c r="C669" s="1" t="s">
        <v>160</v>
      </c>
      <c r="D669" s="114" t="s">
        <v>161</v>
      </c>
      <c r="E669" s="12">
        <v>45066</v>
      </c>
      <c r="F669" s="296">
        <v>1.7</v>
      </c>
      <c r="G669" s="296">
        <v>1.5</v>
      </c>
      <c r="H669" s="293">
        <v>0</v>
      </c>
      <c r="I669" s="296">
        <v>0.1</v>
      </c>
      <c r="J669" s="293">
        <v>0</v>
      </c>
      <c r="K669" s="296">
        <v>0.1</v>
      </c>
      <c r="L669" s="293"/>
      <c r="M669" s="293">
        <v>6.3</v>
      </c>
      <c r="N669" s="296">
        <v>0.4</v>
      </c>
      <c r="O669" s="296">
        <v>1.9</v>
      </c>
      <c r="P669" s="296">
        <v>1205.8</v>
      </c>
      <c r="Q669" s="296">
        <v>1330.9</v>
      </c>
      <c r="R669" s="293"/>
      <c r="S669" s="293"/>
      <c r="T669" s="296">
        <v>2426.9</v>
      </c>
      <c r="U669" s="293">
        <v>493</v>
      </c>
      <c r="V669" s="293"/>
      <c r="W669" s="293"/>
      <c r="X669" s="293"/>
      <c r="Y669" s="293"/>
      <c r="Z669" s="293"/>
      <c r="AA669" s="227"/>
      <c r="AB669" s="293"/>
      <c r="AC669" s="227"/>
      <c r="AD669" s="293">
        <v>15.5</v>
      </c>
      <c r="AE669" s="227"/>
      <c r="AF669" s="227"/>
      <c r="AG669" s="227"/>
      <c r="AH669" s="227"/>
      <c r="AI669" s="227"/>
      <c r="AJ669" s="227"/>
      <c r="AK669" s="227"/>
      <c r="AL669" s="291">
        <v>23</v>
      </c>
      <c r="AM669" s="293">
        <v>21</v>
      </c>
      <c r="AN669" s="293">
        <v>14</v>
      </c>
      <c r="AO669" s="227"/>
      <c r="AP669" s="227"/>
      <c r="AQ669" s="227"/>
      <c r="AR669" s="227"/>
      <c r="AS669" s="294"/>
      <c r="AT669" s="206" t="str">
        <f t="shared" si="10"/>
        <v>45066-668</v>
      </c>
    </row>
    <row r="670" spans="1:46" x14ac:dyDescent="0.35">
      <c r="A670" s="204">
        <v>669</v>
      </c>
      <c r="B670" s="14" t="s">
        <v>83</v>
      </c>
      <c r="C670" s="1" t="s">
        <v>160</v>
      </c>
      <c r="D670" s="1" t="s">
        <v>161</v>
      </c>
      <c r="E670" s="12">
        <v>45066</v>
      </c>
      <c r="F670" s="295">
        <v>1.8</v>
      </c>
      <c r="G670" s="295">
        <v>1.5</v>
      </c>
      <c r="H670" s="291">
        <v>0</v>
      </c>
      <c r="I670" s="295">
        <v>0.2</v>
      </c>
      <c r="J670" s="291">
        <v>0</v>
      </c>
      <c r="K670" s="295">
        <v>0.1</v>
      </c>
      <c r="L670" s="291"/>
      <c r="M670" s="291">
        <v>5.8</v>
      </c>
      <c r="N670" s="295">
        <v>0.3</v>
      </c>
      <c r="O670" s="295">
        <v>1.7</v>
      </c>
      <c r="P670" s="295">
        <v>1227.2</v>
      </c>
      <c r="Q670" s="295">
        <v>1353.5</v>
      </c>
      <c r="R670" s="291"/>
      <c r="S670" s="291"/>
      <c r="T670" s="295">
        <v>2468.9</v>
      </c>
      <c r="U670" s="295">
        <v>501.5</v>
      </c>
      <c r="V670" s="291"/>
      <c r="W670" s="291"/>
      <c r="X670" s="291"/>
      <c r="Y670" s="291"/>
      <c r="Z670" s="291"/>
      <c r="AA670" s="61"/>
      <c r="AB670" s="291"/>
      <c r="AC670" s="61"/>
      <c r="AD670" s="291">
        <v>15.5</v>
      </c>
      <c r="AE670" s="61"/>
      <c r="AF670" s="61"/>
      <c r="AG670" s="61"/>
      <c r="AH670" s="61"/>
      <c r="AI670" s="61"/>
      <c r="AJ670" s="61"/>
      <c r="AK670" s="61"/>
      <c r="AL670" s="291">
        <v>23</v>
      </c>
      <c r="AM670" s="291">
        <v>21</v>
      </c>
      <c r="AN670" s="291">
        <v>14</v>
      </c>
      <c r="AO670" s="61"/>
      <c r="AP670" s="61"/>
      <c r="AQ670" s="61"/>
      <c r="AR670" s="61"/>
      <c r="AS670" s="292"/>
      <c r="AT670" s="206" t="str">
        <f t="shared" si="10"/>
        <v>45066-669</v>
      </c>
    </row>
    <row r="671" spans="1:46" x14ac:dyDescent="0.35">
      <c r="A671" s="204">
        <v>670</v>
      </c>
      <c r="B671" s="14" t="s">
        <v>83</v>
      </c>
      <c r="C671" s="1" t="s">
        <v>152</v>
      </c>
      <c r="D671" s="1" t="s">
        <v>161</v>
      </c>
      <c r="E671" s="12">
        <v>45066</v>
      </c>
      <c r="F671" s="295">
        <v>1.5</v>
      </c>
      <c r="G671" s="291">
        <v>1</v>
      </c>
      <c r="H671" s="291">
        <v>0</v>
      </c>
      <c r="I671" s="295">
        <v>0.1</v>
      </c>
      <c r="J671" s="291">
        <v>0</v>
      </c>
      <c r="K671" s="295">
        <v>0.1</v>
      </c>
      <c r="L671" s="291"/>
      <c r="M671" s="291">
        <v>13.9</v>
      </c>
      <c r="N671" s="295">
        <v>1.3</v>
      </c>
      <c r="O671" s="295">
        <v>0.4</v>
      </c>
      <c r="P671" s="295">
        <v>1003.4</v>
      </c>
      <c r="Q671" s="295">
        <v>1009.6</v>
      </c>
      <c r="R671" s="291"/>
      <c r="S671" s="291"/>
      <c r="T671" s="295">
        <v>3436.3</v>
      </c>
      <c r="U671" s="295">
        <v>10.4</v>
      </c>
      <c r="V671" s="291"/>
      <c r="W671" s="291"/>
      <c r="X671" s="291"/>
      <c r="Y671" s="291"/>
      <c r="Z671" s="291"/>
      <c r="AA671" s="61"/>
      <c r="AB671" s="291"/>
      <c r="AC671" s="61"/>
      <c r="AD671" s="291">
        <v>6</v>
      </c>
      <c r="AE671" s="61"/>
      <c r="AF671" s="61"/>
      <c r="AG671" s="61"/>
      <c r="AH671" s="61"/>
      <c r="AI671" s="61"/>
      <c r="AJ671" s="61"/>
      <c r="AK671" s="61"/>
      <c r="AL671" s="291">
        <v>23</v>
      </c>
      <c r="AM671" s="291">
        <v>22</v>
      </c>
      <c r="AN671" s="291">
        <v>16</v>
      </c>
      <c r="AO671" s="61"/>
      <c r="AP671" s="61"/>
      <c r="AQ671" s="61"/>
      <c r="AR671" s="61"/>
      <c r="AS671" s="292"/>
      <c r="AT671" s="206" t="str">
        <f t="shared" si="10"/>
        <v>45066-670</v>
      </c>
    </row>
    <row r="672" spans="1:46" x14ac:dyDescent="0.35">
      <c r="A672" s="204">
        <v>671</v>
      </c>
      <c r="B672" s="14" t="s">
        <v>83</v>
      </c>
      <c r="C672" s="1" t="s">
        <v>160</v>
      </c>
      <c r="D672" s="1" t="s">
        <v>161</v>
      </c>
      <c r="E672" s="12">
        <v>45067</v>
      </c>
      <c r="F672" s="295">
        <v>1.6</v>
      </c>
      <c r="G672" s="295">
        <v>1.5</v>
      </c>
      <c r="H672" s="291">
        <v>0</v>
      </c>
      <c r="I672" s="295">
        <v>0.3</v>
      </c>
      <c r="J672" s="291">
        <v>0</v>
      </c>
      <c r="K672" s="295">
        <v>0.1</v>
      </c>
      <c r="L672" s="291"/>
      <c r="M672" s="291">
        <v>5.4</v>
      </c>
      <c r="N672" s="295">
        <v>0.5</v>
      </c>
      <c r="O672" s="295">
        <v>1.6</v>
      </c>
      <c r="P672" s="295">
        <v>1220.3</v>
      </c>
      <c r="Q672" s="295">
        <v>1366.4</v>
      </c>
      <c r="R672" s="291"/>
      <c r="S672" s="291"/>
      <c r="T672" s="295">
        <v>2449.1999999999998</v>
      </c>
      <c r="U672" s="295">
        <v>496.5</v>
      </c>
      <c r="V672" s="291"/>
      <c r="W672" s="291"/>
      <c r="X672" s="291"/>
      <c r="Y672" s="291"/>
      <c r="Z672" s="291"/>
      <c r="AA672" s="61"/>
      <c r="AB672" s="291"/>
      <c r="AC672" s="61"/>
      <c r="AD672" s="291">
        <v>15.6</v>
      </c>
      <c r="AE672" s="61"/>
      <c r="AF672" s="61"/>
      <c r="AG672" s="61"/>
      <c r="AH672" s="61"/>
      <c r="AI672" s="61"/>
      <c r="AJ672" s="61"/>
      <c r="AK672" s="61"/>
      <c r="AL672" s="291">
        <v>23</v>
      </c>
      <c r="AM672" s="291">
        <v>21</v>
      </c>
      <c r="AN672" s="291">
        <v>14</v>
      </c>
      <c r="AO672" s="61"/>
      <c r="AP672" s="61"/>
      <c r="AQ672" s="61"/>
      <c r="AR672" s="61"/>
      <c r="AS672" s="292"/>
      <c r="AT672" s="206" t="str">
        <f t="shared" si="10"/>
        <v>45067-671</v>
      </c>
    </row>
    <row r="673" spans="1:46" x14ac:dyDescent="0.35">
      <c r="A673" s="204">
        <v>672</v>
      </c>
      <c r="B673" s="14" t="s">
        <v>83</v>
      </c>
      <c r="C673" s="1" t="s">
        <v>152</v>
      </c>
      <c r="D673" s="1" t="s">
        <v>161</v>
      </c>
      <c r="E673" s="12">
        <v>45067</v>
      </c>
      <c r="F673" s="295">
        <v>1.4</v>
      </c>
      <c r="G673" s="295">
        <v>1.1000000000000001</v>
      </c>
      <c r="H673" s="291">
        <v>0</v>
      </c>
      <c r="I673" s="295">
        <v>0.3</v>
      </c>
      <c r="J673" s="291">
        <v>0</v>
      </c>
      <c r="K673" s="295">
        <v>0.1</v>
      </c>
      <c r="L673" s="291"/>
      <c r="M673" s="291">
        <v>13.8</v>
      </c>
      <c r="N673" s="295">
        <v>1.4</v>
      </c>
      <c r="O673" s="295">
        <v>0.4</v>
      </c>
      <c r="P673" s="295">
        <v>1004.5</v>
      </c>
      <c r="Q673" s="295">
        <v>1023.2</v>
      </c>
      <c r="R673" s="291"/>
      <c r="S673" s="291"/>
      <c r="T673" s="291">
        <v>3468</v>
      </c>
      <c r="U673" s="291">
        <v>11</v>
      </c>
      <c r="V673" s="291"/>
      <c r="W673" s="291"/>
      <c r="X673" s="291"/>
      <c r="Y673" s="291"/>
      <c r="Z673" s="291"/>
      <c r="AA673" s="61"/>
      <c r="AB673" s="291"/>
      <c r="AC673" s="61"/>
      <c r="AD673" s="291" t="s">
        <v>1013</v>
      </c>
      <c r="AE673" s="61"/>
      <c r="AF673" s="61"/>
      <c r="AG673" s="61"/>
      <c r="AH673" s="61"/>
      <c r="AI673" s="61"/>
      <c r="AJ673" s="61"/>
      <c r="AK673" s="61"/>
      <c r="AL673" s="291">
        <v>23</v>
      </c>
      <c r="AM673" s="291">
        <v>21</v>
      </c>
      <c r="AN673" s="291">
        <v>14</v>
      </c>
      <c r="AO673" s="61"/>
      <c r="AP673" s="61"/>
      <c r="AQ673" s="61"/>
      <c r="AR673" s="61"/>
      <c r="AS673" s="292"/>
      <c r="AT673" s="206" t="str">
        <f t="shared" si="10"/>
        <v>45067-672</v>
      </c>
    </row>
    <row r="674" spans="1:46" x14ac:dyDescent="0.35">
      <c r="A674" s="204">
        <v>673</v>
      </c>
      <c r="B674" s="226" t="s">
        <v>83</v>
      </c>
      <c r="C674" s="1" t="s">
        <v>152</v>
      </c>
      <c r="D674" s="114" t="s">
        <v>161</v>
      </c>
      <c r="E674" s="12">
        <v>45067</v>
      </c>
      <c r="F674" s="296">
        <v>2</v>
      </c>
      <c r="G674" s="296">
        <v>0.9</v>
      </c>
      <c r="H674" s="296">
        <v>0.1</v>
      </c>
      <c r="I674" s="296">
        <v>0.6</v>
      </c>
      <c r="J674" s="296">
        <v>0</v>
      </c>
      <c r="K674" s="296">
        <v>0.1</v>
      </c>
      <c r="L674" s="293"/>
      <c r="M674" s="293">
        <v>11.1</v>
      </c>
      <c r="N674" s="296">
        <v>0.8</v>
      </c>
      <c r="O674" s="296">
        <v>0</v>
      </c>
      <c r="P674" s="293">
        <v>1008.7</v>
      </c>
      <c r="Q674" s="296">
        <v>1053.3</v>
      </c>
      <c r="R674" s="293"/>
      <c r="S674" s="293"/>
      <c r="T674" s="296">
        <v>3428.2</v>
      </c>
      <c r="U674" s="296">
        <v>10.8</v>
      </c>
      <c r="V674" s="293"/>
      <c r="W674" s="293"/>
      <c r="X674" s="293"/>
      <c r="Y674" s="293"/>
      <c r="Z674" s="293"/>
      <c r="AA674" s="227"/>
      <c r="AB674" s="293"/>
      <c r="AC674" s="227"/>
      <c r="AD674" s="293" t="s">
        <v>1047</v>
      </c>
      <c r="AE674" s="227"/>
      <c r="AF674" s="227"/>
      <c r="AG674" s="227"/>
      <c r="AH674" s="227"/>
      <c r="AI674" s="227"/>
      <c r="AJ674" s="227"/>
      <c r="AK674" s="227"/>
      <c r="AL674" s="291">
        <v>23</v>
      </c>
      <c r="AM674" s="293">
        <v>22</v>
      </c>
      <c r="AN674" s="293">
        <v>16</v>
      </c>
      <c r="AO674" s="227"/>
      <c r="AP674" s="227"/>
      <c r="AQ674" s="227"/>
      <c r="AR674" s="227"/>
      <c r="AS674" s="294"/>
      <c r="AT674" s="206" t="str">
        <f t="shared" si="10"/>
        <v>45067-673</v>
      </c>
    </row>
    <row r="675" spans="1:46" x14ac:dyDescent="0.35">
      <c r="A675" s="204">
        <v>674</v>
      </c>
      <c r="B675" s="14" t="s">
        <v>83</v>
      </c>
      <c r="C675" s="1" t="s">
        <v>160</v>
      </c>
      <c r="D675" s="1" t="s">
        <v>161</v>
      </c>
      <c r="E675" s="12">
        <v>45067</v>
      </c>
      <c r="F675" s="295">
        <v>1.9</v>
      </c>
      <c r="G675" s="295">
        <v>1.3</v>
      </c>
      <c r="H675" s="295">
        <v>0</v>
      </c>
      <c r="I675" s="295">
        <v>0.3</v>
      </c>
      <c r="J675" s="295">
        <v>0</v>
      </c>
      <c r="K675" s="295">
        <v>0.1</v>
      </c>
      <c r="L675" s="291"/>
      <c r="M675" s="291">
        <v>5.5</v>
      </c>
      <c r="N675" s="295">
        <v>0.2</v>
      </c>
      <c r="O675" s="295">
        <v>1.5</v>
      </c>
      <c r="P675" s="295">
        <v>1239</v>
      </c>
      <c r="Q675" s="295">
        <v>1365.6</v>
      </c>
      <c r="R675" s="291"/>
      <c r="S675" s="291"/>
      <c r="T675" s="295">
        <v>2437.5</v>
      </c>
      <c r="U675" s="295">
        <v>496.7</v>
      </c>
      <c r="V675" s="291"/>
      <c r="W675" s="291"/>
      <c r="X675" s="291"/>
      <c r="Y675" s="291"/>
      <c r="Z675" s="291"/>
      <c r="AA675" s="61"/>
      <c r="AB675" s="291"/>
      <c r="AC675" s="61"/>
      <c r="AD675" s="295">
        <v>15.54</v>
      </c>
      <c r="AE675" s="61"/>
      <c r="AF675" s="61"/>
      <c r="AG675" s="61"/>
      <c r="AH675" s="61"/>
      <c r="AI675" s="61"/>
      <c r="AJ675" s="61"/>
      <c r="AK675" s="61"/>
      <c r="AL675" s="291">
        <v>22</v>
      </c>
      <c r="AM675" s="291">
        <v>20</v>
      </c>
      <c r="AN675" s="291">
        <v>15</v>
      </c>
      <c r="AO675" s="61"/>
      <c r="AP675" s="61"/>
      <c r="AQ675" s="61"/>
      <c r="AR675" s="61"/>
      <c r="AS675" s="292"/>
      <c r="AT675" s="206" t="str">
        <f t="shared" si="10"/>
        <v>45067-674</v>
      </c>
    </row>
    <row r="676" spans="1:46" x14ac:dyDescent="0.35">
      <c r="A676" s="204">
        <v>675</v>
      </c>
      <c r="B676" s="14" t="s">
        <v>83</v>
      </c>
      <c r="C676" s="1" t="s">
        <v>245</v>
      </c>
      <c r="D676" s="1" t="s">
        <v>161</v>
      </c>
      <c r="E676" s="12">
        <v>45067</v>
      </c>
      <c r="F676" s="295">
        <v>0.2</v>
      </c>
      <c r="G676" s="295">
        <v>0</v>
      </c>
      <c r="H676" s="295">
        <v>0</v>
      </c>
      <c r="I676" s="295">
        <v>0.3</v>
      </c>
      <c r="J676" s="295">
        <v>0</v>
      </c>
      <c r="K676" s="295">
        <v>0</v>
      </c>
      <c r="L676" s="291"/>
      <c r="M676" s="291">
        <v>24.5</v>
      </c>
      <c r="N676" s="295">
        <v>0</v>
      </c>
      <c r="O676" s="295">
        <v>0</v>
      </c>
      <c r="P676" s="295">
        <v>4.5999999999999996</v>
      </c>
      <c r="Q676" s="295">
        <v>510.9</v>
      </c>
      <c r="R676" s="291"/>
      <c r="S676" s="291"/>
      <c r="T676" s="295">
        <v>8.1</v>
      </c>
      <c r="U676" s="295">
        <v>1.2</v>
      </c>
      <c r="V676" s="291"/>
      <c r="W676" s="291"/>
      <c r="X676" s="291"/>
      <c r="Y676" s="291"/>
      <c r="Z676" s="291"/>
      <c r="AA676" s="61"/>
      <c r="AB676" s="291"/>
      <c r="AC676" s="61"/>
      <c r="AD676" s="295">
        <v>78.209999999999994</v>
      </c>
      <c r="AE676" s="61"/>
      <c r="AF676" s="61"/>
      <c r="AG676" s="61"/>
      <c r="AH676" s="61"/>
      <c r="AI676" s="61"/>
      <c r="AJ676" s="61"/>
      <c r="AK676" s="61"/>
      <c r="AL676" s="291">
        <v>21</v>
      </c>
      <c r="AM676" s="291">
        <v>19</v>
      </c>
      <c r="AN676" s="291">
        <v>16</v>
      </c>
      <c r="AO676" s="61"/>
      <c r="AP676" s="61"/>
      <c r="AQ676" s="61"/>
      <c r="AR676" s="61"/>
      <c r="AS676" s="292"/>
      <c r="AT676" s="206" t="str">
        <f t="shared" si="10"/>
        <v>45067-675</v>
      </c>
    </row>
    <row r="677" spans="1:46" x14ac:dyDescent="0.35">
      <c r="A677" s="204">
        <v>676</v>
      </c>
      <c r="B677" s="14" t="s">
        <v>83</v>
      </c>
      <c r="C677" s="1" t="s">
        <v>152</v>
      </c>
      <c r="D677" s="1" t="s">
        <v>161</v>
      </c>
      <c r="E677" s="12">
        <v>45068</v>
      </c>
      <c r="F677" s="295">
        <v>1.5</v>
      </c>
      <c r="G677" s="295">
        <v>1</v>
      </c>
      <c r="H677" s="295">
        <v>0</v>
      </c>
      <c r="I677" s="295">
        <v>0</v>
      </c>
      <c r="J677" s="295">
        <v>0</v>
      </c>
      <c r="K677" s="295">
        <v>0.1</v>
      </c>
      <c r="L677" s="291"/>
      <c r="M677" s="291">
        <v>13.5</v>
      </c>
      <c r="N677" s="295">
        <v>1.2</v>
      </c>
      <c r="O677" s="295">
        <v>0</v>
      </c>
      <c r="P677" s="295">
        <v>1018.6</v>
      </c>
      <c r="Q677" s="295">
        <v>1066.8</v>
      </c>
      <c r="R677" s="291"/>
      <c r="S677" s="291"/>
      <c r="T677" s="295">
        <v>3515.3</v>
      </c>
      <c r="U677" s="295">
        <v>11</v>
      </c>
      <c r="V677" s="291"/>
      <c r="W677" s="291"/>
      <c r="X677" s="291"/>
      <c r="Y677" s="291"/>
      <c r="Z677" s="291"/>
      <c r="AA677" s="61"/>
      <c r="AB677" s="291"/>
      <c r="AC677" s="61"/>
      <c r="AD677" s="295">
        <v>6.04</v>
      </c>
      <c r="AE677" s="61"/>
      <c r="AF677" s="61"/>
      <c r="AG677" s="61"/>
      <c r="AH677" s="61"/>
      <c r="AI677" s="61"/>
      <c r="AJ677" s="61"/>
      <c r="AK677" s="61"/>
      <c r="AL677" s="291">
        <v>23</v>
      </c>
      <c r="AM677" s="291">
        <v>22</v>
      </c>
      <c r="AN677" s="291">
        <v>17</v>
      </c>
      <c r="AO677" s="61"/>
      <c r="AP677" s="61"/>
      <c r="AQ677" s="61"/>
      <c r="AR677" s="61"/>
      <c r="AS677" s="292"/>
      <c r="AT677" s="206" t="str">
        <f t="shared" si="10"/>
        <v>45068-676</v>
      </c>
    </row>
    <row r="678" spans="1:46" x14ac:dyDescent="0.35">
      <c r="A678" s="204">
        <v>677</v>
      </c>
      <c r="B678" s="14" t="s">
        <v>83</v>
      </c>
      <c r="C678" s="1" t="s">
        <v>245</v>
      </c>
      <c r="D678" s="1" t="s">
        <v>161</v>
      </c>
      <c r="E678" s="12">
        <v>45068</v>
      </c>
      <c r="F678" s="295">
        <v>0.1</v>
      </c>
      <c r="G678" s="295">
        <v>0</v>
      </c>
      <c r="H678" s="295">
        <v>0</v>
      </c>
      <c r="I678" s="295">
        <v>0.2</v>
      </c>
      <c r="J678" s="295">
        <v>0</v>
      </c>
      <c r="K678" s="295">
        <v>0</v>
      </c>
      <c r="L678" s="291"/>
      <c r="M678" s="291">
        <v>26</v>
      </c>
      <c r="N678" s="295">
        <v>0</v>
      </c>
      <c r="O678" s="295">
        <v>0</v>
      </c>
      <c r="P678" s="295">
        <v>6.7</v>
      </c>
      <c r="Q678" s="295">
        <v>533.6</v>
      </c>
      <c r="R678" s="291"/>
      <c r="S678" s="291"/>
      <c r="T678" s="295">
        <v>8.1</v>
      </c>
      <c r="U678" s="295">
        <v>0.3</v>
      </c>
      <c r="V678" s="291"/>
      <c r="W678" s="291"/>
      <c r="X678" s="291"/>
      <c r="Y678" s="291"/>
      <c r="Z678" s="291"/>
      <c r="AA678" s="61"/>
      <c r="AB678" s="291"/>
      <c r="AC678" s="61"/>
      <c r="AD678" s="295">
        <v>77.41</v>
      </c>
      <c r="AE678" s="61"/>
      <c r="AF678" s="61"/>
      <c r="AG678" s="61"/>
      <c r="AH678" s="61"/>
      <c r="AI678" s="61"/>
      <c r="AJ678" s="61"/>
      <c r="AK678" s="61"/>
      <c r="AL678" s="291">
        <v>19</v>
      </c>
      <c r="AM678" s="291">
        <v>18</v>
      </c>
      <c r="AN678" s="291">
        <v>14</v>
      </c>
      <c r="AO678" s="61"/>
      <c r="AP678" s="61"/>
      <c r="AQ678" s="61"/>
      <c r="AR678" s="61"/>
      <c r="AS678" s="292"/>
      <c r="AT678" s="206" t="str">
        <f t="shared" si="10"/>
        <v>45068-677</v>
      </c>
    </row>
    <row r="679" spans="1:46" x14ac:dyDescent="0.35">
      <c r="A679" s="204">
        <v>678</v>
      </c>
      <c r="B679" s="14" t="s">
        <v>83</v>
      </c>
      <c r="C679" s="1" t="s">
        <v>160</v>
      </c>
      <c r="D679" s="1" t="s">
        <v>161</v>
      </c>
      <c r="E679" s="12">
        <v>45068</v>
      </c>
      <c r="F679" s="295">
        <v>1.7</v>
      </c>
      <c r="G679" s="295">
        <v>1.4</v>
      </c>
      <c r="H679" s="291">
        <v>0</v>
      </c>
      <c r="I679" s="291">
        <v>0</v>
      </c>
      <c r="J679" s="291">
        <v>0</v>
      </c>
      <c r="K679" s="291">
        <v>0</v>
      </c>
      <c r="L679" s="291"/>
      <c r="M679" s="291">
        <v>2.8</v>
      </c>
      <c r="N679" s="295">
        <v>0.4</v>
      </c>
      <c r="O679" s="295">
        <v>1.3</v>
      </c>
      <c r="P679" s="295">
        <v>1290</v>
      </c>
      <c r="Q679" s="295">
        <v>1448</v>
      </c>
      <c r="R679" s="291"/>
      <c r="S679" s="291"/>
      <c r="T679" s="295">
        <v>2549</v>
      </c>
      <c r="U679" s="295">
        <v>514</v>
      </c>
      <c r="V679" s="291"/>
      <c r="W679" s="291"/>
      <c r="X679" s="291"/>
      <c r="Y679" s="291"/>
      <c r="Z679" s="291"/>
      <c r="AA679" s="61"/>
      <c r="AB679" s="291"/>
      <c r="AC679" s="61"/>
      <c r="AD679" s="295">
        <v>15.47</v>
      </c>
      <c r="AE679" s="61"/>
      <c r="AF679" s="61"/>
      <c r="AG679" s="61"/>
      <c r="AH679" s="61"/>
      <c r="AI679" s="61"/>
      <c r="AJ679" s="61"/>
      <c r="AK679" s="61"/>
      <c r="AL679" s="291">
        <v>22</v>
      </c>
      <c r="AM679" s="291">
        <v>20</v>
      </c>
      <c r="AN679" s="291">
        <v>13</v>
      </c>
      <c r="AO679" s="61"/>
      <c r="AP679" s="61"/>
      <c r="AQ679" s="61"/>
      <c r="AR679" s="61"/>
      <c r="AS679" s="292"/>
      <c r="AT679" s="206" t="str">
        <f t="shared" si="10"/>
        <v>45068-678</v>
      </c>
    </row>
    <row r="680" spans="1:46" x14ac:dyDescent="0.35">
      <c r="A680" s="204">
        <v>679</v>
      </c>
      <c r="B680" s="14" t="s">
        <v>73</v>
      </c>
      <c r="C680" s="1" t="s">
        <v>245</v>
      </c>
      <c r="D680" s="1" t="s">
        <v>150</v>
      </c>
      <c r="E680" s="12">
        <v>45121</v>
      </c>
      <c r="F680" s="59">
        <v>0</v>
      </c>
      <c r="G680" s="201">
        <v>0</v>
      </c>
      <c r="H680" s="201">
        <v>0</v>
      </c>
      <c r="I680" s="201">
        <v>0</v>
      </c>
      <c r="J680" s="59">
        <v>0</v>
      </c>
      <c r="K680" s="201">
        <v>0</v>
      </c>
      <c r="L680" s="201">
        <v>0</v>
      </c>
      <c r="M680" s="59">
        <v>29</v>
      </c>
      <c r="N680" s="201">
        <v>0</v>
      </c>
      <c r="O680" s="201">
        <v>0</v>
      </c>
      <c r="P680" s="201">
        <v>0</v>
      </c>
      <c r="Q680" s="59">
        <v>402</v>
      </c>
      <c r="R680" s="201">
        <v>0</v>
      </c>
      <c r="S680" s="234">
        <v>0</v>
      </c>
      <c r="T680" s="59">
        <v>1</v>
      </c>
      <c r="U680" s="201">
        <v>0</v>
      </c>
      <c r="V680" s="299">
        <v>1</v>
      </c>
      <c r="W680" s="201">
        <v>0</v>
      </c>
      <c r="X680" s="299">
        <v>0</v>
      </c>
      <c r="Y680" s="201">
        <v>0</v>
      </c>
      <c r="Z680" s="234">
        <v>0</v>
      </c>
      <c r="AA680" s="234">
        <v>0</v>
      </c>
      <c r="AB680" s="201">
        <v>0</v>
      </c>
      <c r="AC680" s="234">
        <v>0</v>
      </c>
      <c r="AD680" s="295">
        <v>69.078500000000005</v>
      </c>
      <c r="AE680" s="227"/>
      <c r="AF680" s="227"/>
      <c r="AG680" s="227"/>
      <c r="AH680" s="227"/>
      <c r="AI680" s="61"/>
      <c r="AJ680" s="227"/>
      <c r="AK680" s="227"/>
      <c r="AL680" s="291"/>
      <c r="AM680" s="291"/>
      <c r="AN680" s="291"/>
      <c r="AO680" s="61"/>
      <c r="AP680" s="227"/>
      <c r="AQ680" s="227"/>
      <c r="AR680" s="61"/>
      <c r="AS680" s="300" t="s">
        <v>961</v>
      </c>
      <c r="AT680" s="206" t="str">
        <f t="shared" si="10"/>
        <v>45121-679</v>
      </c>
    </row>
    <row r="681" spans="1:46" x14ac:dyDescent="0.35">
      <c r="A681" s="204">
        <v>680</v>
      </c>
      <c r="B681" s="14" t="s">
        <v>73</v>
      </c>
      <c r="C681" s="1" t="s">
        <v>245</v>
      </c>
      <c r="D681" s="1" t="s">
        <v>150</v>
      </c>
      <c r="E681" s="12">
        <v>45179</v>
      </c>
      <c r="F681" s="59">
        <v>1</v>
      </c>
      <c r="G681" s="357"/>
      <c r="H681" s="357"/>
      <c r="I681" s="357"/>
      <c r="J681" s="357"/>
      <c r="K681" s="357"/>
      <c r="L681" s="357"/>
      <c r="M681" s="59">
        <v>26</v>
      </c>
      <c r="N681" s="357"/>
      <c r="O681" s="357"/>
      <c r="P681" s="59">
        <v>0</v>
      </c>
      <c r="Q681" s="59">
        <v>406</v>
      </c>
      <c r="R681" s="357"/>
      <c r="S681" s="357"/>
      <c r="T681" s="357"/>
      <c r="U681" s="357"/>
      <c r="V681" s="357"/>
      <c r="W681" s="357"/>
      <c r="X681" s="357"/>
      <c r="Y681" s="357"/>
      <c r="Z681" s="357"/>
      <c r="AA681" s="61"/>
      <c r="AB681" s="357"/>
      <c r="AC681" s="61"/>
      <c r="AD681" s="59">
        <v>78.081100000000006</v>
      </c>
      <c r="AE681" s="61"/>
      <c r="AF681" s="61"/>
      <c r="AG681" s="61"/>
      <c r="AH681" s="61"/>
      <c r="AI681" s="61"/>
      <c r="AJ681" s="61"/>
      <c r="AK681" s="61"/>
      <c r="AL681" s="59">
        <v>19</v>
      </c>
      <c r="AM681" s="59">
        <v>16</v>
      </c>
      <c r="AN681" s="357"/>
      <c r="AO681" s="61"/>
      <c r="AP681" s="61"/>
      <c r="AQ681" s="61"/>
      <c r="AR681" s="61"/>
      <c r="AS681" s="58" t="s">
        <v>1192</v>
      </c>
      <c r="AT681" s="206" t="str">
        <f t="shared" si="10"/>
        <v>45179-680</v>
      </c>
    </row>
    <row r="682" spans="1:46" s="38" customFormat="1" ht="14.5" customHeight="1" x14ac:dyDescent="0.35">
      <c r="A682" s="204">
        <v>681</v>
      </c>
      <c r="B682" s="33" t="s">
        <v>73</v>
      </c>
      <c r="C682" s="40" t="s">
        <v>245</v>
      </c>
      <c r="D682" s="40" t="s">
        <v>150</v>
      </c>
      <c r="E682" s="39">
        <v>45420</v>
      </c>
      <c r="F682" s="59">
        <v>0</v>
      </c>
      <c r="G682" s="357"/>
      <c r="H682" s="357"/>
      <c r="I682" s="357"/>
      <c r="J682" s="357"/>
      <c r="K682" s="357"/>
      <c r="L682" s="357"/>
      <c r="M682" s="59">
        <v>30</v>
      </c>
      <c r="N682" s="357"/>
      <c r="O682" s="357"/>
      <c r="P682" s="59">
        <v>41</v>
      </c>
      <c r="Q682" s="59">
        <v>624</v>
      </c>
      <c r="R682" s="357"/>
      <c r="S682" s="357"/>
      <c r="T682" s="357"/>
      <c r="U682" s="357"/>
      <c r="V682" s="357"/>
      <c r="W682" s="357"/>
      <c r="X682" s="357"/>
      <c r="Y682" s="357"/>
      <c r="Z682" s="357"/>
      <c r="AA682" s="359"/>
      <c r="AB682" s="357"/>
      <c r="AC682" s="359"/>
      <c r="AD682" s="59">
        <v>81.846800000000002</v>
      </c>
      <c r="AE682" s="359"/>
      <c r="AF682" s="359"/>
      <c r="AG682" s="359"/>
      <c r="AH682" s="359"/>
      <c r="AI682" s="359"/>
      <c r="AJ682" s="359"/>
      <c r="AK682" s="359"/>
      <c r="AL682" s="59">
        <v>21</v>
      </c>
      <c r="AM682" s="59">
        <v>19</v>
      </c>
      <c r="AN682" s="357"/>
      <c r="AO682" s="359"/>
      <c r="AP682" s="359"/>
      <c r="AQ682" s="359"/>
      <c r="AR682" s="359"/>
      <c r="AS682" s="58" t="s">
        <v>1229</v>
      </c>
      <c r="AT682" s="360" t="str">
        <f t="shared" si="10"/>
        <v>45420-681</v>
      </c>
    </row>
    <row r="683" spans="1:46" x14ac:dyDescent="0.35">
      <c r="A683" s="204">
        <v>682</v>
      </c>
      <c r="B683" s="14" t="s">
        <v>73</v>
      </c>
      <c r="C683" s="1" t="s">
        <v>245</v>
      </c>
      <c r="D683" s="1" t="s">
        <v>150</v>
      </c>
      <c r="E683" s="12">
        <v>45569</v>
      </c>
      <c r="F683" s="59">
        <v>1</v>
      </c>
      <c r="G683" s="358"/>
      <c r="H683" s="358"/>
      <c r="I683" s="358"/>
      <c r="J683" s="358"/>
      <c r="K683" s="358"/>
      <c r="L683" s="358"/>
      <c r="M683" s="59">
        <v>30</v>
      </c>
      <c r="N683" s="358"/>
      <c r="O683" s="358"/>
      <c r="P683" s="59">
        <v>0</v>
      </c>
      <c r="Q683" s="59">
        <v>317</v>
      </c>
      <c r="R683" s="358"/>
      <c r="S683" s="358"/>
      <c r="T683" s="358"/>
      <c r="U683" s="358"/>
      <c r="V683" s="358"/>
      <c r="W683" s="358"/>
      <c r="X683" s="358"/>
      <c r="Y683" s="358"/>
      <c r="Z683" s="358"/>
      <c r="AA683" s="227"/>
      <c r="AB683" s="358"/>
      <c r="AC683" s="227"/>
      <c r="AD683" s="59">
        <v>76.895399999999995</v>
      </c>
      <c r="AE683" s="227"/>
      <c r="AF683" s="227"/>
      <c r="AG683" s="227"/>
      <c r="AH683" s="227"/>
      <c r="AI683" s="227"/>
      <c r="AJ683" s="227"/>
      <c r="AK683" s="227"/>
      <c r="AL683" s="59">
        <v>22</v>
      </c>
      <c r="AM683" s="59">
        <v>20</v>
      </c>
      <c r="AN683" s="361">
        <v>13</v>
      </c>
      <c r="AO683" s="114">
        <v>14</v>
      </c>
      <c r="AP683" s="114">
        <v>8</v>
      </c>
      <c r="AQ683" s="227"/>
      <c r="AR683" s="227"/>
      <c r="AS683" s="58" t="s">
        <v>226</v>
      </c>
      <c r="AT683" s="206" t="str">
        <f t="shared" si="10"/>
        <v>45569-682</v>
      </c>
    </row>
  </sheetData>
  <protectedRanges>
    <protectedRange sqref="F116:F233 F60:F100" name="Range1_2_2_6"/>
    <protectedRange sqref="G116:G233 G60:G100" name="Range1_2_2_1_1"/>
    <protectedRange sqref="H116:H233 H60:H100" name="Range1_2_2_2_1"/>
    <protectedRange sqref="I116:I233 I60:I100" name="Range1_2_2_3_1"/>
    <protectedRange sqref="J116:J233 J60:J100" name="Range1_2_2_4_1"/>
    <protectedRange sqref="K116:K233 K60:K100" name="Range1_2_2_5_1"/>
    <protectedRange sqref="N116:N233 N60:N100" name="Range1_2_2_7_1"/>
    <protectedRange sqref="M116:M233 M60:M100" name="Range1_2_1"/>
    <protectedRange sqref="AD116:AD233 AD60:AD100" name="Range1_2_3_1"/>
    <protectedRange sqref="AF60:AF70 AF116:AF392" name="Range1_2_4_1"/>
    <protectedRange sqref="O116:O233 O60:O100" name="Range1_2_2_8_1"/>
    <protectedRange sqref="Q116:Q233 Q60:Q100" name="Range1_2_2_9_1"/>
    <protectedRange sqref="U116:U233 U60:U100" name="Range1_2_2_10_1"/>
    <protectedRange sqref="P116:P233 P60:P100" name="Range1_2_2_11_1"/>
    <protectedRange sqref="T116:T233 T60:T100" name="Range1_2_2_12_1"/>
    <protectedRange sqref="AS268:AS272" name="Range1_2_1_1_1"/>
    <protectedRange sqref="AL116:AL233 AL60:AL100" name="Range1_2_6_1"/>
  </protectedRanges>
  <phoneticPr fontId="56" type="noConversion"/>
  <dataValidations disablePrompts="1" count="2">
    <dataValidation type="list" allowBlank="1" showInputMessage="1" showErrorMessage="1" sqref="AS450:AS452 AS469:AS471 AS494:AS495 AS410:AS425" xr:uid="{00000000-0002-0000-0300-000001000000}">
      <formula1>$C$41:$C$59</formula1>
    </dataValidation>
    <dataValidation type="list" allowBlank="1" showInputMessage="1" showErrorMessage="1" sqref="AS101:AS115" xr:uid="{00000000-0002-0000-0300-000002000000}">
      <formula1>$D$80:$D$98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rgb="FF00FFFF"/>
  </sheetPr>
  <dimension ref="A1:J901"/>
  <sheetViews>
    <sheetView showGridLines="0" zoomScale="70" zoomScaleNormal="70" workbookViewId="0">
      <pane ySplit="1" topLeftCell="A2" activePane="bottomLeft" state="frozen"/>
      <selection pane="bottomLeft" activeCell="N50" sqref="N50"/>
    </sheetView>
  </sheetViews>
  <sheetFormatPr baseColWidth="10" defaultColWidth="11.453125" defaultRowHeight="14.5" x14ac:dyDescent="0.35"/>
  <cols>
    <col min="1" max="1" width="20.7265625" customWidth="1"/>
    <col min="2" max="2" width="27.54296875" customWidth="1"/>
    <col min="3" max="3" width="13.453125" customWidth="1"/>
    <col min="4" max="4" width="12.453125" customWidth="1"/>
    <col min="5" max="5" width="19.54296875" style="10" bestFit="1" customWidth="1"/>
    <col min="6" max="9" width="15.54296875" style="10" customWidth="1"/>
    <col min="10" max="10" width="17" style="10" customWidth="1"/>
    <col min="11" max="11" width="4.54296875" customWidth="1"/>
  </cols>
  <sheetData>
    <row r="1" spans="1:10" ht="18.5" x14ac:dyDescent="0.35">
      <c r="A1" s="219" t="s">
        <v>1</v>
      </c>
      <c r="B1" s="220" t="s">
        <v>2</v>
      </c>
      <c r="C1" s="220" t="s">
        <v>67</v>
      </c>
      <c r="D1" s="220" t="s">
        <v>68</v>
      </c>
      <c r="E1" s="220" t="s">
        <v>281</v>
      </c>
      <c r="F1" s="221" t="s">
        <v>282</v>
      </c>
      <c r="G1" s="222" t="s">
        <v>283</v>
      </c>
      <c r="H1" s="221" t="s">
        <v>284</v>
      </c>
      <c r="I1" s="222" t="s">
        <v>285</v>
      </c>
      <c r="J1" s="223" t="s">
        <v>286</v>
      </c>
    </row>
    <row r="2" spans="1:10" x14ac:dyDescent="0.35">
      <c r="A2" s="218" t="s">
        <v>73</v>
      </c>
      <c r="B2" s="3" t="s">
        <v>74</v>
      </c>
      <c r="C2" s="1" t="s">
        <v>75</v>
      </c>
      <c r="D2" s="1">
        <v>5</v>
      </c>
      <c r="E2" s="14" t="s">
        <v>287</v>
      </c>
      <c r="F2" s="27"/>
      <c r="G2" s="27">
        <v>70</v>
      </c>
      <c r="H2" s="27"/>
      <c r="I2" s="27">
        <v>85</v>
      </c>
      <c r="J2" s="123">
        <f>VLOOKUP(E2,'C'!P:Q,2,FALSE)</f>
        <v>2</v>
      </c>
    </row>
    <row r="3" spans="1:10" x14ac:dyDescent="0.35">
      <c r="A3" s="218" t="s">
        <v>73</v>
      </c>
      <c r="B3" s="3" t="s">
        <v>76</v>
      </c>
      <c r="C3" s="1" t="s">
        <v>75</v>
      </c>
      <c r="D3" s="1">
        <v>5</v>
      </c>
      <c r="E3" s="14" t="s">
        <v>287</v>
      </c>
      <c r="F3" s="27"/>
      <c r="G3" s="27">
        <v>70</v>
      </c>
      <c r="H3" s="27"/>
      <c r="I3" s="27">
        <v>85</v>
      </c>
      <c r="J3" s="123">
        <f>VLOOKUP(E3,'C'!P:Q,2,FALSE)</f>
        <v>2</v>
      </c>
    </row>
    <row r="4" spans="1:10" x14ac:dyDescent="0.35">
      <c r="A4" s="218" t="s">
        <v>73</v>
      </c>
      <c r="B4" s="3" t="s">
        <v>77</v>
      </c>
      <c r="C4" s="1" t="s">
        <v>75</v>
      </c>
      <c r="D4" s="1">
        <v>5</v>
      </c>
      <c r="E4" s="14" t="s">
        <v>287</v>
      </c>
      <c r="F4" s="27"/>
      <c r="G4" s="27"/>
      <c r="H4" s="27"/>
      <c r="I4" s="27"/>
      <c r="J4" s="123">
        <f>VLOOKUP(E4,'C'!P:Q,2,FALSE)</f>
        <v>2</v>
      </c>
    </row>
    <row r="5" spans="1:10" x14ac:dyDescent="0.35">
      <c r="A5" s="218" t="s">
        <v>73</v>
      </c>
      <c r="B5" s="3" t="s">
        <v>78</v>
      </c>
      <c r="C5" s="1" t="s">
        <v>75</v>
      </c>
      <c r="D5" s="1">
        <v>5</v>
      </c>
      <c r="E5" s="14" t="s">
        <v>287</v>
      </c>
      <c r="F5" s="27"/>
      <c r="G5" s="27"/>
      <c r="H5" s="27"/>
      <c r="I5" s="27"/>
      <c r="J5" s="123">
        <f>VLOOKUP(E5,'C'!P:Q,2,FALSE)</f>
        <v>2</v>
      </c>
    </row>
    <row r="6" spans="1:10" x14ac:dyDescent="0.35">
      <c r="A6" s="218" t="s">
        <v>73</v>
      </c>
      <c r="B6" s="3" t="s">
        <v>79</v>
      </c>
      <c r="C6" s="1" t="s">
        <v>75</v>
      </c>
      <c r="D6" s="1">
        <v>5</v>
      </c>
      <c r="E6" s="14" t="s">
        <v>287</v>
      </c>
      <c r="F6" s="27"/>
      <c r="G6" s="27"/>
      <c r="H6" s="27"/>
      <c r="I6" s="27"/>
      <c r="J6" s="123">
        <f>VLOOKUP(E6,'C'!P:Q,2,FALSE)</f>
        <v>2</v>
      </c>
    </row>
    <row r="7" spans="1:10" x14ac:dyDescent="0.35">
      <c r="A7" s="218" t="s">
        <v>73</v>
      </c>
      <c r="B7" s="3" t="s">
        <v>80</v>
      </c>
      <c r="C7" s="1" t="s">
        <v>75</v>
      </c>
      <c r="D7" s="1">
        <v>5</v>
      </c>
      <c r="E7" s="14" t="s">
        <v>287</v>
      </c>
      <c r="F7" s="27">
        <v>13.5</v>
      </c>
      <c r="G7" s="27">
        <v>13</v>
      </c>
      <c r="H7" s="27">
        <v>16</v>
      </c>
      <c r="I7" s="27">
        <v>16.5</v>
      </c>
      <c r="J7" s="123">
        <f>VLOOKUP(E7,'C'!P:Q,2,FALSE)</f>
        <v>2</v>
      </c>
    </row>
    <row r="8" spans="1:10" hidden="1" x14ac:dyDescent="0.35">
      <c r="A8" s="218" t="s">
        <v>81</v>
      </c>
      <c r="B8" s="3" t="s">
        <v>76</v>
      </c>
      <c r="C8" s="91" t="s">
        <v>75</v>
      </c>
      <c r="D8" s="91">
        <v>5</v>
      </c>
      <c r="E8" s="14" t="s">
        <v>287</v>
      </c>
      <c r="F8" s="27"/>
      <c r="G8" s="27"/>
      <c r="H8" s="27"/>
      <c r="I8" s="27"/>
      <c r="J8" s="123">
        <f>VLOOKUP(E8,'C'!P:Q,2,FALSE)</f>
        <v>2</v>
      </c>
    </row>
    <row r="9" spans="1:10" hidden="1" x14ac:dyDescent="0.35">
      <c r="A9" s="218" t="s">
        <v>81</v>
      </c>
      <c r="B9" s="3" t="s">
        <v>74</v>
      </c>
      <c r="C9" s="1" t="s">
        <v>75</v>
      </c>
      <c r="D9" s="1">
        <v>5</v>
      </c>
      <c r="E9" s="14" t="s">
        <v>287</v>
      </c>
      <c r="F9" s="27"/>
      <c r="G9" s="27"/>
      <c r="H9" s="27"/>
      <c r="I9" s="27"/>
      <c r="J9" s="123">
        <f>VLOOKUP(E9,'C'!P:Q,2,FALSE)</f>
        <v>2</v>
      </c>
    </row>
    <row r="10" spans="1:10" hidden="1" x14ac:dyDescent="0.35">
      <c r="A10" s="218" t="s">
        <v>81</v>
      </c>
      <c r="B10" s="3" t="s">
        <v>78</v>
      </c>
      <c r="C10" s="1" t="s">
        <v>75</v>
      </c>
      <c r="D10" s="1">
        <v>5</v>
      </c>
      <c r="E10" s="14" t="s">
        <v>287</v>
      </c>
      <c r="F10" s="27"/>
      <c r="G10" s="27"/>
      <c r="H10" s="27"/>
      <c r="I10" s="27"/>
      <c r="J10" s="123">
        <f>VLOOKUP(E10,'C'!P:Q,2,FALSE)</f>
        <v>2</v>
      </c>
    </row>
    <row r="11" spans="1:10" hidden="1" x14ac:dyDescent="0.35">
      <c r="A11" s="218" t="s">
        <v>81</v>
      </c>
      <c r="B11" s="3" t="s">
        <v>77</v>
      </c>
      <c r="C11" s="1" t="s">
        <v>75</v>
      </c>
      <c r="D11" s="1">
        <v>5</v>
      </c>
      <c r="E11" s="14" t="s">
        <v>287</v>
      </c>
      <c r="F11" s="27"/>
      <c r="G11" s="27"/>
      <c r="H11" s="27"/>
      <c r="I11" s="27"/>
      <c r="J11" s="123">
        <f>VLOOKUP(E11,'C'!P:Q,2,FALSE)</f>
        <v>2</v>
      </c>
    </row>
    <row r="12" spans="1:10" hidden="1" x14ac:dyDescent="0.35">
      <c r="A12" s="218" t="s">
        <v>81</v>
      </c>
      <c r="B12" s="3" t="s">
        <v>79</v>
      </c>
      <c r="C12" s="1" t="s">
        <v>75</v>
      </c>
      <c r="D12" s="1">
        <v>5</v>
      </c>
      <c r="E12" s="14" t="s">
        <v>287</v>
      </c>
      <c r="F12" s="27"/>
      <c r="G12" s="27"/>
      <c r="H12" s="27"/>
      <c r="I12" s="27"/>
      <c r="J12" s="123">
        <f>VLOOKUP(E12,'C'!P:Q,2,FALSE)</f>
        <v>2</v>
      </c>
    </row>
    <row r="13" spans="1:10" hidden="1" x14ac:dyDescent="0.35">
      <c r="A13" s="218" t="s">
        <v>81</v>
      </c>
      <c r="B13" s="3" t="s">
        <v>80</v>
      </c>
      <c r="C13" s="1" t="s">
        <v>75</v>
      </c>
      <c r="D13" s="1">
        <v>5</v>
      </c>
      <c r="E13" s="14" t="s">
        <v>287</v>
      </c>
      <c r="F13" s="366">
        <v>13.5</v>
      </c>
      <c r="G13" s="366">
        <v>13</v>
      </c>
      <c r="H13" s="366">
        <v>15.5</v>
      </c>
      <c r="I13" s="366">
        <v>16</v>
      </c>
      <c r="J13" s="123">
        <f>VLOOKUP(E13,'C'!P:Q,2,FALSE)</f>
        <v>2</v>
      </c>
    </row>
    <row r="14" spans="1:10" hidden="1" x14ac:dyDescent="0.35">
      <c r="A14" s="202" t="s">
        <v>82</v>
      </c>
      <c r="B14" s="15" t="s">
        <v>74</v>
      </c>
      <c r="C14" s="91" t="s">
        <v>75</v>
      </c>
      <c r="D14" s="91">
        <v>5</v>
      </c>
      <c r="E14" s="14" t="s">
        <v>287</v>
      </c>
      <c r="F14" s="27"/>
      <c r="G14" s="27"/>
      <c r="H14" s="27"/>
      <c r="I14" s="27"/>
      <c r="J14" s="123">
        <f>VLOOKUP(E14,'C'!P:Q,2,FALSE)</f>
        <v>2</v>
      </c>
    </row>
    <row r="15" spans="1:10" hidden="1" x14ac:dyDescent="0.35">
      <c r="A15" s="202" t="s">
        <v>82</v>
      </c>
      <c r="B15" s="15" t="s">
        <v>76</v>
      </c>
      <c r="C15" s="1" t="s">
        <v>75</v>
      </c>
      <c r="D15" s="1">
        <v>5</v>
      </c>
      <c r="E15" s="14" t="s">
        <v>287</v>
      </c>
      <c r="F15" s="27"/>
      <c r="G15" s="27"/>
      <c r="H15" s="27"/>
      <c r="I15" s="27"/>
      <c r="J15" s="123">
        <f>VLOOKUP(E15,'C'!P:Q,2,FALSE)</f>
        <v>2</v>
      </c>
    </row>
    <row r="16" spans="1:10" hidden="1" x14ac:dyDescent="0.35">
      <c r="A16" s="202" t="s">
        <v>82</v>
      </c>
      <c r="B16" s="15" t="s">
        <v>77</v>
      </c>
      <c r="C16" s="1" t="s">
        <v>75</v>
      </c>
      <c r="D16" s="1">
        <v>5</v>
      </c>
      <c r="E16" s="14" t="s">
        <v>287</v>
      </c>
      <c r="F16" s="27"/>
      <c r="G16" s="27"/>
      <c r="H16" s="27"/>
      <c r="I16" s="27"/>
      <c r="J16" s="123">
        <f>VLOOKUP(E16,'C'!P:Q,2,FALSE)</f>
        <v>2</v>
      </c>
    </row>
    <row r="17" spans="1:10" hidden="1" x14ac:dyDescent="0.35">
      <c r="A17" s="202" t="s">
        <v>82</v>
      </c>
      <c r="B17" s="15" t="s">
        <v>78</v>
      </c>
      <c r="C17" s="1" t="s">
        <v>75</v>
      </c>
      <c r="D17" s="1">
        <v>5</v>
      </c>
      <c r="E17" s="14" t="s">
        <v>287</v>
      </c>
      <c r="F17" s="27"/>
      <c r="G17" s="27"/>
      <c r="H17" s="27"/>
      <c r="I17" s="27"/>
      <c r="J17" s="123">
        <f>VLOOKUP(E17,'C'!P:Q,2,FALSE)</f>
        <v>2</v>
      </c>
    </row>
    <row r="18" spans="1:10" hidden="1" x14ac:dyDescent="0.35">
      <c r="A18" s="202" t="s">
        <v>82</v>
      </c>
      <c r="B18" s="15" t="s">
        <v>79</v>
      </c>
      <c r="C18" s="1" t="s">
        <v>75</v>
      </c>
      <c r="D18" s="1">
        <v>5</v>
      </c>
      <c r="E18" s="14" t="s">
        <v>287</v>
      </c>
      <c r="F18" s="27"/>
      <c r="G18" s="27"/>
      <c r="H18" s="27"/>
      <c r="I18" s="27"/>
      <c r="J18" s="123">
        <f>VLOOKUP(E18,'C'!P:Q,2,FALSE)</f>
        <v>2</v>
      </c>
    </row>
    <row r="19" spans="1:10" hidden="1" x14ac:dyDescent="0.35">
      <c r="A19" s="202" t="s">
        <v>82</v>
      </c>
      <c r="B19" s="15" t="s">
        <v>80</v>
      </c>
      <c r="C19" s="1" t="s">
        <v>75</v>
      </c>
      <c r="D19" s="1">
        <v>5</v>
      </c>
      <c r="E19" s="14" t="s">
        <v>287</v>
      </c>
      <c r="F19" s="27">
        <v>13</v>
      </c>
      <c r="G19" s="27">
        <v>12.7</v>
      </c>
      <c r="H19" s="27">
        <v>15</v>
      </c>
      <c r="I19" s="27">
        <v>15.5</v>
      </c>
      <c r="J19" s="123">
        <f>VLOOKUP(E19,'C'!P:Q,2,FALSE)</f>
        <v>2</v>
      </c>
    </row>
    <row r="20" spans="1:10" hidden="1" x14ac:dyDescent="0.35">
      <c r="A20" s="202" t="s">
        <v>83</v>
      </c>
      <c r="B20" s="15" t="s">
        <v>74</v>
      </c>
      <c r="C20" s="91" t="s">
        <v>75</v>
      </c>
      <c r="D20" s="91" t="s">
        <v>84</v>
      </c>
      <c r="E20" s="14" t="s">
        <v>287</v>
      </c>
      <c r="F20" s="14"/>
      <c r="G20" s="14"/>
      <c r="H20" s="14"/>
      <c r="I20" s="14"/>
      <c r="J20" s="123">
        <f>VLOOKUP(E20,'C'!P:Q,2,FALSE)</f>
        <v>2</v>
      </c>
    </row>
    <row r="21" spans="1:10" hidden="1" x14ac:dyDescent="0.35">
      <c r="A21" s="202" t="s">
        <v>83</v>
      </c>
      <c r="B21" s="15" t="s">
        <v>76</v>
      </c>
      <c r="C21" s="1" t="s">
        <v>75</v>
      </c>
      <c r="D21" s="1" t="s">
        <v>84</v>
      </c>
      <c r="E21" s="14" t="s">
        <v>287</v>
      </c>
      <c r="F21" s="14"/>
      <c r="G21" s="14"/>
      <c r="H21" s="14"/>
      <c r="I21" s="14"/>
      <c r="J21" s="123">
        <f>VLOOKUP(E21,'C'!P:Q,2,FALSE)</f>
        <v>2</v>
      </c>
    </row>
    <row r="22" spans="1:10" hidden="1" x14ac:dyDescent="0.35">
      <c r="A22" s="202" t="s">
        <v>83</v>
      </c>
      <c r="B22" s="15" t="s">
        <v>77</v>
      </c>
      <c r="C22" s="1" t="s">
        <v>75</v>
      </c>
      <c r="D22" s="1" t="s">
        <v>84</v>
      </c>
      <c r="E22" s="14" t="s">
        <v>287</v>
      </c>
      <c r="F22" s="14"/>
      <c r="G22" s="14"/>
      <c r="H22" s="14"/>
      <c r="I22" s="14"/>
      <c r="J22" s="123">
        <f>VLOOKUP(E22,'C'!P:Q,2,FALSE)</f>
        <v>2</v>
      </c>
    </row>
    <row r="23" spans="1:10" hidden="1" x14ac:dyDescent="0.35">
      <c r="A23" s="202" t="s">
        <v>83</v>
      </c>
      <c r="B23" s="15" t="s">
        <v>78</v>
      </c>
      <c r="C23" s="1" t="s">
        <v>75</v>
      </c>
      <c r="D23" s="1" t="s">
        <v>84</v>
      </c>
      <c r="E23" s="14" t="s">
        <v>287</v>
      </c>
      <c r="F23" s="14"/>
      <c r="G23" s="14"/>
      <c r="H23" s="14"/>
      <c r="I23" s="14"/>
      <c r="J23" s="123">
        <f>VLOOKUP(E23,'C'!P:Q,2,FALSE)</f>
        <v>2</v>
      </c>
    </row>
    <row r="24" spans="1:10" hidden="1" x14ac:dyDescent="0.35">
      <c r="A24" s="202" t="s">
        <v>83</v>
      </c>
      <c r="B24" s="15" t="s">
        <v>79</v>
      </c>
      <c r="C24" s="1" t="s">
        <v>75</v>
      </c>
      <c r="D24" s="1" t="s">
        <v>84</v>
      </c>
      <c r="E24" s="14" t="s">
        <v>287</v>
      </c>
      <c r="F24" s="14"/>
      <c r="G24" s="14"/>
      <c r="H24" s="14"/>
      <c r="I24" s="14"/>
      <c r="J24" s="123">
        <f>VLOOKUP(E24,'C'!P:Q,2,FALSE)</f>
        <v>2</v>
      </c>
    </row>
    <row r="25" spans="1:10" hidden="1" x14ac:dyDescent="0.35">
      <c r="A25" s="202" t="s">
        <v>83</v>
      </c>
      <c r="B25" s="15" t="s">
        <v>80</v>
      </c>
      <c r="C25" s="1" t="s">
        <v>75</v>
      </c>
      <c r="D25" s="1" t="s">
        <v>84</v>
      </c>
      <c r="E25" s="14" t="s">
        <v>287</v>
      </c>
      <c r="F25" s="105">
        <v>13.7</v>
      </c>
      <c r="G25" s="105">
        <v>13.4</v>
      </c>
      <c r="H25" s="105">
        <v>14.8</v>
      </c>
      <c r="I25" s="105">
        <v>15.1</v>
      </c>
      <c r="J25" s="123">
        <f>VLOOKUP(E25,'C'!P:Q,2,FALSE)</f>
        <v>2</v>
      </c>
    </row>
    <row r="26" spans="1:10" x14ac:dyDescent="0.35">
      <c r="A26" s="218" t="s">
        <v>73</v>
      </c>
      <c r="B26" s="3" t="s">
        <v>74</v>
      </c>
      <c r="C26" s="1" t="s">
        <v>75</v>
      </c>
      <c r="D26" s="1">
        <v>5</v>
      </c>
      <c r="E26" s="1" t="s">
        <v>135</v>
      </c>
      <c r="F26" s="1"/>
      <c r="G26" s="1"/>
      <c r="H26" s="1"/>
      <c r="I26" s="1"/>
      <c r="J26" s="123">
        <f>VLOOKUP(E26,'C'!P:Q,2,FALSE)</f>
        <v>3</v>
      </c>
    </row>
    <row r="27" spans="1:10" x14ac:dyDescent="0.35">
      <c r="A27" s="218" t="s">
        <v>73</v>
      </c>
      <c r="B27" s="3" t="s">
        <v>76</v>
      </c>
      <c r="C27" s="1" t="s">
        <v>75</v>
      </c>
      <c r="D27" s="1">
        <v>5</v>
      </c>
      <c r="E27" s="1" t="s">
        <v>135</v>
      </c>
      <c r="F27" s="1"/>
      <c r="G27" s="1"/>
      <c r="H27" s="1"/>
      <c r="I27" s="1"/>
      <c r="J27" s="123">
        <f>VLOOKUP(E27,'C'!P:Q,2,FALSE)</f>
        <v>3</v>
      </c>
    </row>
    <row r="28" spans="1:10" x14ac:dyDescent="0.35">
      <c r="A28" s="218" t="s">
        <v>73</v>
      </c>
      <c r="B28" s="3" t="s">
        <v>77</v>
      </c>
      <c r="C28" s="1" t="s">
        <v>75</v>
      </c>
      <c r="D28" s="1">
        <v>5</v>
      </c>
      <c r="E28" s="1" t="s">
        <v>135</v>
      </c>
      <c r="F28" s="1"/>
      <c r="G28" s="1"/>
      <c r="H28" s="1"/>
      <c r="I28" s="1"/>
      <c r="J28" s="123">
        <f>VLOOKUP(E28,'C'!P:Q,2,FALSE)</f>
        <v>3</v>
      </c>
    </row>
    <row r="29" spans="1:10" x14ac:dyDescent="0.35">
      <c r="A29" s="218" t="s">
        <v>73</v>
      </c>
      <c r="B29" s="3" t="s">
        <v>78</v>
      </c>
      <c r="C29" s="1" t="s">
        <v>75</v>
      </c>
      <c r="D29" s="1">
        <v>5</v>
      </c>
      <c r="E29" s="1" t="s">
        <v>135</v>
      </c>
      <c r="F29" s="1"/>
      <c r="G29" s="1"/>
      <c r="H29" s="1"/>
      <c r="I29" s="1"/>
      <c r="J29" s="123">
        <f>VLOOKUP(E29,'C'!P:Q,2,FALSE)</f>
        <v>3</v>
      </c>
    </row>
    <row r="30" spans="1:10" x14ac:dyDescent="0.35">
      <c r="A30" s="218" t="s">
        <v>73</v>
      </c>
      <c r="B30" s="3" t="s">
        <v>79</v>
      </c>
      <c r="C30" s="1" t="s">
        <v>75</v>
      </c>
      <c r="D30" s="1">
        <v>5</v>
      </c>
      <c r="E30" s="1" t="s">
        <v>135</v>
      </c>
      <c r="F30" s="1"/>
      <c r="G30" s="1"/>
      <c r="H30" s="1"/>
      <c r="I30" s="1"/>
      <c r="J30" s="123">
        <f>VLOOKUP(E30,'C'!P:Q,2,FALSE)</f>
        <v>3</v>
      </c>
    </row>
    <row r="31" spans="1:10" x14ac:dyDescent="0.35">
      <c r="A31" s="218" t="s">
        <v>73</v>
      </c>
      <c r="B31" s="3" t="s">
        <v>80</v>
      </c>
      <c r="C31" s="1" t="s">
        <v>75</v>
      </c>
      <c r="D31" s="1">
        <v>5</v>
      </c>
      <c r="E31" s="1" t="s">
        <v>135</v>
      </c>
      <c r="F31" s="1"/>
      <c r="G31" s="1"/>
      <c r="H31" s="1"/>
      <c r="I31" s="1"/>
      <c r="J31" s="123">
        <f>VLOOKUP(E31,'C'!P:Q,2,FALSE)</f>
        <v>3</v>
      </c>
    </row>
    <row r="32" spans="1:10" hidden="1" x14ac:dyDescent="0.35">
      <c r="A32" s="218" t="s">
        <v>81</v>
      </c>
      <c r="B32" s="3" t="s">
        <v>76</v>
      </c>
      <c r="C32" s="91" t="s">
        <v>75</v>
      </c>
      <c r="D32" s="91">
        <v>5</v>
      </c>
      <c r="E32" s="1" t="s">
        <v>135</v>
      </c>
      <c r="F32" s="1"/>
      <c r="G32" s="1"/>
      <c r="H32" s="1"/>
      <c r="I32" s="1"/>
      <c r="J32" s="123">
        <f>VLOOKUP(E32,'C'!P:Q,2,FALSE)</f>
        <v>3</v>
      </c>
    </row>
    <row r="33" spans="1:10" hidden="1" x14ac:dyDescent="0.35">
      <c r="A33" s="218" t="s">
        <v>81</v>
      </c>
      <c r="B33" s="3" t="s">
        <v>74</v>
      </c>
      <c r="C33" s="1" t="s">
        <v>75</v>
      </c>
      <c r="D33" s="1">
        <v>5</v>
      </c>
      <c r="E33" s="1" t="s">
        <v>135</v>
      </c>
      <c r="F33" s="1"/>
      <c r="G33" s="1"/>
      <c r="H33" s="1"/>
      <c r="I33" s="1"/>
      <c r="J33" s="123">
        <f>VLOOKUP(E33,'C'!P:Q,2,FALSE)</f>
        <v>3</v>
      </c>
    </row>
    <row r="34" spans="1:10" hidden="1" x14ac:dyDescent="0.35">
      <c r="A34" s="218" t="s">
        <v>81</v>
      </c>
      <c r="B34" s="3" t="s">
        <v>78</v>
      </c>
      <c r="C34" s="1" t="s">
        <v>75</v>
      </c>
      <c r="D34" s="1">
        <v>5</v>
      </c>
      <c r="E34" s="1" t="s">
        <v>135</v>
      </c>
      <c r="F34" s="1"/>
      <c r="G34" s="1"/>
      <c r="H34" s="1"/>
      <c r="I34" s="1"/>
      <c r="J34" s="123">
        <f>VLOOKUP(E34,'C'!P:Q,2,FALSE)</f>
        <v>3</v>
      </c>
    </row>
    <row r="35" spans="1:10" hidden="1" x14ac:dyDescent="0.35">
      <c r="A35" s="218" t="s">
        <v>81</v>
      </c>
      <c r="B35" s="3" t="s">
        <v>77</v>
      </c>
      <c r="C35" s="1" t="s">
        <v>75</v>
      </c>
      <c r="D35" s="1">
        <v>5</v>
      </c>
      <c r="E35" s="1" t="s">
        <v>135</v>
      </c>
      <c r="F35" s="1"/>
      <c r="G35" s="1"/>
      <c r="H35" s="1"/>
      <c r="I35" s="1"/>
      <c r="J35" s="123">
        <f>VLOOKUP(E35,'C'!P:Q,2,FALSE)</f>
        <v>3</v>
      </c>
    </row>
    <row r="36" spans="1:10" hidden="1" x14ac:dyDescent="0.35">
      <c r="A36" s="218" t="s">
        <v>81</v>
      </c>
      <c r="B36" s="3" t="s">
        <v>79</v>
      </c>
      <c r="C36" s="1" t="s">
        <v>75</v>
      </c>
      <c r="D36" s="1">
        <v>5</v>
      </c>
      <c r="E36" s="1" t="s">
        <v>135</v>
      </c>
      <c r="F36" s="1"/>
      <c r="G36" s="1"/>
      <c r="H36" s="1"/>
      <c r="I36" s="1"/>
      <c r="J36" s="123">
        <f>VLOOKUP(E36,'C'!P:Q,2,FALSE)</f>
        <v>3</v>
      </c>
    </row>
    <row r="37" spans="1:10" hidden="1" x14ac:dyDescent="0.35">
      <c r="A37" s="218" t="s">
        <v>81</v>
      </c>
      <c r="B37" s="3" t="s">
        <v>80</v>
      </c>
      <c r="C37" s="1" t="s">
        <v>75</v>
      </c>
      <c r="D37" s="1">
        <v>5</v>
      </c>
      <c r="E37" s="1" t="s">
        <v>135</v>
      </c>
      <c r="F37" s="1"/>
      <c r="G37" s="1"/>
      <c r="H37" s="1"/>
      <c r="I37" s="1"/>
      <c r="J37" s="123">
        <f>VLOOKUP(E37,'C'!P:Q,2,FALSE)</f>
        <v>3</v>
      </c>
    </row>
    <row r="38" spans="1:10" hidden="1" x14ac:dyDescent="0.35">
      <c r="A38" s="202" t="s">
        <v>82</v>
      </c>
      <c r="B38" s="15" t="s">
        <v>74</v>
      </c>
      <c r="C38" s="91" t="s">
        <v>75</v>
      </c>
      <c r="D38" s="91">
        <v>5</v>
      </c>
      <c r="E38" s="1" t="s">
        <v>135</v>
      </c>
      <c r="F38" s="1"/>
      <c r="G38" s="1"/>
      <c r="H38" s="1"/>
      <c r="I38" s="1"/>
      <c r="J38" s="123">
        <f>VLOOKUP(E38,'C'!P:Q,2,FALSE)</f>
        <v>3</v>
      </c>
    </row>
    <row r="39" spans="1:10" hidden="1" x14ac:dyDescent="0.35">
      <c r="A39" s="202" t="s">
        <v>82</v>
      </c>
      <c r="B39" s="15" t="s">
        <v>76</v>
      </c>
      <c r="C39" s="1" t="s">
        <v>75</v>
      </c>
      <c r="D39" s="1">
        <v>5</v>
      </c>
      <c r="E39" s="1" t="s">
        <v>135</v>
      </c>
      <c r="F39" s="1"/>
      <c r="G39" s="1"/>
      <c r="H39" s="1"/>
      <c r="I39" s="1"/>
      <c r="J39" s="123">
        <f>VLOOKUP(E39,'C'!P:Q,2,FALSE)</f>
        <v>3</v>
      </c>
    </row>
    <row r="40" spans="1:10" hidden="1" x14ac:dyDescent="0.35">
      <c r="A40" s="202" t="s">
        <v>82</v>
      </c>
      <c r="B40" s="15" t="s">
        <v>77</v>
      </c>
      <c r="C40" s="1" t="s">
        <v>75</v>
      </c>
      <c r="D40" s="1">
        <v>5</v>
      </c>
      <c r="E40" s="1" t="s">
        <v>135</v>
      </c>
      <c r="F40" s="1"/>
      <c r="G40" s="1"/>
      <c r="H40" s="1"/>
      <c r="I40" s="1"/>
      <c r="J40" s="123">
        <f>VLOOKUP(E40,'C'!P:Q,2,FALSE)</f>
        <v>3</v>
      </c>
    </row>
    <row r="41" spans="1:10" hidden="1" x14ac:dyDescent="0.35">
      <c r="A41" s="202" t="s">
        <v>82</v>
      </c>
      <c r="B41" s="15" t="s">
        <v>78</v>
      </c>
      <c r="C41" s="1" t="s">
        <v>75</v>
      </c>
      <c r="D41" s="1">
        <v>5</v>
      </c>
      <c r="E41" s="1" t="s">
        <v>135</v>
      </c>
      <c r="F41" s="1"/>
      <c r="G41" s="1"/>
      <c r="H41" s="1"/>
      <c r="I41" s="1"/>
      <c r="J41" s="123">
        <f>VLOOKUP(E41,'C'!P:Q,2,FALSE)</f>
        <v>3</v>
      </c>
    </row>
    <row r="42" spans="1:10" hidden="1" x14ac:dyDescent="0.35">
      <c r="A42" s="202" t="s">
        <v>82</v>
      </c>
      <c r="B42" s="15" t="s">
        <v>79</v>
      </c>
      <c r="C42" s="1" t="s">
        <v>75</v>
      </c>
      <c r="D42" s="1">
        <v>5</v>
      </c>
      <c r="E42" s="1" t="s">
        <v>135</v>
      </c>
      <c r="F42" s="1"/>
      <c r="G42" s="1"/>
      <c r="H42" s="1"/>
      <c r="I42" s="1"/>
      <c r="J42" s="123">
        <f>VLOOKUP(E42,'C'!P:Q,2,FALSE)</f>
        <v>3</v>
      </c>
    </row>
    <row r="43" spans="1:10" hidden="1" x14ac:dyDescent="0.35">
      <c r="A43" s="202" t="s">
        <v>82</v>
      </c>
      <c r="B43" s="15" t="s">
        <v>80</v>
      </c>
      <c r="C43" s="1" t="s">
        <v>75</v>
      </c>
      <c r="D43" s="1">
        <v>5</v>
      </c>
      <c r="E43" s="1" t="s">
        <v>135</v>
      </c>
      <c r="F43" s="1"/>
      <c r="G43" s="1"/>
      <c r="H43" s="1"/>
      <c r="I43" s="1"/>
      <c r="J43" s="123">
        <f>VLOOKUP(E43,'C'!P:Q,2,FALSE)</f>
        <v>3</v>
      </c>
    </row>
    <row r="44" spans="1:10" hidden="1" x14ac:dyDescent="0.35">
      <c r="A44" s="202" t="s">
        <v>83</v>
      </c>
      <c r="B44" s="15" t="s">
        <v>74</v>
      </c>
      <c r="C44" s="91" t="s">
        <v>75</v>
      </c>
      <c r="D44" s="91" t="s">
        <v>84</v>
      </c>
      <c r="E44" s="1" t="s">
        <v>135</v>
      </c>
      <c r="F44" s="1"/>
      <c r="G44" s="1"/>
      <c r="H44" s="1"/>
      <c r="I44" s="1"/>
      <c r="J44" s="123">
        <f>VLOOKUP(E44,'C'!P:Q,2,FALSE)</f>
        <v>3</v>
      </c>
    </row>
    <row r="45" spans="1:10" hidden="1" x14ac:dyDescent="0.35">
      <c r="A45" s="202" t="s">
        <v>83</v>
      </c>
      <c r="B45" s="15" t="s">
        <v>76</v>
      </c>
      <c r="C45" s="1" t="s">
        <v>75</v>
      </c>
      <c r="D45" s="1" t="s">
        <v>84</v>
      </c>
      <c r="E45" s="1" t="s">
        <v>135</v>
      </c>
      <c r="F45" s="1"/>
      <c r="G45" s="1"/>
      <c r="H45" s="1"/>
      <c r="I45" s="1"/>
      <c r="J45" s="123">
        <f>VLOOKUP(E45,'C'!P:Q,2,FALSE)</f>
        <v>3</v>
      </c>
    </row>
    <row r="46" spans="1:10" hidden="1" x14ac:dyDescent="0.35">
      <c r="A46" s="202" t="s">
        <v>83</v>
      </c>
      <c r="B46" s="15" t="s">
        <v>77</v>
      </c>
      <c r="C46" s="1" t="s">
        <v>75</v>
      </c>
      <c r="D46" s="1" t="s">
        <v>84</v>
      </c>
      <c r="E46" s="1" t="s">
        <v>135</v>
      </c>
      <c r="F46" s="1"/>
      <c r="G46" s="1"/>
      <c r="H46" s="1"/>
      <c r="I46" s="1"/>
      <c r="J46" s="123">
        <f>VLOOKUP(E46,'C'!P:Q,2,FALSE)</f>
        <v>3</v>
      </c>
    </row>
    <row r="47" spans="1:10" hidden="1" x14ac:dyDescent="0.35">
      <c r="A47" s="202" t="s">
        <v>83</v>
      </c>
      <c r="B47" s="15" t="s">
        <v>78</v>
      </c>
      <c r="C47" s="1" t="s">
        <v>75</v>
      </c>
      <c r="D47" s="1" t="s">
        <v>84</v>
      </c>
      <c r="E47" s="1" t="s">
        <v>135</v>
      </c>
      <c r="F47" s="1"/>
      <c r="G47" s="1"/>
      <c r="H47" s="1"/>
      <c r="I47" s="1"/>
      <c r="J47" s="123">
        <f>VLOOKUP(E47,'C'!P:Q,2,FALSE)</f>
        <v>3</v>
      </c>
    </row>
    <row r="48" spans="1:10" hidden="1" x14ac:dyDescent="0.35">
      <c r="A48" s="202" t="s">
        <v>83</v>
      </c>
      <c r="B48" s="15" t="s">
        <v>79</v>
      </c>
      <c r="C48" s="1" t="s">
        <v>75</v>
      </c>
      <c r="D48" s="1" t="s">
        <v>84</v>
      </c>
      <c r="E48" s="1" t="s">
        <v>135</v>
      </c>
      <c r="F48" s="1"/>
      <c r="G48" s="1"/>
      <c r="H48" s="1"/>
      <c r="I48" s="1"/>
      <c r="J48" s="123">
        <f>VLOOKUP(E48,'C'!P:Q,2,FALSE)</f>
        <v>3</v>
      </c>
    </row>
    <row r="49" spans="1:10" hidden="1" x14ac:dyDescent="0.35">
      <c r="A49" s="202" t="s">
        <v>83</v>
      </c>
      <c r="B49" s="15" t="s">
        <v>80</v>
      </c>
      <c r="C49" s="1" t="s">
        <v>75</v>
      </c>
      <c r="D49" s="1" t="s">
        <v>84</v>
      </c>
      <c r="E49" s="1" t="s">
        <v>135</v>
      </c>
      <c r="F49" s="1"/>
      <c r="G49" s="1"/>
      <c r="H49" s="1"/>
      <c r="I49" s="1"/>
      <c r="J49" s="123">
        <f>VLOOKUP(E49,'C'!P:Q,2,FALSE)</f>
        <v>3</v>
      </c>
    </row>
    <row r="50" spans="1:10" x14ac:dyDescent="0.35">
      <c r="A50" s="218" t="s">
        <v>73</v>
      </c>
      <c r="B50" s="3" t="s">
        <v>74</v>
      </c>
      <c r="C50" s="1" t="s">
        <v>75</v>
      </c>
      <c r="D50" s="1">
        <v>5</v>
      </c>
      <c r="E50" s="1" t="s">
        <v>134</v>
      </c>
      <c r="F50" s="14"/>
      <c r="G50" s="14"/>
      <c r="H50" s="109"/>
      <c r="I50" s="14"/>
      <c r="J50" s="123">
        <f>VLOOKUP(E50,'C'!P:Q,2,FALSE)</f>
        <v>4</v>
      </c>
    </row>
    <row r="51" spans="1:10" x14ac:dyDescent="0.35">
      <c r="A51" s="218" t="s">
        <v>73</v>
      </c>
      <c r="B51" s="3" t="s">
        <v>76</v>
      </c>
      <c r="C51" s="1" t="s">
        <v>75</v>
      </c>
      <c r="D51" s="1">
        <v>5</v>
      </c>
      <c r="E51" s="1" t="s">
        <v>134</v>
      </c>
      <c r="F51" s="14"/>
      <c r="G51" s="14"/>
      <c r="H51" s="109"/>
      <c r="I51" s="14"/>
      <c r="J51" s="123">
        <f>VLOOKUP(E51,'C'!P:Q,2,FALSE)</f>
        <v>4</v>
      </c>
    </row>
    <row r="52" spans="1:10" x14ac:dyDescent="0.35">
      <c r="A52" s="218" t="s">
        <v>73</v>
      </c>
      <c r="B52" s="3" t="s">
        <v>77</v>
      </c>
      <c r="C52" s="1" t="s">
        <v>75</v>
      </c>
      <c r="D52" s="1">
        <v>5</v>
      </c>
      <c r="E52" s="1" t="s">
        <v>134</v>
      </c>
      <c r="F52" s="14"/>
      <c r="G52" s="14"/>
      <c r="H52" s="109"/>
      <c r="I52" s="14"/>
      <c r="J52" s="123">
        <f>VLOOKUP(E52,'C'!P:Q,2,FALSE)</f>
        <v>4</v>
      </c>
    </row>
    <row r="53" spans="1:10" x14ac:dyDescent="0.35">
      <c r="A53" s="218" t="s">
        <v>73</v>
      </c>
      <c r="B53" s="3" t="s">
        <v>78</v>
      </c>
      <c r="C53" s="1" t="s">
        <v>75</v>
      </c>
      <c r="D53" s="1">
        <v>5</v>
      </c>
      <c r="E53" s="1" t="s">
        <v>134</v>
      </c>
      <c r="F53" s="14"/>
      <c r="G53" s="14"/>
      <c r="H53" s="109"/>
      <c r="I53" s="14"/>
      <c r="J53" s="123">
        <f>VLOOKUP(E53,'C'!P:Q,2,FALSE)</f>
        <v>4</v>
      </c>
    </row>
    <row r="54" spans="1:10" x14ac:dyDescent="0.35">
      <c r="A54" s="218" t="s">
        <v>73</v>
      </c>
      <c r="B54" s="3" t="s">
        <v>79</v>
      </c>
      <c r="C54" s="1" t="s">
        <v>75</v>
      </c>
      <c r="D54" s="1">
        <v>5</v>
      </c>
      <c r="E54" s="1" t="s">
        <v>134</v>
      </c>
      <c r="F54" s="14"/>
      <c r="G54" s="14"/>
      <c r="H54" s="109"/>
      <c r="I54" s="14"/>
      <c r="J54" s="123">
        <f>VLOOKUP(E54,'C'!P:Q,2,FALSE)</f>
        <v>4</v>
      </c>
    </row>
    <row r="55" spans="1:10" x14ac:dyDescent="0.35">
      <c r="A55" s="218" t="s">
        <v>73</v>
      </c>
      <c r="B55" s="3" t="s">
        <v>80</v>
      </c>
      <c r="C55" s="1" t="s">
        <v>75</v>
      </c>
      <c r="D55" s="1">
        <v>5</v>
      </c>
      <c r="E55" s="1" t="s">
        <v>134</v>
      </c>
      <c r="F55" s="27">
        <v>6</v>
      </c>
      <c r="G55" s="27">
        <v>5</v>
      </c>
      <c r="H55" s="109"/>
      <c r="I55" s="27"/>
      <c r="J55" s="123">
        <f>VLOOKUP(E55,'C'!P:Q,2,FALSE)</f>
        <v>4</v>
      </c>
    </row>
    <row r="56" spans="1:10" hidden="1" x14ac:dyDescent="0.35">
      <c r="A56" s="218" t="s">
        <v>81</v>
      </c>
      <c r="B56" s="3" t="s">
        <v>76</v>
      </c>
      <c r="C56" s="91" t="s">
        <v>75</v>
      </c>
      <c r="D56" s="91">
        <v>5</v>
      </c>
      <c r="E56" s="1" t="s">
        <v>134</v>
      </c>
      <c r="F56" s="14"/>
      <c r="G56" s="14"/>
      <c r="H56" s="109"/>
      <c r="I56" s="14"/>
      <c r="J56" s="123">
        <f>VLOOKUP(E56,'C'!P:Q,2,FALSE)</f>
        <v>4</v>
      </c>
    </row>
    <row r="57" spans="1:10" hidden="1" x14ac:dyDescent="0.35">
      <c r="A57" s="218" t="s">
        <v>81</v>
      </c>
      <c r="B57" s="3" t="s">
        <v>74</v>
      </c>
      <c r="C57" s="1" t="s">
        <v>75</v>
      </c>
      <c r="D57" s="1">
        <v>5</v>
      </c>
      <c r="E57" s="1" t="s">
        <v>134</v>
      </c>
      <c r="F57" s="14"/>
      <c r="G57" s="14"/>
      <c r="H57" s="109"/>
      <c r="I57" s="14"/>
      <c r="J57" s="123">
        <f>VLOOKUP(E57,'C'!P:Q,2,FALSE)</f>
        <v>4</v>
      </c>
    </row>
    <row r="58" spans="1:10" hidden="1" x14ac:dyDescent="0.35">
      <c r="A58" s="218" t="s">
        <v>81</v>
      </c>
      <c r="B58" s="3" t="s">
        <v>78</v>
      </c>
      <c r="C58" s="1" t="s">
        <v>75</v>
      </c>
      <c r="D58" s="1">
        <v>5</v>
      </c>
      <c r="E58" s="1" t="s">
        <v>134</v>
      </c>
      <c r="F58" s="14"/>
      <c r="G58" s="14"/>
      <c r="H58" s="109"/>
      <c r="I58" s="14"/>
      <c r="J58" s="123">
        <f>VLOOKUP(E58,'C'!P:Q,2,FALSE)</f>
        <v>4</v>
      </c>
    </row>
    <row r="59" spans="1:10" hidden="1" x14ac:dyDescent="0.35">
      <c r="A59" s="218" t="s">
        <v>81</v>
      </c>
      <c r="B59" s="3" t="s">
        <v>77</v>
      </c>
      <c r="C59" s="1" t="s">
        <v>75</v>
      </c>
      <c r="D59" s="1">
        <v>5</v>
      </c>
      <c r="E59" s="1" t="s">
        <v>134</v>
      </c>
      <c r="F59" s="14"/>
      <c r="G59" s="14"/>
      <c r="H59" s="109"/>
      <c r="I59" s="14"/>
      <c r="J59" s="123">
        <f>VLOOKUP(E59,'C'!P:Q,2,FALSE)</f>
        <v>4</v>
      </c>
    </row>
    <row r="60" spans="1:10" hidden="1" x14ac:dyDescent="0.35">
      <c r="A60" s="218" t="s">
        <v>81</v>
      </c>
      <c r="B60" s="3" t="s">
        <v>79</v>
      </c>
      <c r="C60" s="1" t="s">
        <v>75</v>
      </c>
      <c r="D60" s="1">
        <v>5</v>
      </c>
      <c r="E60" s="1" t="s">
        <v>134</v>
      </c>
      <c r="F60" s="14"/>
      <c r="G60" s="14"/>
      <c r="H60" s="109"/>
      <c r="I60" s="14"/>
      <c r="J60" s="123">
        <f>VLOOKUP(E60,'C'!P:Q,2,FALSE)</f>
        <v>4</v>
      </c>
    </row>
    <row r="61" spans="1:10" hidden="1" x14ac:dyDescent="0.35">
      <c r="A61" s="218" t="s">
        <v>81</v>
      </c>
      <c r="B61" s="3" t="s">
        <v>80</v>
      </c>
      <c r="C61" s="1" t="s">
        <v>75</v>
      </c>
      <c r="D61" s="1">
        <v>5</v>
      </c>
      <c r="E61" s="1" t="s">
        <v>134</v>
      </c>
      <c r="F61" s="366">
        <v>8.8000000000000007</v>
      </c>
      <c r="G61" s="366">
        <v>8.3000000000000007</v>
      </c>
      <c r="H61" s="109"/>
      <c r="I61" s="27"/>
      <c r="J61" s="123">
        <f>VLOOKUP(E61,'C'!P:Q,2,FALSE)</f>
        <v>4</v>
      </c>
    </row>
    <row r="62" spans="1:10" hidden="1" x14ac:dyDescent="0.35">
      <c r="A62" s="202" t="s">
        <v>82</v>
      </c>
      <c r="B62" s="15" t="s">
        <v>74</v>
      </c>
      <c r="C62" s="91" t="s">
        <v>75</v>
      </c>
      <c r="D62" s="91">
        <v>5</v>
      </c>
      <c r="E62" s="1" t="s">
        <v>134</v>
      </c>
      <c r="F62" s="14"/>
      <c r="G62" s="14"/>
      <c r="H62" s="109"/>
      <c r="I62" s="14"/>
      <c r="J62" s="123">
        <f>VLOOKUP(E62,'C'!P:Q,2,FALSE)</f>
        <v>4</v>
      </c>
    </row>
    <row r="63" spans="1:10" hidden="1" x14ac:dyDescent="0.35">
      <c r="A63" s="202" t="s">
        <v>82</v>
      </c>
      <c r="B63" s="15" t="s">
        <v>76</v>
      </c>
      <c r="C63" s="1" t="s">
        <v>75</v>
      </c>
      <c r="D63" s="1">
        <v>5</v>
      </c>
      <c r="E63" s="1" t="s">
        <v>134</v>
      </c>
      <c r="F63" s="14"/>
      <c r="G63" s="14"/>
      <c r="H63" s="109"/>
      <c r="I63" s="14"/>
      <c r="J63" s="123">
        <f>VLOOKUP(E63,'C'!P:Q,2,FALSE)</f>
        <v>4</v>
      </c>
    </row>
    <row r="64" spans="1:10" hidden="1" x14ac:dyDescent="0.35">
      <c r="A64" s="202" t="s">
        <v>82</v>
      </c>
      <c r="B64" s="15" t="s">
        <v>77</v>
      </c>
      <c r="C64" s="1" t="s">
        <v>75</v>
      </c>
      <c r="D64" s="1">
        <v>5</v>
      </c>
      <c r="E64" s="1" t="s">
        <v>134</v>
      </c>
      <c r="F64" s="14"/>
      <c r="G64" s="14"/>
      <c r="H64" s="109"/>
      <c r="I64" s="14"/>
      <c r="J64" s="123">
        <f>VLOOKUP(E64,'C'!P:Q,2,FALSE)</f>
        <v>4</v>
      </c>
    </row>
    <row r="65" spans="1:10" hidden="1" x14ac:dyDescent="0.35">
      <c r="A65" s="202" t="s">
        <v>82</v>
      </c>
      <c r="B65" s="15" t="s">
        <v>78</v>
      </c>
      <c r="C65" s="1" t="s">
        <v>75</v>
      </c>
      <c r="D65" s="1">
        <v>5</v>
      </c>
      <c r="E65" s="1" t="s">
        <v>134</v>
      </c>
      <c r="F65" s="14"/>
      <c r="G65" s="14"/>
      <c r="H65" s="109"/>
      <c r="I65" s="14"/>
      <c r="J65" s="123">
        <f>VLOOKUP(E65,'C'!P:Q,2,FALSE)</f>
        <v>4</v>
      </c>
    </row>
    <row r="66" spans="1:10" hidden="1" x14ac:dyDescent="0.35">
      <c r="A66" s="202" t="s">
        <v>82</v>
      </c>
      <c r="B66" s="15" t="s">
        <v>79</v>
      </c>
      <c r="C66" s="1" t="s">
        <v>75</v>
      </c>
      <c r="D66" s="1">
        <v>5</v>
      </c>
      <c r="E66" s="1" t="s">
        <v>134</v>
      </c>
      <c r="F66" s="14"/>
      <c r="G66" s="14"/>
      <c r="H66" s="109"/>
      <c r="I66" s="14"/>
      <c r="J66" s="123">
        <f>VLOOKUP(E66,'C'!P:Q,2,FALSE)</f>
        <v>4</v>
      </c>
    </row>
    <row r="67" spans="1:10" hidden="1" x14ac:dyDescent="0.35">
      <c r="A67" s="202" t="s">
        <v>82</v>
      </c>
      <c r="B67" s="15" t="s">
        <v>80</v>
      </c>
      <c r="C67" s="1" t="s">
        <v>75</v>
      </c>
      <c r="D67" s="1">
        <v>5</v>
      </c>
      <c r="E67" s="1" t="s">
        <v>134</v>
      </c>
      <c r="F67" s="14"/>
      <c r="G67" s="14"/>
      <c r="H67" s="109"/>
      <c r="I67" s="14"/>
      <c r="J67" s="123">
        <f>VLOOKUP(E67,'C'!P:Q,2,FALSE)</f>
        <v>4</v>
      </c>
    </row>
    <row r="68" spans="1:10" hidden="1" x14ac:dyDescent="0.35">
      <c r="A68" s="202" t="s">
        <v>83</v>
      </c>
      <c r="B68" s="15" t="s">
        <v>74</v>
      </c>
      <c r="C68" s="91" t="s">
        <v>75</v>
      </c>
      <c r="D68" s="91" t="s">
        <v>84</v>
      </c>
      <c r="E68" s="1" t="s">
        <v>134</v>
      </c>
      <c r="F68" s="14"/>
      <c r="G68" s="14"/>
      <c r="H68" s="109"/>
      <c r="I68" s="14"/>
      <c r="J68" s="123">
        <f>VLOOKUP(E68,'C'!P:Q,2,FALSE)</f>
        <v>4</v>
      </c>
    </row>
    <row r="69" spans="1:10" hidden="1" x14ac:dyDescent="0.35">
      <c r="A69" s="202" t="s">
        <v>83</v>
      </c>
      <c r="B69" s="15" t="s">
        <v>76</v>
      </c>
      <c r="C69" s="1" t="s">
        <v>75</v>
      </c>
      <c r="D69" s="1" t="s">
        <v>84</v>
      </c>
      <c r="E69" s="1" t="s">
        <v>134</v>
      </c>
      <c r="F69" s="14"/>
      <c r="G69" s="14"/>
      <c r="H69" s="109"/>
      <c r="I69" s="14"/>
      <c r="J69" s="123">
        <f>VLOOKUP(E69,'C'!P:Q,2,FALSE)</f>
        <v>4</v>
      </c>
    </row>
    <row r="70" spans="1:10" hidden="1" x14ac:dyDescent="0.35">
      <c r="A70" s="202" t="s">
        <v>83</v>
      </c>
      <c r="B70" s="15" t="s">
        <v>77</v>
      </c>
      <c r="C70" s="1" t="s">
        <v>75</v>
      </c>
      <c r="D70" s="1" t="s">
        <v>84</v>
      </c>
      <c r="E70" s="1" t="s">
        <v>134</v>
      </c>
      <c r="F70" s="14"/>
      <c r="G70" s="14"/>
      <c r="H70" s="109"/>
      <c r="I70" s="14"/>
      <c r="J70" s="123">
        <f>VLOOKUP(E70,'C'!P:Q,2,FALSE)</f>
        <v>4</v>
      </c>
    </row>
    <row r="71" spans="1:10" hidden="1" x14ac:dyDescent="0.35">
      <c r="A71" s="202" t="s">
        <v>83</v>
      </c>
      <c r="B71" s="15" t="s">
        <v>78</v>
      </c>
      <c r="C71" s="1" t="s">
        <v>75</v>
      </c>
      <c r="D71" s="1" t="s">
        <v>84</v>
      </c>
      <c r="E71" s="1" t="s">
        <v>134</v>
      </c>
      <c r="F71" s="14"/>
      <c r="G71" s="14"/>
      <c r="H71" s="109"/>
      <c r="I71" s="14"/>
      <c r="J71" s="123">
        <f>VLOOKUP(E71,'C'!P:Q,2,FALSE)</f>
        <v>4</v>
      </c>
    </row>
    <row r="72" spans="1:10" hidden="1" x14ac:dyDescent="0.35">
      <c r="A72" s="202" t="s">
        <v>83</v>
      </c>
      <c r="B72" s="15" t="s">
        <v>79</v>
      </c>
      <c r="C72" s="1" t="s">
        <v>75</v>
      </c>
      <c r="D72" s="1" t="s">
        <v>84</v>
      </c>
      <c r="E72" s="1" t="s">
        <v>134</v>
      </c>
      <c r="F72" s="14"/>
      <c r="G72" s="14"/>
      <c r="H72" s="109"/>
      <c r="I72" s="14"/>
      <c r="J72" s="123">
        <f>VLOOKUP(E72,'C'!P:Q,2,FALSE)</f>
        <v>4</v>
      </c>
    </row>
    <row r="73" spans="1:10" hidden="1" x14ac:dyDescent="0.35">
      <c r="A73" s="202" t="s">
        <v>83</v>
      </c>
      <c r="B73" s="15" t="s">
        <v>80</v>
      </c>
      <c r="C73" s="1" t="s">
        <v>75</v>
      </c>
      <c r="D73" s="1" t="s">
        <v>84</v>
      </c>
      <c r="E73" s="1" t="s">
        <v>134</v>
      </c>
      <c r="F73" s="105">
        <v>9.5</v>
      </c>
      <c r="G73" s="105">
        <v>9</v>
      </c>
      <c r="H73" s="109"/>
      <c r="I73" s="105"/>
      <c r="J73" s="123">
        <f>VLOOKUP(E73,'C'!P:Q,2,FALSE)</f>
        <v>4</v>
      </c>
    </row>
    <row r="74" spans="1:10" x14ac:dyDescent="0.35">
      <c r="A74" s="218" t="s">
        <v>73</v>
      </c>
      <c r="B74" s="3" t="s">
        <v>74</v>
      </c>
      <c r="C74" s="1" t="s">
        <v>75</v>
      </c>
      <c r="D74" s="1">
        <v>5</v>
      </c>
      <c r="E74" s="1" t="s">
        <v>307</v>
      </c>
      <c r="F74" s="14"/>
      <c r="G74" s="14"/>
      <c r="H74" s="14"/>
      <c r="I74" s="14"/>
      <c r="J74" s="123">
        <f>VLOOKUP(E74,'C'!P:Q,2,FALSE)</f>
        <v>5</v>
      </c>
    </row>
    <row r="75" spans="1:10" x14ac:dyDescent="0.35">
      <c r="A75" s="218" t="s">
        <v>73</v>
      </c>
      <c r="B75" s="3" t="s">
        <v>76</v>
      </c>
      <c r="C75" s="1" t="s">
        <v>75</v>
      </c>
      <c r="D75" s="1">
        <v>5</v>
      </c>
      <c r="E75" s="1" t="s">
        <v>307</v>
      </c>
      <c r="F75" s="14"/>
      <c r="G75" s="14"/>
      <c r="H75" s="14"/>
      <c r="I75" s="14"/>
      <c r="J75" s="123">
        <f>VLOOKUP(E75,'C'!P:Q,2,FALSE)</f>
        <v>5</v>
      </c>
    </row>
    <row r="76" spans="1:10" x14ac:dyDescent="0.35">
      <c r="A76" s="218" t="s">
        <v>73</v>
      </c>
      <c r="B76" s="3" t="s">
        <v>77</v>
      </c>
      <c r="C76" s="1" t="s">
        <v>75</v>
      </c>
      <c r="D76" s="1">
        <v>5</v>
      </c>
      <c r="E76" s="1" t="s">
        <v>307</v>
      </c>
      <c r="F76" s="14"/>
      <c r="G76" s="14"/>
      <c r="H76" s="14"/>
      <c r="I76" s="14"/>
      <c r="J76" s="123">
        <f>VLOOKUP(E76,'C'!P:Q,2,FALSE)</f>
        <v>5</v>
      </c>
    </row>
    <row r="77" spans="1:10" x14ac:dyDescent="0.35">
      <c r="A77" s="218" t="s">
        <v>73</v>
      </c>
      <c r="B77" s="3" t="s">
        <v>78</v>
      </c>
      <c r="C77" s="1" t="s">
        <v>75</v>
      </c>
      <c r="D77" s="1">
        <v>5</v>
      </c>
      <c r="E77" s="1" t="s">
        <v>307</v>
      </c>
      <c r="F77" s="14"/>
      <c r="G77" s="14"/>
      <c r="H77" s="14"/>
      <c r="I77" s="14"/>
      <c r="J77" s="123">
        <f>VLOOKUP(E77,'C'!P:Q,2,FALSE)</f>
        <v>5</v>
      </c>
    </row>
    <row r="78" spans="1:10" x14ac:dyDescent="0.35">
      <c r="A78" s="218" t="s">
        <v>73</v>
      </c>
      <c r="B78" s="3" t="s">
        <v>79</v>
      </c>
      <c r="C78" s="1" t="s">
        <v>75</v>
      </c>
      <c r="D78" s="1">
        <v>5</v>
      </c>
      <c r="E78" s="1" t="s">
        <v>307</v>
      </c>
      <c r="F78" s="14"/>
      <c r="G78" s="14"/>
      <c r="H78" s="14"/>
      <c r="I78" s="14"/>
      <c r="J78" s="123">
        <f>VLOOKUP(E78,'C'!P:Q,2,FALSE)</f>
        <v>5</v>
      </c>
    </row>
    <row r="79" spans="1:10" x14ac:dyDescent="0.35">
      <c r="A79" s="218" t="s">
        <v>73</v>
      </c>
      <c r="B79" s="3" t="s">
        <v>80</v>
      </c>
      <c r="C79" s="1" t="s">
        <v>75</v>
      </c>
      <c r="D79" s="1">
        <v>5</v>
      </c>
      <c r="E79" s="1" t="s">
        <v>307</v>
      </c>
      <c r="F79" s="27"/>
      <c r="G79" s="27"/>
      <c r="H79" s="27">
        <v>7</v>
      </c>
      <c r="I79" s="27">
        <v>8.5</v>
      </c>
      <c r="J79" s="123">
        <f>VLOOKUP(E79,'C'!P:Q,2,FALSE)</f>
        <v>5</v>
      </c>
    </row>
    <row r="80" spans="1:10" hidden="1" x14ac:dyDescent="0.35">
      <c r="A80" s="218" t="s">
        <v>81</v>
      </c>
      <c r="B80" s="3" t="s">
        <v>76</v>
      </c>
      <c r="C80" s="91" t="s">
        <v>75</v>
      </c>
      <c r="D80" s="91">
        <v>5</v>
      </c>
      <c r="E80" s="1" t="s">
        <v>307</v>
      </c>
      <c r="F80" s="14"/>
      <c r="G80" s="14"/>
      <c r="H80" s="14"/>
      <c r="I80" s="14"/>
      <c r="J80" s="123">
        <f>VLOOKUP(E80,'C'!P:Q,2,FALSE)</f>
        <v>5</v>
      </c>
    </row>
    <row r="81" spans="1:10" hidden="1" x14ac:dyDescent="0.35">
      <c r="A81" s="218" t="s">
        <v>81</v>
      </c>
      <c r="B81" s="3" t="s">
        <v>74</v>
      </c>
      <c r="C81" s="1" t="s">
        <v>75</v>
      </c>
      <c r="D81" s="1">
        <v>5</v>
      </c>
      <c r="E81" s="1" t="s">
        <v>307</v>
      </c>
      <c r="F81" s="14"/>
      <c r="G81" s="14"/>
      <c r="H81" s="14"/>
      <c r="I81" s="14"/>
      <c r="J81" s="123">
        <f>VLOOKUP(E81,'C'!P:Q,2,FALSE)</f>
        <v>5</v>
      </c>
    </row>
    <row r="82" spans="1:10" hidden="1" x14ac:dyDescent="0.35">
      <c r="A82" s="218" t="s">
        <v>81</v>
      </c>
      <c r="B82" s="3" t="s">
        <v>78</v>
      </c>
      <c r="C82" s="1" t="s">
        <v>75</v>
      </c>
      <c r="D82" s="1">
        <v>5</v>
      </c>
      <c r="E82" s="1" t="s">
        <v>307</v>
      </c>
      <c r="F82" s="14"/>
      <c r="G82" s="14"/>
      <c r="H82" s="14"/>
      <c r="I82" s="14"/>
      <c r="J82" s="123">
        <f>VLOOKUP(E82,'C'!P:Q,2,FALSE)</f>
        <v>5</v>
      </c>
    </row>
    <row r="83" spans="1:10" hidden="1" x14ac:dyDescent="0.35">
      <c r="A83" s="218" t="s">
        <v>81</v>
      </c>
      <c r="B83" s="3" t="s">
        <v>77</v>
      </c>
      <c r="C83" s="1" t="s">
        <v>75</v>
      </c>
      <c r="D83" s="1">
        <v>5</v>
      </c>
      <c r="E83" s="1" t="s">
        <v>307</v>
      </c>
      <c r="F83" s="14"/>
      <c r="G83" s="14"/>
      <c r="H83" s="14"/>
      <c r="I83" s="14"/>
      <c r="J83" s="123">
        <f>VLOOKUP(E83,'C'!P:Q,2,FALSE)</f>
        <v>5</v>
      </c>
    </row>
    <row r="84" spans="1:10" hidden="1" x14ac:dyDescent="0.35">
      <c r="A84" s="218" t="s">
        <v>81</v>
      </c>
      <c r="B84" s="3" t="s">
        <v>79</v>
      </c>
      <c r="C84" s="1" t="s">
        <v>75</v>
      </c>
      <c r="D84" s="1">
        <v>5</v>
      </c>
      <c r="E84" s="1" t="s">
        <v>307</v>
      </c>
      <c r="F84" s="14"/>
      <c r="G84" s="14"/>
      <c r="H84" s="14"/>
      <c r="I84" s="14"/>
      <c r="J84" s="123">
        <f>VLOOKUP(E84,'C'!P:Q,2,FALSE)</f>
        <v>5</v>
      </c>
    </row>
    <row r="85" spans="1:10" hidden="1" x14ac:dyDescent="0.35">
      <c r="A85" s="218" t="s">
        <v>81</v>
      </c>
      <c r="B85" s="3" t="s">
        <v>80</v>
      </c>
      <c r="C85" s="1" t="s">
        <v>75</v>
      </c>
      <c r="D85" s="1">
        <v>5</v>
      </c>
      <c r="E85" s="1" t="s">
        <v>307</v>
      </c>
      <c r="F85" s="27"/>
      <c r="G85" s="27"/>
      <c r="H85" s="366">
        <v>20</v>
      </c>
      <c r="I85" s="366">
        <v>22</v>
      </c>
      <c r="J85" s="123">
        <f>VLOOKUP(E85,'C'!P:Q,2,FALSE)</f>
        <v>5</v>
      </c>
    </row>
    <row r="86" spans="1:10" hidden="1" x14ac:dyDescent="0.35">
      <c r="A86" s="202" t="s">
        <v>82</v>
      </c>
      <c r="B86" s="15" t="s">
        <v>74</v>
      </c>
      <c r="C86" s="91" t="s">
        <v>75</v>
      </c>
      <c r="D86" s="91">
        <v>5</v>
      </c>
      <c r="E86" s="1" t="s">
        <v>307</v>
      </c>
      <c r="F86" s="14"/>
      <c r="G86" s="14"/>
      <c r="H86" s="14"/>
      <c r="I86" s="14"/>
      <c r="J86" s="123">
        <f>VLOOKUP(E86,'C'!P:Q,2,FALSE)</f>
        <v>5</v>
      </c>
    </row>
    <row r="87" spans="1:10" hidden="1" x14ac:dyDescent="0.35">
      <c r="A87" s="202" t="s">
        <v>82</v>
      </c>
      <c r="B87" s="15" t="s">
        <v>76</v>
      </c>
      <c r="C87" s="1" t="s">
        <v>75</v>
      </c>
      <c r="D87" s="1">
        <v>5</v>
      </c>
      <c r="E87" s="1" t="s">
        <v>307</v>
      </c>
      <c r="F87" s="14"/>
      <c r="G87" s="14"/>
      <c r="H87" s="14"/>
      <c r="I87" s="14"/>
      <c r="J87" s="123">
        <f>VLOOKUP(E87,'C'!P:Q,2,FALSE)</f>
        <v>5</v>
      </c>
    </row>
    <row r="88" spans="1:10" hidden="1" x14ac:dyDescent="0.35">
      <c r="A88" s="202" t="s">
        <v>82</v>
      </c>
      <c r="B88" s="15" t="s">
        <v>77</v>
      </c>
      <c r="C88" s="1" t="s">
        <v>75</v>
      </c>
      <c r="D88" s="1">
        <v>5</v>
      </c>
      <c r="E88" s="1" t="s">
        <v>307</v>
      </c>
      <c r="F88" s="14"/>
      <c r="G88" s="14"/>
      <c r="H88" s="14"/>
      <c r="I88" s="14"/>
      <c r="J88" s="123">
        <f>VLOOKUP(E88,'C'!P:Q,2,FALSE)</f>
        <v>5</v>
      </c>
    </row>
    <row r="89" spans="1:10" hidden="1" x14ac:dyDescent="0.35">
      <c r="A89" s="202" t="s">
        <v>82</v>
      </c>
      <c r="B89" s="15" t="s">
        <v>78</v>
      </c>
      <c r="C89" s="1" t="s">
        <v>75</v>
      </c>
      <c r="D89" s="1">
        <v>5</v>
      </c>
      <c r="E89" s="1" t="s">
        <v>307</v>
      </c>
      <c r="F89" s="14"/>
      <c r="G89" s="14"/>
      <c r="H89" s="14"/>
      <c r="I89" s="14"/>
      <c r="J89" s="123">
        <f>VLOOKUP(E89,'C'!P:Q,2,FALSE)</f>
        <v>5</v>
      </c>
    </row>
    <row r="90" spans="1:10" hidden="1" x14ac:dyDescent="0.35">
      <c r="A90" s="202" t="s">
        <v>82</v>
      </c>
      <c r="B90" s="15" t="s">
        <v>79</v>
      </c>
      <c r="C90" s="1" t="s">
        <v>75</v>
      </c>
      <c r="D90" s="1">
        <v>5</v>
      </c>
      <c r="E90" s="1" t="s">
        <v>307</v>
      </c>
      <c r="F90" s="14"/>
      <c r="G90" s="14"/>
      <c r="H90" s="14"/>
      <c r="I90" s="14"/>
      <c r="J90" s="123">
        <f>VLOOKUP(E90,'C'!P:Q,2,FALSE)</f>
        <v>5</v>
      </c>
    </row>
    <row r="91" spans="1:10" hidden="1" x14ac:dyDescent="0.35">
      <c r="A91" s="202" t="s">
        <v>82</v>
      </c>
      <c r="B91" s="15" t="s">
        <v>80</v>
      </c>
      <c r="C91" s="1" t="s">
        <v>75</v>
      </c>
      <c r="D91" s="1">
        <v>5</v>
      </c>
      <c r="E91" s="1" t="s">
        <v>307</v>
      </c>
      <c r="F91" s="14"/>
      <c r="G91" s="14"/>
      <c r="H91" s="14">
        <v>25.4</v>
      </c>
      <c r="I91" s="14">
        <v>26.2</v>
      </c>
      <c r="J91" s="123">
        <f>VLOOKUP(E91,'C'!P:Q,2,FALSE)</f>
        <v>5</v>
      </c>
    </row>
    <row r="92" spans="1:10" hidden="1" x14ac:dyDescent="0.35">
      <c r="A92" s="202" t="s">
        <v>83</v>
      </c>
      <c r="B92" s="15" t="s">
        <v>74</v>
      </c>
      <c r="C92" s="91" t="s">
        <v>75</v>
      </c>
      <c r="D92" s="91" t="s">
        <v>84</v>
      </c>
      <c r="E92" s="1" t="s">
        <v>307</v>
      </c>
      <c r="F92" s="14"/>
      <c r="G92" s="14"/>
      <c r="H92" s="14">
        <v>25.4</v>
      </c>
      <c r="I92" s="14">
        <v>26.2</v>
      </c>
      <c r="J92" s="123">
        <f>VLOOKUP(E92,'C'!P:Q,2,FALSE)</f>
        <v>5</v>
      </c>
    </row>
    <row r="93" spans="1:10" hidden="1" x14ac:dyDescent="0.35">
      <c r="A93" s="202" t="s">
        <v>83</v>
      </c>
      <c r="B93" s="15" t="s">
        <v>76</v>
      </c>
      <c r="C93" s="1" t="s">
        <v>75</v>
      </c>
      <c r="D93" s="1" t="s">
        <v>84</v>
      </c>
      <c r="E93" s="1" t="s">
        <v>307</v>
      </c>
      <c r="F93" s="14"/>
      <c r="G93" s="14"/>
      <c r="H93" s="14">
        <v>25.4</v>
      </c>
      <c r="I93" s="14">
        <v>26.2</v>
      </c>
      <c r="J93" s="123">
        <f>VLOOKUP(E93,'C'!P:Q,2,FALSE)</f>
        <v>5</v>
      </c>
    </row>
    <row r="94" spans="1:10" hidden="1" x14ac:dyDescent="0.35">
      <c r="A94" s="202" t="s">
        <v>83</v>
      </c>
      <c r="B94" s="15" t="s">
        <v>77</v>
      </c>
      <c r="C94" s="1" t="s">
        <v>75</v>
      </c>
      <c r="D94" s="1" t="s">
        <v>84</v>
      </c>
      <c r="E94" s="1" t="s">
        <v>307</v>
      </c>
      <c r="F94" s="14"/>
      <c r="G94" s="14"/>
      <c r="H94" s="14"/>
      <c r="I94" s="14"/>
      <c r="J94" s="123">
        <f>VLOOKUP(E94,'C'!P:Q,2,FALSE)</f>
        <v>5</v>
      </c>
    </row>
    <row r="95" spans="1:10" hidden="1" x14ac:dyDescent="0.35">
      <c r="A95" s="202" t="s">
        <v>83</v>
      </c>
      <c r="B95" s="15" t="s">
        <v>78</v>
      </c>
      <c r="C95" s="1" t="s">
        <v>75</v>
      </c>
      <c r="D95" s="1" t="s">
        <v>84</v>
      </c>
      <c r="E95" s="1" t="s">
        <v>307</v>
      </c>
      <c r="F95" s="14"/>
      <c r="G95" s="14"/>
      <c r="H95" s="14"/>
      <c r="I95" s="14"/>
      <c r="J95" s="123">
        <f>VLOOKUP(E95,'C'!P:Q,2,FALSE)</f>
        <v>5</v>
      </c>
    </row>
    <row r="96" spans="1:10" hidden="1" x14ac:dyDescent="0.35">
      <c r="A96" s="202" t="s">
        <v>83</v>
      </c>
      <c r="B96" s="15" t="s">
        <v>79</v>
      </c>
      <c r="C96" s="1" t="s">
        <v>75</v>
      </c>
      <c r="D96" s="1" t="s">
        <v>84</v>
      </c>
      <c r="E96" s="1" t="s">
        <v>307</v>
      </c>
      <c r="F96" s="14"/>
      <c r="G96" s="14"/>
      <c r="H96" s="14"/>
      <c r="I96" s="14"/>
      <c r="J96" s="123">
        <f>VLOOKUP(E96,'C'!P:Q,2,FALSE)</f>
        <v>5</v>
      </c>
    </row>
    <row r="97" spans="1:10" hidden="1" x14ac:dyDescent="0.35">
      <c r="A97" s="202" t="s">
        <v>83</v>
      </c>
      <c r="B97" s="15" t="s">
        <v>80</v>
      </c>
      <c r="C97" s="1" t="s">
        <v>75</v>
      </c>
      <c r="D97" s="1" t="s">
        <v>84</v>
      </c>
      <c r="E97" s="1" t="s">
        <v>307</v>
      </c>
      <c r="F97" s="105"/>
      <c r="G97" s="105"/>
      <c r="H97" s="105">
        <v>8</v>
      </c>
      <c r="I97" s="105">
        <v>9</v>
      </c>
      <c r="J97" s="123">
        <f>VLOOKUP(E97,'C'!P:Q,2,FALSE)</f>
        <v>5</v>
      </c>
    </row>
    <row r="98" spans="1:10" x14ac:dyDescent="0.35">
      <c r="A98" s="218" t="s">
        <v>73</v>
      </c>
      <c r="B98" s="3" t="s">
        <v>74</v>
      </c>
      <c r="C98" s="1" t="s">
        <v>75</v>
      </c>
      <c r="D98" s="1">
        <v>5</v>
      </c>
      <c r="E98" s="1" t="s">
        <v>309</v>
      </c>
      <c r="F98" s="14"/>
      <c r="G98" s="14"/>
      <c r="H98" s="14"/>
      <c r="I98" s="14"/>
      <c r="J98" s="123">
        <f>VLOOKUP(E98,'C'!P:Q,2,FALSE)</f>
        <v>6</v>
      </c>
    </row>
    <row r="99" spans="1:10" x14ac:dyDescent="0.35">
      <c r="A99" s="218" t="s">
        <v>73</v>
      </c>
      <c r="B99" s="3" t="s">
        <v>76</v>
      </c>
      <c r="C99" s="1" t="s">
        <v>75</v>
      </c>
      <c r="D99" s="1">
        <v>5</v>
      </c>
      <c r="E99" s="1" t="s">
        <v>309</v>
      </c>
      <c r="F99" s="14"/>
      <c r="G99" s="14"/>
      <c r="H99" s="14"/>
      <c r="I99" s="14"/>
      <c r="J99" s="123">
        <f>VLOOKUP(E99,'C'!P:Q,2,FALSE)</f>
        <v>6</v>
      </c>
    </row>
    <row r="100" spans="1:10" x14ac:dyDescent="0.35">
      <c r="A100" s="218" t="s">
        <v>73</v>
      </c>
      <c r="B100" s="3" t="s">
        <v>77</v>
      </c>
      <c r="C100" s="1" t="s">
        <v>75</v>
      </c>
      <c r="D100" s="1">
        <v>5</v>
      </c>
      <c r="E100" s="1" t="s">
        <v>309</v>
      </c>
      <c r="F100" s="14"/>
      <c r="G100" s="14"/>
      <c r="H100" s="14"/>
      <c r="I100" s="14"/>
      <c r="J100" s="123">
        <f>VLOOKUP(E100,'C'!P:Q,2,FALSE)</f>
        <v>6</v>
      </c>
    </row>
    <row r="101" spans="1:10" x14ac:dyDescent="0.35">
      <c r="A101" s="218" t="s">
        <v>73</v>
      </c>
      <c r="B101" s="3" t="s">
        <v>78</v>
      </c>
      <c r="C101" s="1" t="s">
        <v>75</v>
      </c>
      <c r="D101" s="1">
        <v>5</v>
      </c>
      <c r="E101" s="1" t="s">
        <v>309</v>
      </c>
      <c r="F101" s="14"/>
      <c r="G101" s="14"/>
      <c r="H101" s="14"/>
      <c r="I101" s="14"/>
      <c r="J101" s="123">
        <f>VLOOKUP(E101,'C'!P:Q,2,FALSE)</f>
        <v>6</v>
      </c>
    </row>
    <row r="102" spans="1:10" x14ac:dyDescent="0.35">
      <c r="A102" s="218" t="s">
        <v>73</v>
      </c>
      <c r="B102" s="3" t="s">
        <v>79</v>
      </c>
      <c r="C102" s="1" t="s">
        <v>75</v>
      </c>
      <c r="D102" s="1">
        <v>5</v>
      </c>
      <c r="E102" s="1" t="s">
        <v>309</v>
      </c>
      <c r="F102" s="14"/>
      <c r="G102" s="14"/>
      <c r="H102" s="14"/>
      <c r="I102" s="14"/>
      <c r="J102" s="123">
        <f>VLOOKUP(E102,'C'!P:Q,2,FALSE)</f>
        <v>6</v>
      </c>
    </row>
    <row r="103" spans="1:10" x14ac:dyDescent="0.35">
      <c r="A103" s="218" t="s">
        <v>73</v>
      </c>
      <c r="B103" s="3" t="s">
        <v>80</v>
      </c>
      <c r="C103" s="1" t="s">
        <v>75</v>
      </c>
      <c r="D103" s="1">
        <v>5</v>
      </c>
      <c r="E103" s="1" t="s">
        <v>309</v>
      </c>
      <c r="F103" s="27"/>
      <c r="G103" s="27"/>
      <c r="H103" s="14">
        <v>9</v>
      </c>
      <c r="I103" s="14">
        <v>11</v>
      </c>
      <c r="J103" s="123">
        <f>VLOOKUP(E103,'C'!P:Q,2,FALSE)</f>
        <v>6</v>
      </c>
    </row>
    <row r="104" spans="1:10" hidden="1" x14ac:dyDescent="0.35">
      <c r="A104" s="218" t="s">
        <v>81</v>
      </c>
      <c r="B104" s="3" t="s">
        <v>76</v>
      </c>
      <c r="C104" s="91" t="s">
        <v>75</v>
      </c>
      <c r="D104" s="91">
        <v>5</v>
      </c>
      <c r="E104" s="1" t="s">
        <v>309</v>
      </c>
      <c r="F104" s="14"/>
      <c r="G104" s="14"/>
      <c r="H104" s="14"/>
      <c r="I104" s="14"/>
      <c r="J104" s="123">
        <f>VLOOKUP(E104,'C'!P:Q,2,FALSE)</f>
        <v>6</v>
      </c>
    </row>
    <row r="105" spans="1:10" hidden="1" x14ac:dyDescent="0.35">
      <c r="A105" s="218" t="s">
        <v>81</v>
      </c>
      <c r="B105" s="3" t="s">
        <v>74</v>
      </c>
      <c r="C105" s="1" t="s">
        <v>75</v>
      </c>
      <c r="D105" s="1">
        <v>5</v>
      </c>
      <c r="E105" s="1" t="s">
        <v>309</v>
      </c>
      <c r="F105" s="14"/>
      <c r="G105" s="14"/>
      <c r="H105" s="14"/>
      <c r="I105" s="14"/>
      <c r="J105" s="123">
        <f>VLOOKUP(E105,'C'!P:Q,2,FALSE)</f>
        <v>6</v>
      </c>
    </row>
    <row r="106" spans="1:10" hidden="1" x14ac:dyDescent="0.35">
      <c r="A106" s="218" t="s">
        <v>81</v>
      </c>
      <c r="B106" s="3" t="s">
        <v>78</v>
      </c>
      <c r="C106" s="1" t="s">
        <v>75</v>
      </c>
      <c r="D106" s="1">
        <v>5</v>
      </c>
      <c r="E106" s="1" t="s">
        <v>309</v>
      </c>
      <c r="F106" s="14"/>
      <c r="G106" s="14"/>
      <c r="H106" s="14"/>
      <c r="I106" s="14"/>
      <c r="J106" s="123">
        <f>VLOOKUP(E106,'C'!P:Q,2,FALSE)</f>
        <v>6</v>
      </c>
    </row>
    <row r="107" spans="1:10" hidden="1" x14ac:dyDescent="0.35">
      <c r="A107" s="218" t="s">
        <v>81</v>
      </c>
      <c r="B107" s="3" t="s">
        <v>77</v>
      </c>
      <c r="C107" s="1" t="s">
        <v>75</v>
      </c>
      <c r="D107" s="1">
        <v>5</v>
      </c>
      <c r="E107" s="1" t="s">
        <v>309</v>
      </c>
      <c r="F107" s="14"/>
      <c r="G107" s="14"/>
      <c r="H107" s="14"/>
      <c r="I107" s="14"/>
      <c r="J107" s="123">
        <f>VLOOKUP(E107,'C'!P:Q,2,FALSE)</f>
        <v>6</v>
      </c>
    </row>
    <row r="108" spans="1:10" hidden="1" x14ac:dyDescent="0.35">
      <c r="A108" s="218" t="s">
        <v>81</v>
      </c>
      <c r="B108" s="3" t="s">
        <v>79</v>
      </c>
      <c r="C108" s="1" t="s">
        <v>75</v>
      </c>
      <c r="D108" s="1">
        <v>5</v>
      </c>
      <c r="E108" s="1" t="s">
        <v>309</v>
      </c>
      <c r="F108" s="14"/>
      <c r="G108" s="14"/>
      <c r="H108" s="14"/>
      <c r="I108" s="14"/>
      <c r="J108" s="123">
        <f>VLOOKUP(E108,'C'!P:Q,2,FALSE)</f>
        <v>6</v>
      </c>
    </row>
    <row r="109" spans="1:10" hidden="1" x14ac:dyDescent="0.35">
      <c r="A109" s="218" t="s">
        <v>81</v>
      </c>
      <c r="B109" s="3" t="s">
        <v>80</v>
      </c>
      <c r="C109" s="1" t="s">
        <v>75</v>
      </c>
      <c r="D109" s="1">
        <v>5</v>
      </c>
      <c r="E109" s="1" t="s">
        <v>309</v>
      </c>
      <c r="F109" s="27"/>
      <c r="G109" s="27"/>
      <c r="H109" s="64">
        <v>9</v>
      </c>
      <c r="I109" s="64">
        <v>10</v>
      </c>
      <c r="J109" s="123">
        <f>VLOOKUP(E109,'C'!P:Q,2,FALSE)</f>
        <v>6</v>
      </c>
    </row>
    <row r="110" spans="1:10" hidden="1" x14ac:dyDescent="0.35">
      <c r="A110" s="202" t="s">
        <v>82</v>
      </c>
      <c r="B110" s="15" t="s">
        <v>74</v>
      </c>
      <c r="C110" s="91" t="s">
        <v>75</v>
      </c>
      <c r="D110" s="91">
        <v>5</v>
      </c>
      <c r="E110" s="1" t="s">
        <v>309</v>
      </c>
      <c r="F110" s="14"/>
      <c r="G110" s="14"/>
      <c r="H110" s="14"/>
      <c r="I110" s="14"/>
      <c r="J110" s="123">
        <f>VLOOKUP(E110,'C'!P:Q,2,FALSE)</f>
        <v>6</v>
      </c>
    </row>
    <row r="111" spans="1:10" hidden="1" x14ac:dyDescent="0.35">
      <c r="A111" s="202" t="s">
        <v>82</v>
      </c>
      <c r="B111" s="15" t="s">
        <v>76</v>
      </c>
      <c r="C111" s="1" t="s">
        <v>75</v>
      </c>
      <c r="D111" s="1">
        <v>5</v>
      </c>
      <c r="E111" s="1" t="s">
        <v>309</v>
      </c>
      <c r="F111" s="14"/>
      <c r="G111" s="14"/>
      <c r="H111" s="14"/>
      <c r="I111" s="14"/>
      <c r="J111" s="123">
        <f>VLOOKUP(E111,'C'!P:Q,2,FALSE)</f>
        <v>6</v>
      </c>
    </row>
    <row r="112" spans="1:10" hidden="1" x14ac:dyDescent="0.35">
      <c r="A112" s="202" t="s">
        <v>82</v>
      </c>
      <c r="B112" s="15" t="s">
        <v>77</v>
      </c>
      <c r="C112" s="1" t="s">
        <v>75</v>
      </c>
      <c r="D112" s="1">
        <v>5</v>
      </c>
      <c r="E112" s="1" t="s">
        <v>309</v>
      </c>
      <c r="F112" s="14"/>
      <c r="G112" s="14"/>
      <c r="H112" s="14"/>
      <c r="I112" s="14"/>
      <c r="J112" s="123">
        <f>VLOOKUP(E112,'C'!P:Q,2,FALSE)</f>
        <v>6</v>
      </c>
    </row>
    <row r="113" spans="1:10" hidden="1" x14ac:dyDescent="0.35">
      <c r="A113" s="202" t="s">
        <v>82</v>
      </c>
      <c r="B113" s="15" t="s">
        <v>78</v>
      </c>
      <c r="C113" s="1" t="s">
        <v>75</v>
      </c>
      <c r="D113" s="1">
        <v>5</v>
      </c>
      <c r="E113" s="1" t="s">
        <v>309</v>
      </c>
      <c r="F113" s="14"/>
      <c r="G113" s="14"/>
      <c r="H113" s="14"/>
      <c r="I113" s="14"/>
      <c r="J113" s="123">
        <f>VLOOKUP(E113,'C'!P:Q,2,FALSE)</f>
        <v>6</v>
      </c>
    </row>
    <row r="114" spans="1:10" hidden="1" x14ac:dyDescent="0.35">
      <c r="A114" s="202" t="s">
        <v>82</v>
      </c>
      <c r="B114" s="15" t="s">
        <v>79</v>
      </c>
      <c r="C114" s="1" t="s">
        <v>75</v>
      </c>
      <c r="D114" s="1">
        <v>5</v>
      </c>
      <c r="E114" s="1" t="s">
        <v>309</v>
      </c>
      <c r="F114" s="14"/>
      <c r="G114" s="14"/>
      <c r="H114" s="14"/>
      <c r="I114" s="14"/>
      <c r="J114" s="123">
        <f>VLOOKUP(E114,'C'!P:Q,2,FALSE)</f>
        <v>6</v>
      </c>
    </row>
    <row r="115" spans="1:10" hidden="1" x14ac:dyDescent="0.35">
      <c r="A115" s="202" t="s">
        <v>82</v>
      </c>
      <c r="B115" s="15" t="s">
        <v>80</v>
      </c>
      <c r="C115" s="1" t="s">
        <v>75</v>
      </c>
      <c r="D115" s="1">
        <v>5</v>
      </c>
      <c r="E115" s="1" t="s">
        <v>309</v>
      </c>
      <c r="F115" s="14"/>
      <c r="G115" s="14"/>
      <c r="H115" s="14">
        <v>8.8000000000000007</v>
      </c>
      <c r="I115" s="14">
        <v>9.4</v>
      </c>
      <c r="J115" s="123">
        <f>VLOOKUP(E115,'C'!P:Q,2,FALSE)</f>
        <v>6</v>
      </c>
    </row>
    <row r="116" spans="1:10" hidden="1" x14ac:dyDescent="0.35">
      <c r="A116" s="202" t="s">
        <v>83</v>
      </c>
      <c r="B116" s="15" t="s">
        <v>74</v>
      </c>
      <c r="C116" s="91" t="s">
        <v>75</v>
      </c>
      <c r="D116" s="91" t="s">
        <v>84</v>
      </c>
      <c r="E116" s="1" t="s">
        <v>309</v>
      </c>
      <c r="F116" s="14"/>
      <c r="G116" s="14"/>
      <c r="H116" s="14"/>
      <c r="I116" s="14"/>
      <c r="J116" s="123">
        <f>VLOOKUP(E116,'C'!P:Q,2,FALSE)</f>
        <v>6</v>
      </c>
    </row>
    <row r="117" spans="1:10" hidden="1" x14ac:dyDescent="0.35">
      <c r="A117" s="202" t="s">
        <v>83</v>
      </c>
      <c r="B117" s="15" t="s">
        <v>76</v>
      </c>
      <c r="C117" s="1" t="s">
        <v>75</v>
      </c>
      <c r="D117" s="1" t="s">
        <v>84</v>
      </c>
      <c r="E117" s="1" t="s">
        <v>309</v>
      </c>
      <c r="F117" s="14"/>
      <c r="G117" s="14"/>
      <c r="H117" s="14"/>
      <c r="I117" s="14"/>
      <c r="J117" s="123">
        <f>VLOOKUP(E117,'C'!P:Q,2,FALSE)</f>
        <v>6</v>
      </c>
    </row>
    <row r="118" spans="1:10" hidden="1" x14ac:dyDescent="0.35">
      <c r="A118" s="202" t="s">
        <v>83</v>
      </c>
      <c r="B118" s="15" t="s">
        <v>77</v>
      </c>
      <c r="C118" s="1" t="s">
        <v>75</v>
      </c>
      <c r="D118" s="1" t="s">
        <v>84</v>
      </c>
      <c r="E118" s="1" t="s">
        <v>309</v>
      </c>
      <c r="F118" s="14"/>
      <c r="G118" s="14"/>
      <c r="H118" s="14"/>
      <c r="I118" s="14"/>
      <c r="J118" s="123">
        <f>VLOOKUP(E118,'C'!P:Q,2,FALSE)</f>
        <v>6</v>
      </c>
    </row>
    <row r="119" spans="1:10" hidden="1" x14ac:dyDescent="0.35">
      <c r="A119" s="202" t="s">
        <v>83</v>
      </c>
      <c r="B119" s="15" t="s">
        <v>78</v>
      </c>
      <c r="C119" s="1" t="s">
        <v>75</v>
      </c>
      <c r="D119" s="1" t="s">
        <v>84</v>
      </c>
      <c r="E119" s="1" t="s">
        <v>309</v>
      </c>
      <c r="F119" s="14"/>
      <c r="G119" s="14"/>
      <c r="H119" s="14"/>
      <c r="I119" s="14"/>
      <c r="J119" s="123">
        <f>VLOOKUP(E119,'C'!P:Q,2,FALSE)</f>
        <v>6</v>
      </c>
    </row>
    <row r="120" spans="1:10" hidden="1" x14ac:dyDescent="0.35">
      <c r="A120" s="202" t="s">
        <v>83</v>
      </c>
      <c r="B120" s="15" t="s">
        <v>79</v>
      </c>
      <c r="C120" s="1" t="s">
        <v>75</v>
      </c>
      <c r="D120" s="1" t="s">
        <v>84</v>
      </c>
      <c r="E120" s="1" t="s">
        <v>309</v>
      </c>
      <c r="F120" s="14"/>
      <c r="G120" s="14"/>
      <c r="H120" s="14"/>
      <c r="I120" s="14"/>
      <c r="J120" s="123">
        <f>VLOOKUP(E120,'C'!P:Q,2,FALSE)</f>
        <v>6</v>
      </c>
    </row>
    <row r="121" spans="1:10" hidden="1" x14ac:dyDescent="0.35">
      <c r="A121" s="202" t="s">
        <v>83</v>
      </c>
      <c r="B121" s="15" t="s">
        <v>80</v>
      </c>
      <c r="C121" s="1" t="s">
        <v>75</v>
      </c>
      <c r="D121" s="1" t="s">
        <v>84</v>
      </c>
      <c r="E121" s="1" t="s">
        <v>309</v>
      </c>
      <c r="F121" s="105"/>
      <c r="G121" s="105"/>
      <c r="H121" s="14">
        <v>9</v>
      </c>
      <c r="I121" s="14">
        <v>10</v>
      </c>
      <c r="J121" s="123">
        <f>VLOOKUP(E121,'C'!P:Q,2,FALSE)</f>
        <v>6</v>
      </c>
    </row>
    <row r="122" spans="1:10" x14ac:dyDescent="0.35">
      <c r="A122" s="218" t="s">
        <v>73</v>
      </c>
      <c r="B122" s="3" t="s">
        <v>74</v>
      </c>
      <c r="C122" s="1" t="s">
        <v>75</v>
      </c>
      <c r="D122" s="1">
        <v>5</v>
      </c>
      <c r="E122" s="1" t="s">
        <v>308</v>
      </c>
      <c r="F122" s="14"/>
      <c r="G122" s="14"/>
      <c r="H122" s="14"/>
      <c r="I122" s="14"/>
      <c r="J122" s="123">
        <f>VLOOKUP(E122,'C'!P:Q,2,FALSE)</f>
        <v>7</v>
      </c>
    </row>
    <row r="123" spans="1:10" x14ac:dyDescent="0.35">
      <c r="A123" s="218" t="s">
        <v>73</v>
      </c>
      <c r="B123" s="3" t="s">
        <v>76</v>
      </c>
      <c r="C123" s="1" t="s">
        <v>75</v>
      </c>
      <c r="D123" s="1">
        <v>5</v>
      </c>
      <c r="E123" s="1" t="s">
        <v>308</v>
      </c>
      <c r="F123" s="14"/>
      <c r="G123" s="14"/>
      <c r="H123" s="14"/>
      <c r="I123" s="14"/>
      <c r="J123" s="123">
        <f>VLOOKUP(E123,'C'!P:Q,2,FALSE)</f>
        <v>7</v>
      </c>
    </row>
    <row r="124" spans="1:10" x14ac:dyDescent="0.35">
      <c r="A124" s="218" t="s">
        <v>73</v>
      </c>
      <c r="B124" s="3" t="s">
        <v>77</v>
      </c>
      <c r="C124" s="1" t="s">
        <v>75</v>
      </c>
      <c r="D124" s="1">
        <v>5</v>
      </c>
      <c r="E124" s="1" t="s">
        <v>308</v>
      </c>
      <c r="F124" s="14"/>
      <c r="G124" s="14"/>
      <c r="H124" s="14"/>
      <c r="I124" s="14"/>
      <c r="J124" s="123">
        <f>VLOOKUP(E124,'C'!P:Q,2,FALSE)</f>
        <v>7</v>
      </c>
    </row>
    <row r="125" spans="1:10" x14ac:dyDescent="0.35">
      <c r="A125" s="218" t="s">
        <v>73</v>
      </c>
      <c r="B125" s="3" t="s">
        <v>78</v>
      </c>
      <c r="C125" s="1" t="s">
        <v>75</v>
      </c>
      <c r="D125" s="1">
        <v>5</v>
      </c>
      <c r="E125" s="1" t="s">
        <v>308</v>
      </c>
      <c r="F125" s="14"/>
      <c r="G125" s="14"/>
      <c r="H125" s="14"/>
      <c r="I125" s="14"/>
      <c r="J125" s="123">
        <f>VLOOKUP(E125,'C'!P:Q,2,FALSE)</f>
        <v>7</v>
      </c>
    </row>
    <row r="126" spans="1:10" x14ac:dyDescent="0.35">
      <c r="A126" s="218" t="s">
        <v>73</v>
      </c>
      <c r="B126" s="3" t="s">
        <v>79</v>
      </c>
      <c r="C126" s="1" t="s">
        <v>75</v>
      </c>
      <c r="D126" s="1">
        <v>5</v>
      </c>
      <c r="E126" s="1" t="s">
        <v>308</v>
      </c>
      <c r="F126" s="14"/>
      <c r="G126" s="14"/>
      <c r="H126" s="14"/>
      <c r="I126" s="14"/>
      <c r="J126" s="123">
        <f>VLOOKUP(E126,'C'!P:Q,2,FALSE)</f>
        <v>7</v>
      </c>
    </row>
    <row r="127" spans="1:10" x14ac:dyDescent="0.35">
      <c r="A127" s="218" t="s">
        <v>73</v>
      </c>
      <c r="B127" s="3" t="s">
        <v>80</v>
      </c>
      <c r="C127" s="1" t="s">
        <v>75</v>
      </c>
      <c r="D127" s="1">
        <v>5</v>
      </c>
      <c r="E127" s="1" t="s">
        <v>308</v>
      </c>
      <c r="F127" s="27"/>
      <c r="G127" s="27"/>
      <c r="H127" s="27">
        <v>3</v>
      </c>
      <c r="I127" s="27">
        <v>4</v>
      </c>
      <c r="J127" s="123">
        <f>VLOOKUP(E127,'C'!P:Q,2,FALSE)</f>
        <v>7</v>
      </c>
    </row>
    <row r="128" spans="1:10" hidden="1" x14ac:dyDescent="0.35">
      <c r="A128" s="218" t="s">
        <v>81</v>
      </c>
      <c r="B128" s="3" t="s">
        <v>76</v>
      </c>
      <c r="C128" s="91" t="s">
        <v>75</v>
      </c>
      <c r="D128" s="91">
        <v>5</v>
      </c>
      <c r="E128" s="1" t="s">
        <v>308</v>
      </c>
      <c r="F128" s="14"/>
      <c r="G128" s="14"/>
      <c r="H128" s="14"/>
      <c r="I128" s="14"/>
      <c r="J128" s="123">
        <f>VLOOKUP(E128,'C'!P:Q,2,FALSE)</f>
        <v>7</v>
      </c>
    </row>
    <row r="129" spans="1:10" hidden="1" x14ac:dyDescent="0.35">
      <c r="A129" s="218" t="s">
        <v>81</v>
      </c>
      <c r="B129" s="3" t="s">
        <v>74</v>
      </c>
      <c r="C129" s="1" t="s">
        <v>75</v>
      </c>
      <c r="D129" s="1">
        <v>5</v>
      </c>
      <c r="E129" s="1" t="s">
        <v>308</v>
      </c>
      <c r="F129" s="14"/>
      <c r="G129" s="14"/>
      <c r="H129" s="14"/>
      <c r="I129" s="14"/>
      <c r="J129" s="123">
        <f>VLOOKUP(E129,'C'!P:Q,2,FALSE)</f>
        <v>7</v>
      </c>
    </row>
    <row r="130" spans="1:10" hidden="1" x14ac:dyDescent="0.35">
      <c r="A130" s="218" t="s">
        <v>81</v>
      </c>
      <c r="B130" s="3" t="s">
        <v>78</v>
      </c>
      <c r="C130" s="1" t="s">
        <v>75</v>
      </c>
      <c r="D130" s="1">
        <v>5</v>
      </c>
      <c r="E130" s="1" t="s">
        <v>308</v>
      </c>
      <c r="F130" s="14"/>
      <c r="G130" s="14"/>
      <c r="H130" s="14"/>
      <c r="I130" s="14"/>
      <c r="J130" s="123">
        <f>VLOOKUP(E130,'C'!P:Q,2,FALSE)</f>
        <v>7</v>
      </c>
    </row>
    <row r="131" spans="1:10" hidden="1" x14ac:dyDescent="0.35">
      <c r="A131" s="218" t="s">
        <v>81</v>
      </c>
      <c r="B131" s="3" t="s">
        <v>77</v>
      </c>
      <c r="C131" s="1" t="s">
        <v>75</v>
      </c>
      <c r="D131" s="1">
        <v>5</v>
      </c>
      <c r="E131" s="1" t="s">
        <v>308</v>
      </c>
      <c r="F131" s="14"/>
      <c r="G131" s="14"/>
      <c r="H131" s="14"/>
      <c r="I131" s="14"/>
      <c r="J131" s="123">
        <f>VLOOKUP(E131,'C'!P:Q,2,FALSE)</f>
        <v>7</v>
      </c>
    </row>
    <row r="132" spans="1:10" hidden="1" x14ac:dyDescent="0.35">
      <c r="A132" s="218" t="s">
        <v>81</v>
      </c>
      <c r="B132" s="3" t="s">
        <v>79</v>
      </c>
      <c r="C132" s="1" t="s">
        <v>75</v>
      </c>
      <c r="D132" s="1">
        <v>5</v>
      </c>
      <c r="E132" s="1" t="s">
        <v>308</v>
      </c>
      <c r="F132" s="14"/>
      <c r="G132" s="14"/>
      <c r="H132" s="14"/>
      <c r="I132" s="14"/>
      <c r="J132" s="123">
        <f>VLOOKUP(E132,'C'!P:Q,2,FALSE)</f>
        <v>7</v>
      </c>
    </row>
    <row r="133" spans="1:10" hidden="1" x14ac:dyDescent="0.35">
      <c r="A133" s="218" t="s">
        <v>81</v>
      </c>
      <c r="B133" s="3" t="s">
        <v>80</v>
      </c>
      <c r="C133" s="1" t="s">
        <v>75</v>
      </c>
      <c r="D133" s="1">
        <v>5</v>
      </c>
      <c r="E133" s="1" t="s">
        <v>308</v>
      </c>
      <c r="F133" s="27"/>
      <c r="G133" s="27"/>
      <c r="H133" s="366">
        <v>25</v>
      </c>
      <c r="I133" s="366">
        <v>27</v>
      </c>
      <c r="J133" s="123">
        <f>VLOOKUP(E133,'C'!P:Q,2,FALSE)</f>
        <v>7</v>
      </c>
    </row>
    <row r="134" spans="1:10" hidden="1" x14ac:dyDescent="0.35">
      <c r="A134" s="202" t="s">
        <v>82</v>
      </c>
      <c r="B134" s="15" t="s">
        <v>74</v>
      </c>
      <c r="C134" s="91" t="s">
        <v>75</v>
      </c>
      <c r="D134" s="91">
        <v>5</v>
      </c>
      <c r="E134" s="1" t="s">
        <v>308</v>
      </c>
      <c r="F134" s="14"/>
      <c r="G134" s="14"/>
      <c r="H134" s="14"/>
      <c r="I134" s="14"/>
      <c r="J134" s="123">
        <f>VLOOKUP(E134,'C'!P:Q,2,FALSE)</f>
        <v>7</v>
      </c>
    </row>
    <row r="135" spans="1:10" hidden="1" x14ac:dyDescent="0.35">
      <c r="A135" s="202" t="s">
        <v>82</v>
      </c>
      <c r="B135" s="15" t="s">
        <v>76</v>
      </c>
      <c r="C135" s="1" t="s">
        <v>75</v>
      </c>
      <c r="D135" s="1">
        <v>5</v>
      </c>
      <c r="E135" s="1" t="s">
        <v>308</v>
      </c>
      <c r="F135" s="14"/>
      <c r="G135" s="14"/>
      <c r="H135" s="14"/>
      <c r="I135" s="14"/>
      <c r="J135" s="123">
        <f>VLOOKUP(E135,'C'!P:Q,2,FALSE)</f>
        <v>7</v>
      </c>
    </row>
    <row r="136" spans="1:10" hidden="1" x14ac:dyDescent="0.35">
      <c r="A136" s="202" t="s">
        <v>82</v>
      </c>
      <c r="B136" s="15" t="s">
        <v>77</v>
      </c>
      <c r="C136" s="1" t="s">
        <v>75</v>
      </c>
      <c r="D136" s="1">
        <v>5</v>
      </c>
      <c r="E136" s="1" t="s">
        <v>308</v>
      </c>
      <c r="F136" s="14"/>
      <c r="G136" s="14"/>
      <c r="H136" s="14"/>
      <c r="I136" s="14"/>
      <c r="J136" s="123">
        <f>VLOOKUP(E136,'C'!P:Q,2,FALSE)</f>
        <v>7</v>
      </c>
    </row>
    <row r="137" spans="1:10" hidden="1" x14ac:dyDescent="0.35">
      <c r="A137" s="202" t="s">
        <v>82</v>
      </c>
      <c r="B137" s="15" t="s">
        <v>78</v>
      </c>
      <c r="C137" s="1" t="s">
        <v>75</v>
      </c>
      <c r="D137" s="1">
        <v>5</v>
      </c>
      <c r="E137" s="1" t="s">
        <v>308</v>
      </c>
      <c r="F137" s="14"/>
      <c r="G137" s="14"/>
      <c r="H137" s="14"/>
      <c r="I137" s="14"/>
      <c r="J137" s="123">
        <f>VLOOKUP(E137,'C'!P:Q,2,FALSE)</f>
        <v>7</v>
      </c>
    </row>
    <row r="138" spans="1:10" hidden="1" x14ac:dyDescent="0.35">
      <c r="A138" s="202" t="s">
        <v>82</v>
      </c>
      <c r="B138" s="15" t="s">
        <v>79</v>
      </c>
      <c r="C138" s="1" t="s">
        <v>75</v>
      </c>
      <c r="D138" s="1">
        <v>5</v>
      </c>
      <c r="E138" s="1" t="s">
        <v>308</v>
      </c>
      <c r="F138" s="14"/>
      <c r="G138" s="14"/>
      <c r="H138" s="14"/>
      <c r="I138" s="14"/>
      <c r="J138" s="123">
        <f>VLOOKUP(E138,'C'!P:Q,2,FALSE)</f>
        <v>7</v>
      </c>
    </row>
    <row r="139" spans="1:10" hidden="1" x14ac:dyDescent="0.35">
      <c r="A139" s="202" t="s">
        <v>82</v>
      </c>
      <c r="B139" s="15" t="s">
        <v>80</v>
      </c>
      <c r="C139" s="1" t="s">
        <v>75</v>
      </c>
      <c r="D139" s="1">
        <v>5</v>
      </c>
      <c r="E139" s="1" t="s">
        <v>308</v>
      </c>
      <c r="F139" s="14"/>
      <c r="G139" s="14"/>
      <c r="H139" s="14">
        <v>27.7</v>
      </c>
      <c r="I139" s="14">
        <v>28.5</v>
      </c>
      <c r="J139" s="123">
        <f>VLOOKUP(E139,'C'!P:Q,2,FALSE)</f>
        <v>7</v>
      </c>
    </row>
    <row r="140" spans="1:10" hidden="1" x14ac:dyDescent="0.35">
      <c r="A140" s="202" t="s">
        <v>83</v>
      </c>
      <c r="B140" s="15" t="s">
        <v>74</v>
      </c>
      <c r="C140" s="91" t="s">
        <v>75</v>
      </c>
      <c r="D140" s="91" t="s">
        <v>84</v>
      </c>
      <c r="E140" s="1" t="s">
        <v>308</v>
      </c>
      <c r="F140" s="14"/>
      <c r="G140" s="14"/>
      <c r="H140" s="14"/>
      <c r="I140" s="14"/>
      <c r="J140" s="123">
        <f>VLOOKUP(E140,'C'!P:Q,2,FALSE)</f>
        <v>7</v>
      </c>
    </row>
    <row r="141" spans="1:10" hidden="1" x14ac:dyDescent="0.35">
      <c r="A141" s="202" t="s">
        <v>83</v>
      </c>
      <c r="B141" s="15" t="s">
        <v>76</v>
      </c>
      <c r="C141" s="1" t="s">
        <v>75</v>
      </c>
      <c r="D141" s="1" t="s">
        <v>84</v>
      </c>
      <c r="E141" s="1" t="s">
        <v>308</v>
      </c>
      <c r="F141" s="14"/>
      <c r="G141" s="14"/>
      <c r="H141" s="14"/>
      <c r="I141" s="14"/>
      <c r="J141" s="123">
        <f>VLOOKUP(E141,'C'!P:Q,2,FALSE)</f>
        <v>7</v>
      </c>
    </row>
    <row r="142" spans="1:10" hidden="1" x14ac:dyDescent="0.35">
      <c r="A142" s="202" t="s">
        <v>83</v>
      </c>
      <c r="B142" s="15" t="s">
        <v>77</v>
      </c>
      <c r="C142" s="1" t="s">
        <v>75</v>
      </c>
      <c r="D142" s="1" t="s">
        <v>84</v>
      </c>
      <c r="E142" s="1" t="s">
        <v>308</v>
      </c>
      <c r="F142" s="14"/>
      <c r="G142" s="14"/>
      <c r="H142" s="14"/>
      <c r="I142" s="14"/>
      <c r="J142" s="123">
        <f>VLOOKUP(E142,'C'!P:Q,2,FALSE)</f>
        <v>7</v>
      </c>
    </row>
    <row r="143" spans="1:10" hidden="1" x14ac:dyDescent="0.35">
      <c r="A143" s="202" t="s">
        <v>83</v>
      </c>
      <c r="B143" s="15" t="s">
        <v>78</v>
      </c>
      <c r="C143" s="1" t="s">
        <v>75</v>
      </c>
      <c r="D143" s="1" t="s">
        <v>84</v>
      </c>
      <c r="E143" s="1" t="s">
        <v>308</v>
      </c>
      <c r="F143" s="14"/>
      <c r="G143" s="14"/>
      <c r="H143" s="14"/>
      <c r="I143" s="14"/>
      <c r="J143" s="123">
        <f>VLOOKUP(E143,'C'!P:Q,2,FALSE)</f>
        <v>7</v>
      </c>
    </row>
    <row r="144" spans="1:10" hidden="1" x14ac:dyDescent="0.35">
      <c r="A144" s="202" t="s">
        <v>83</v>
      </c>
      <c r="B144" s="15" t="s">
        <v>79</v>
      </c>
      <c r="C144" s="1" t="s">
        <v>75</v>
      </c>
      <c r="D144" s="1" t="s">
        <v>84</v>
      </c>
      <c r="E144" s="1" t="s">
        <v>308</v>
      </c>
      <c r="F144" s="14"/>
      <c r="G144" s="14"/>
      <c r="H144" s="14"/>
      <c r="I144" s="14"/>
      <c r="J144" s="123">
        <f>VLOOKUP(E144,'C'!P:Q,2,FALSE)</f>
        <v>7</v>
      </c>
    </row>
    <row r="145" spans="1:10" hidden="1" x14ac:dyDescent="0.35">
      <c r="A145" s="202" t="s">
        <v>83</v>
      </c>
      <c r="B145" s="15" t="s">
        <v>80</v>
      </c>
      <c r="C145" s="1" t="s">
        <v>75</v>
      </c>
      <c r="D145" s="1" t="s">
        <v>84</v>
      </c>
      <c r="E145" s="1" t="s">
        <v>308</v>
      </c>
      <c r="F145" s="105"/>
      <c r="G145" s="105"/>
      <c r="H145" s="105">
        <v>10</v>
      </c>
      <c r="I145" s="105">
        <v>11</v>
      </c>
      <c r="J145" s="123">
        <f>VLOOKUP(E145,'C'!P:Q,2,FALSE)</f>
        <v>7</v>
      </c>
    </row>
    <row r="146" spans="1:10" x14ac:dyDescent="0.35">
      <c r="A146" s="218" t="s">
        <v>73</v>
      </c>
      <c r="B146" s="3" t="s">
        <v>74</v>
      </c>
      <c r="C146" s="1" t="s">
        <v>75</v>
      </c>
      <c r="D146" s="1">
        <v>5</v>
      </c>
      <c r="E146" s="1" t="s">
        <v>310</v>
      </c>
      <c r="F146" s="14"/>
      <c r="G146" s="14"/>
      <c r="H146" s="14"/>
      <c r="I146" s="14"/>
      <c r="J146" s="123">
        <f>VLOOKUP(E146,'C'!P:Q,2,FALSE)</f>
        <v>8</v>
      </c>
    </row>
    <row r="147" spans="1:10" x14ac:dyDescent="0.35">
      <c r="A147" s="218" t="s">
        <v>73</v>
      </c>
      <c r="B147" s="3" t="s">
        <v>76</v>
      </c>
      <c r="C147" s="1" t="s">
        <v>75</v>
      </c>
      <c r="D147" s="1">
        <v>5</v>
      </c>
      <c r="E147" s="1" t="s">
        <v>310</v>
      </c>
      <c r="F147" s="14"/>
      <c r="G147" s="14"/>
      <c r="H147" s="14"/>
      <c r="I147" s="14"/>
      <c r="J147" s="123">
        <f>VLOOKUP(E147,'C'!P:Q,2,FALSE)</f>
        <v>8</v>
      </c>
    </row>
    <row r="148" spans="1:10" x14ac:dyDescent="0.35">
      <c r="A148" s="218" t="s">
        <v>73</v>
      </c>
      <c r="B148" s="3" t="s">
        <v>77</v>
      </c>
      <c r="C148" s="1" t="s">
        <v>75</v>
      </c>
      <c r="D148" s="1">
        <v>5</v>
      </c>
      <c r="E148" s="1" t="s">
        <v>310</v>
      </c>
      <c r="F148" s="14"/>
      <c r="G148" s="14"/>
      <c r="H148" s="14"/>
      <c r="I148" s="14"/>
      <c r="J148" s="123">
        <f>VLOOKUP(E148,'C'!P:Q,2,FALSE)</f>
        <v>8</v>
      </c>
    </row>
    <row r="149" spans="1:10" x14ac:dyDescent="0.35">
      <c r="A149" s="218" t="s">
        <v>73</v>
      </c>
      <c r="B149" s="3" t="s">
        <v>78</v>
      </c>
      <c r="C149" s="1" t="s">
        <v>75</v>
      </c>
      <c r="D149" s="1">
        <v>5</v>
      </c>
      <c r="E149" s="1" t="s">
        <v>310</v>
      </c>
      <c r="F149" s="14"/>
      <c r="G149" s="14"/>
      <c r="H149" s="14"/>
      <c r="I149" s="14"/>
      <c r="J149" s="123">
        <f>VLOOKUP(E149,'C'!P:Q,2,FALSE)</f>
        <v>8</v>
      </c>
    </row>
    <row r="150" spans="1:10" x14ac:dyDescent="0.35">
      <c r="A150" s="218" t="s">
        <v>73</v>
      </c>
      <c r="B150" s="3" t="s">
        <v>79</v>
      </c>
      <c r="C150" s="1" t="s">
        <v>75</v>
      </c>
      <c r="D150" s="1">
        <v>5</v>
      </c>
      <c r="E150" s="1" t="s">
        <v>310</v>
      </c>
      <c r="F150" s="14"/>
      <c r="G150" s="14"/>
      <c r="H150" s="14"/>
      <c r="I150" s="14"/>
      <c r="J150" s="123">
        <f>VLOOKUP(E150,'C'!P:Q,2,FALSE)</f>
        <v>8</v>
      </c>
    </row>
    <row r="151" spans="1:10" x14ac:dyDescent="0.35">
      <c r="A151" s="218" t="s">
        <v>73</v>
      </c>
      <c r="B151" s="3" t="s">
        <v>80</v>
      </c>
      <c r="C151" s="1" t="s">
        <v>75</v>
      </c>
      <c r="D151" s="1">
        <v>5</v>
      </c>
      <c r="E151" s="1" t="s">
        <v>310</v>
      </c>
      <c r="F151" s="27"/>
      <c r="G151" s="27"/>
      <c r="H151" s="27">
        <v>0.4</v>
      </c>
      <c r="I151" s="27">
        <v>0.5</v>
      </c>
      <c r="J151" s="123">
        <f>VLOOKUP(E151,'C'!P:Q,2,FALSE)</f>
        <v>8</v>
      </c>
    </row>
    <row r="152" spans="1:10" hidden="1" x14ac:dyDescent="0.35">
      <c r="A152" s="218" t="s">
        <v>81</v>
      </c>
      <c r="B152" s="3" t="s">
        <v>76</v>
      </c>
      <c r="C152" s="91" t="s">
        <v>75</v>
      </c>
      <c r="D152" s="91">
        <v>5</v>
      </c>
      <c r="E152" s="1" t="s">
        <v>310</v>
      </c>
      <c r="F152" s="14"/>
      <c r="G152" s="14"/>
      <c r="H152" s="14"/>
      <c r="I152" s="14"/>
      <c r="J152" s="123">
        <f>VLOOKUP(E152,'C'!P:Q,2,FALSE)</f>
        <v>8</v>
      </c>
    </row>
    <row r="153" spans="1:10" hidden="1" x14ac:dyDescent="0.35">
      <c r="A153" s="218" t="s">
        <v>81</v>
      </c>
      <c r="B153" s="3" t="s">
        <v>74</v>
      </c>
      <c r="C153" s="1" t="s">
        <v>75</v>
      </c>
      <c r="D153" s="1">
        <v>5</v>
      </c>
      <c r="E153" s="1" t="s">
        <v>310</v>
      </c>
      <c r="F153" s="14"/>
      <c r="G153" s="14"/>
      <c r="H153" s="14"/>
      <c r="I153" s="14"/>
      <c r="J153" s="123">
        <f>VLOOKUP(E153,'C'!P:Q,2,FALSE)</f>
        <v>8</v>
      </c>
    </row>
    <row r="154" spans="1:10" hidden="1" x14ac:dyDescent="0.35">
      <c r="A154" s="218" t="s">
        <v>81</v>
      </c>
      <c r="B154" s="3" t="s">
        <v>78</v>
      </c>
      <c r="C154" s="1" t="s">
        <v>75</v>
      </c>
      <c r="D154" s="1">
        <v>5</v>
      </c>
      <c r="E154" s="1" t="s">
        <v>310</v>
      </c>
      <c r="F154" s="14"/>
      <c r="G154" s="14"/>
      <c r="H154" s="14"/>
      <c r="I154" s="14"/>
      <c r="J154" s="123">
        <f>VLOOKUP(E154,'C'!P:Q,2,FALSE)</f>
        <v>8</v>
      </c>
    </row>
    <row r="155" spans="1:10" hidden="1" x14ac:dyDescent="0.35">
      <c r="A155" s="218" t="s">
        <v>81</v>
      </c>
      <c r="B155" s="3" t="s">
        <v>77</v>
      </c>
      <c r="C155" s="1" t="s">
        <v>75</v>
      </c>
      <c r="D155" s="1">
        <v>5</v>
      </c>
      <c r="E155" s="1" t="s">
        <v>310</v>
      </c>
      <c r="F155" s="14"/>
      <c r="G155" s="14"/>
      <c r="H155" s="14"/>
      <c r="I155" s="14"/>
      <c r="J155" s="123">
        <f>VLOOKUP(E155,'C'!P:Q,2,FALSE)</f>
        <v>8</v>
      </c>
    </row>
    <row r="156" spans="1:10" hidden="1" x14ac:dyDescent="0.35">
      <c r="A156" s="218" t="s">
        <v>81</v>
      </c>
      <c r="B156" s="3" t="s">
        <v>79</v>
      </c>
      <c r="C156" s="1" t="s">
        <v>75</v>
      </c>
      <c r="D156" s="1">
        <v>5</v>
      </c>
      <c r="E156" s="1" t="s">
        <v>310</v>
      </c>
      <c r="F156" s="14"/>
      <c r="G156" s="14"/>
      <c r="H156" s="14"/>
      <c r="I156" s="14"/>
      <c r="J156" s="123">
        <f>VLOOKUP(E156,'C'!P:Q,2,FALSE)</f>
        <v>8</v>
      </c>
    </row>
    <row r="157" spans="1:10" hidden="1" x14ac:dyDescent="0.35">
      <c r="A157" s="218" t="s">
        <v>81</v>
      </c>
      <c r="B157" s="3" t="s">
        <v>80</v>
      </c>
      <c r="C157" s="1" t="s">
        <v>75</v>
      </c>
      <c r="D157" s="1">
        <v>5</v>
      </c>
      <c r="E157" s="1" t="s">
        <v>310</v>
      </c>
      <c r="F157" s="27"/>
      <c r="G157" s="27"/>
      <c r="H157" s="366">
        <v>16</v>
      </c>
      <c r="I157" s="366">
        <v>19</v>
      </c>
      <c r="J157" s="123">
        <f>VLOOKUP(E157,'C'!P:Q,2,FALSE)</f>
        <v>8</v>
      </c>
    </row>
    <row r="158" spans="1:10" hidden="1" x14ac:dyDescent="0.35">
      <c r="A158" s="202" t="s">
        <v>82</v>
      </c>
      <c r="B158" s="15" t="s">
        <v>74</v>
      </c>
      <c r="C158" s="91" t="s">
        <v>75</v>
      </c>
      <c r="D158" s="91">
        <v>5</v>
      </c>
      <c r="E158" s="1" t="s">
        <v>310</v>
      </c>
      <c r="F158" s="14"/>
      <c r="G158" s="14"/>
      <c r="H158" s="14"/>
      <c r="I158" s="14"/>
      <c r="J158" s="123">
        <f>VLOOKUP(E158,'C'!P:Q,2,FALSE)</f>
        <v>8</v>
      </c>
    </row>
    <row r="159" spans="1:10" hidden="1" x14ac:dyDescent="0.35">
      <c r="A159" s="202" t="s">
        <v>82</v>
      </c>
      <c r="B159" s="15" t="s">
        <v>76</v>
      </c>
      <c r="C159" s="1" t="s">
        <v>75</v>
      </c>
      <c r="D159" s="1">
        <v>5</v>
      </c>
      <c r="E159" s="1" t="s">
        <v>310</v>
      </c>
      <c r="F159" s="14"/>
      <c r="G159" s="14"/>
      <c r="H159" s="14"/>
      <c r="I159" s="14"/>
      <c r="J159" s="123">
        <f>VLOOKUP(E159,'C'!P:Q,2,FALSE)</f>
        <v>8</v>
      </c>
    </row>
    <row r="160" spans="1:10" hidden="1" x14ac:dyDescent="0.35">
      <c r="A160" s="202" t="s">
        <v>82</v>
      </c>
      <c r="B160" s="15" t="s">
        <v>77</v>
      </c>
      <c r="C160" s="1" t="s">
        <v>75</v>
      </c>
      <c r="D160" s="1">
        <v>5</v>
      </c>
      <c r="E160" s="1" t="s">
        <v>310</v>
      </c>
      <c r="F160" s="14"/>
      <c r="G160" s="14"/>
      <c r="H160" s="14"/>
      <c r="I160" s="14"/>
      <c r="J160" s="123">
        <f>VLOOKUP(E160,'C'!P:Q,2,FALSE)</f>
        <v>8</v>
      </c>
    </row>
    <row r="161" spans="1:10" hidden="1" x14ac:dyDescent="0.35">
      <c r="A161" s="202" t="s">
        <v>82</v>
      </c>
      <c r="B161" s="15" t="s">
        <v>78</v>
      </c>
      <c r="C161" s="1" t="s">
        <v>75</v>
      </c>
      <c r="D161" s="1">
        <v>5</v>
      </c>
      <c r="E161" s="1" t="s">
        <v>310</v>
      </c>
      <c r="F161" s="14"/>
      <c r="G161" s="14"/>
      <c r="H161" s="14"/>
      <c r="I161" s="14"/>
      <c r="J161" s="123">
        <f>VLOOKUP(E161,'C'!P:Q,2,FALSE)</f>
        <v>8</v>
      </c>
    </row>
    <row r="162" spans="1:10" hidden="1" x14ac:dyDescent="0.35">
      <c r="A162" s="202" t="s">
        <v>82</v>
      </c>
      <c r="B162" s="15" t="s">
        <v>79</v>
      </c>
      <c r="C162" s="1" t="s">
        <v>75</v>
      </c>
      <c r="D162" s="1">
        <v>5</v>
      </c>
      <c r="E162" s="1" t="s">
        <v>310</v>
      </c>
      <c r="F162" s="14"/>
      <c r="G162" s="14"/>
      <c r="H162" s="14"/>
      <c r="I162" s="14"/>
      <c r="J162" s="123">
        <f>VLOOKUP(E162,'C'!P:Q,2,FALSE)</f>
        <v>8</v>
      </c>
    </row>
    <row r="163" spans="1:10" hidden="1" x14ac:dyDescent="0.35">
      <c r="A163" s="202" t="s">
        <v>82</v>
      </c>
      <c r="B163" s="15" t="s">
        <v>80</v>
      </c>
      <c r="C163" s="1" t="s">
        <v>75</v>
      </c>
      <c r="D163" s="1">
        <v>5</v>
      </c>
      <c r="E163" s="1" t="s">
        <v>310</v>
      </c>
      <c r="F163" s="14"/>
      <c r="G163" s="14"/>
      <c r="H163" s="14">
        <v>16.5</v>
      </c>
      <c r="I163" s="14">
        <v>19.5</v>
      </c>
      <c r="J163" s="123">
        <f>VLOOKUP(E163,'C'!P:Q,2,FALSE)</f>
        <v>8</v>
      </c>
    </row>
    <row r="164" spans="1:10" hidden="1" x14ac:dyDescent="0.35">
      <c r="A164" s="202" t="s">
        <v>83</v>
      </c>
      <c r="B164" s="15" t="s">
        <v>74</v>
      </c>
      <c r="C164" s="91" t="s">
        <v>75</v>
      </c>
      <c r="D164" s="91" t="s">
        <v>84</v>
      </c>
      <c r="E164" s="1" t="s">
        <v>310</v>
      </c>
      <c r="F164" s="14"/>
      <c r="G164" s="14"/>
      <c r="H164" s="14"/>
      <c r="I164" s="14"/>
      <c r="J164" s="123">
        <f>VLOOKUP(E164,'C'!P:Q,2,FALSE)</f>
        <v>8</v>
      </c>
    </row>
    <row r="165" spans="1:10" hidden="1" x14ac:dyDescent="0.35">
      <c r="A165" s="202" t="s">
        <v>83</v>
      </c>
      <c r="B165" s="15" t="s">
        <v>76</v>
      </c>
      <c r="C165" s="1" t="s">
        <v>75</v>
      </c>
      <c r="D165" s="1" t="s">
        <v>84</v>
      </c>
      <c r="E165" s="1" t="s">
        <v>310</v>
      </c>
      <c r="F165" s="14"/>
      <c r="G165" s="14"/>
      <c r="H165" s="14"/>
      <c r="I165" s="14"/>
      <c r="J165" s="123">
        <f>VLOOKUP(E165,'C'!P:Q,2,FALSE)</f>
        <v>8</v>
      </c>
    </row>
    <row r="166" spans="1:10" hidden="1" x14ac:dyDescent="0.35">
      <c r="A166" s="202" t="s">
        <v>83</v>
      </c>
      <c r="B166" s="15" t="s">
        <v>77</v>
      </c>
      <c r="C166" s="1" t="s">
        <v>75</v>
      </c>
      <c r="D166" s="1" t="s">
        <v>84</v>
      </c>
      <c r="E166" s="1" t="s">
        <v>310</v>
      </c>
      <c r="F166" s="14"/>
      <c r="G166" s="14"/>
      <c r="H166" s="14"/>
      <c r="I166" s="14"/>
      <c r="J166" s="123">
        <f>VLOOKUP(E166,'C'!P:Q,2,FALSE)</f>
        <v>8</v>
      </c>
    </row>
    <row r="167" spans="1:10" hidden="1" x14ac:dyDescent="0.35">
      <c r="A167" s="202" t="s">
        <v>83</v>
      </c>
      <c r="B167" s="15" t="s">
        <v>78</v>
      </c>
      <c r="C167" s="1" t="s">
        <v>75</v>
      </c>
      <c r="D167" s="1" t="s">
        <v>84</v>
      </c>
      <c r="E167" s="1" t="s">
        <v>310</v>
      </c>
      <c r="F167" s="14"/>
      <c r="G167" s="14"/>
      <c r="H167" s="14"/>
      <c r="I167" s="14"/>
      <c r="J167" s="123">
        <f>VLOOKUP(E167,'C'!P:Q,2,FALSE)</f>
        <v>8</v>
      </c>
    </row>
    <row r="168" spans="1:10" hidden="1" x14ac:dyDescent="0.35">
      <c r="A168" s="202" t="s">
        <v>83</v>
      </c>
      <c r="B168" s="15" t="s">
        <v>79</v>
      </c>
      <c r="C168" s="1" t="s">
        <v>75</v>
      </c>
      <c r="D168" s="1" t="s">
        <v>84</v>
      </c>
      <c r="E168" s="1" t="s">
        <v>310</v>
      </c>
      <c r="F168" s="14"/>
      <c r="G168" s="14"/>
      <c r="H168" s="14"/>
      <c r="I168" s="14"/>
      <c r="J168" s="123">
        <f>VLOOKUP(E168,'C'!P:Q,2,FALSE)</f>
        <v>8</v>
      </c>
    </row>
    <row r="169" spans="1:10" hidden="1" x14ac:dyDescent="0.35">
      <c r="A169" s="202" t="s">
        <v>83</v>
      </c>
      <c r="B169" s="15" t="s">
        <v>80</v>
      </c>
      <c r="C169" s="1" t="s">
        <v>75</v>
      </c>
      <c r="D169" s="1" t="s">
        <v>84</v>
      </c>
      <c r="E169" s="1" t="s">
        <v>310</v>
      </c>
      <c r="F169" s="105"/>
      <c r="G169" s="105"/>
      <c r="H169" s="105">
        <v>0.5</v>
      </c>
      <c r="I169" s="105">
        <v>0.6</v>
      </c>
      <c r="J169" s="123">
        <f>VLOOKUP(E169,'C'!P:Q,2,FALSE)</f>
        <v>8</v>
      </c>
    </row>
    <row r="170" spans="1:10" x14ac:dyDescent="0.35">
      <c r="A170" s="218" t="s">
        <v>73</v>
      </c>
      <c r="B170" s="3" t="s">
        <v>74</v>
      </c>
      <c r="C170" s="1" t="s">
        <v>75</v>
      </c>
      <c r="D170" s="1">
        <v>5</v>
      </c>
      <c r="E170" s="1" t="s">
        <v>315</v>
      </c>
      <c r="F170" s="14"/>
      <c r="G170" s="14"/>
      <c r="H170" s="14"/>
      <c r="I170" s="14"/>
      <c r="J170" s="123">
        <f>VLOOKUP(E170,'C'!P:Q,2,FALSE)</f>
        <v>9</v>
      </c>
    </row>
    <row r="171" spans="1:10" x14ac:dyDescent="0.35">
      <c r="A171" s="218" t="s">
        <v>73</v>
      </c>
      <c r="B171" s="3" t="s">
        <v>76</v>
      </c>
      <c r="C171" s="1" t="s">
        <v>75</v>
      </c>
      <c r="D171" s="1">
        <v>5</v>
      </c>
      <c r="E171" s="1" t="s">
        <v>315</v>
      </c>
      <c r="F171" s="14"/>
      <c r="G171" s="14"/>
      <c r="H171" s="14"/>
      <c r="I171" s="14"/>
      <c r="J171" s="123">
        <f>VLOOKUP(E171,'C'!P:Q,2,FALSE)</f>
        <v>9</v>
      </c>
    </row>
    <row r="172" spans="1:10" x14ac:dyDescent="0.35">
      <c r="A172" s="218" t="s">
        <v>73</v>
      </c>
      <c r="B172" s="3" t="s">
        <v>77</v>
      </c>
      <c r="C172" s="1" t="s">
        <v>75</v>
      </c>
      <c r="D172" s="1">
        <v>5</v>
      </c>
      <c r="E172" s="1" t="s">
        <v>315</v>
      </c>
      <c r="F172" s="14"/>
      <c r="G172" s="14"/>
      <c r="H172" s="14"/>
      <c r="I172" s="14"/>
      <c r="J172" s="123">
        <f>VLOOKUP(E172,'C'!P:Q,2,FALSE)</f>
        <v>9</v>
      </c>
    </row>
    <row r="173" spans="1:10" x14ac:dyDescent="0.35">
      <c r="A173" s="218" t="s">
        <v>73</v>
      </c>
      <c r="B173" s="3" t="s">
        <v>78</v>
      </c>
      <c r="C173" s="1" t="s">
        <v>75</v>
      </c>
      <c r="D173" s="1">
        <v>5</v>
      </c>
      <c r="E173" s="1" t="s">
        <v>315</v>
      </c>
      <c r="F173" s="14"/>
      <c r="G173" s="14"/>
      <c r="H173" s="14"/>
      <c r="I173" s="14"/>
      <c r="J173" s="123">
        <f>VLOOKUP(E173,'C'!P:Q,2,FALSE)</f>
        <v>9</v>
      </c>
    </row>
    <row r="174" spans="1:10" x14ac:dyDescent="0.35">
      <c r="A174" s="218" t="s">
        <v>73</v>
      </c>
      <c r="B174" s="3" t="s">
        <v>79</v>
      </c>
      <c r="C174" s="1" t="s">
        <v>75</v>
      </c>
      <c r="D174" s="1">
        <v>5</v>
      </c>
      <c r="E174" s="1" t="s">
        <v>315</v>
      </c>
      <c r="F174" s="14"/>
      <c r="G174" s="14"/>
      <c r="H174" s="14"/>
      <c r="I174" s="14"/>
      <c r="J174" s="123">
        <f>VLOOKUP(E174,'C'!P:Q,2,FALSE)</f>
        <v>9</v>
      </c>
    </row>
    <row r="175" spans="1:10" x14ac:dyDescent="0.35">
      <c r="A175" s="218" t="s">
        <v>73</v>
      </c>
      <c r="B175" s="3" t="s">
        <v>80</v>
      </c>
      <c r="C175" s="1" t="s">
        <v>75</v>
      </c>
      <c r="D175" s="1">
        <v>5</v>
      </c>
      <c r="E175" s="1" t="s">
        <v>315</v>
      </c>
      <c r="F175" s="14"/>
      <c r="G175" s="14"/>
      <c r="H175" s="14">
        <v>0.2</v>
      </c>
      <c r="I175" s="14">
        <v>0.3</v>
      </c>
      <c r="J175" s="123">
        <f>VLOOKUP(E175,'C'!P:Q,2,FALSE)</f>
        <v>9</v>
      </c>
    </row>
    <row r="176" spans="1:10" hidden="1" x14ac:dyDescent="0.35">
      <c r="A176" s="218" t="s">
        <v>81</v>
      </c>
      <c r="B176" s="3" t="s">
        <v>76</v>
      </c>
      <c r="C176" s="91" t="s">
        <v>75</v>
      </c>
      <c r="D176" s="91">
        <v>5</v>
      </c>
      <c r="E176" s="1" t="s">
        <v>315</v>
      </c>
      <c r="F176" s="14"/>
      <c r="G176" s="14"/>
      <c r="H176" s="14"/>
      <c r="I176" s="14"/>
      <c r="J176" s="123">
        <f>VLOOKUP(E176,'C'!P:Q,2,FALSE)</f>
        <v>9</v>
      </c>
    </row>
    <row r="177" spans="1:10" hidden="1" x14ac:dyDescent="0.35">
      <c r="A177" s="218" t="s">
        <v>81</v>
      </c>
      <c r="B177" s="3" t="s">
        <v>74</v>
      </c>
      <c r="C177" s="1" t="s">
        <v>75</v>
      </c>
      <c r="D177" s="1">
        <v>5</v>
      </c>
      <c r="E177" s="1" t="s">
        <v>315</v>
      </c>
      <c r="F177" s="14"/>
      <c r="G177" s="14"/>
      <c r="H177" s="14"/>
      <c r="I177" s="14"/>
      <c r="J177" s="123">
        <f>VLOOKUP(E177,'C'!P:Q,2,FALSE)</f>
        <v>9</v>
      </c>
    </row>
    <row r="178" spans="1:10" hidden="1" x14ac:dyDescent="0.35">
      <c r="A178" s="218" t="s">
        <v>81</v>
      </c>
      <c r="B178" s="3" t="s">
        <v>78</v>
      </c>
      <c r="C178" s="1" t="s">
        <v>75</v>
      </c>
      <c r="D178" s="1">
        <v>5</v>
      </c>
      <c r="E178" s="1" t="s">
        <v>315</v>
      </c>
      <c r="F178" s="14"/>
      <c r="G178" s="14"/>
      <c r="H178" s="14"/>
      <c r="I178" s="14"/>
      <c r="J178" s="123">
        <f>VLOOKUP(E178,'C'!P:Q,2,FALSE)</f>
        <v>9</v>
      </c>
    </row>
    <row r="179" spans="1:10" hidden="1" x14ac:dyDescent="0.35">
      <c r="A179" s="218" t="s">
        <v>81</v>
      </c>
      <c r="B179" s="3" t="s">
        <v>77</v>
      </c>
      <c r="C179" s="1" t="s">
        <v>75</v>
      </c>
      <c r="D179" s="1">
        <v>5</v>
      </c>
      <c r="E179" s="1" t="s">
        <v>315</v>
      </c>
      <c r="F179" s="14"/>
      <c r="G179" s="14"/>
      <c r="H179" s="14"/>
      <c r="I179" s="14"/>
      <c r="J179" s="123">
        <f>VLOOKUP(E179,'C'!P:Q,2,FALSE)</f>
        <v>9</v>
      </c>
    </row>
    <row r="180" spans="1:10" hidden="1" x14ac:dyDescent="0.35">
      <c r="A180" s="218" t="s">
        <v>81</v>
      </c>
      <c r="B180" s="3" t="s">
        <v>79</v>
      </c>
      <c r="C180" s="1" t="s">
        <v>75</v>
      </c>
      <c r="D180" s="1">
        <v>5</v>
      </c>
      <c r="E180" s="1" t="s">
        <v>315</v>
      </c>
      <c r="F180" s="14"/>
      <c r="G180" s="14"/>
      <c r="H180" s="14"/>
      <c r="I180" s="14"/>
      <c r="J180" s="123">
        <f>VLOOKUP(E180,'C'!P:Q,2,FALSE)</f>
        <v>9</v>
      </c>
    </row>
    <row r="181" spans="1:10" hidden="1" x14ac:dyDescent="0.35">
      <c r="A181" s="218" t="s">
        <v>81</v>
      </c>
      <c r="B181" s="3" t="s">
        <v>80</v>
      </c>
      <c r="C181" s="1" t="s">
        <v>75</v>
      </c>
      <c r="D181" s="1">
        <v>5</v>
      </c>
      <c r="E181" s="1" t="s">
        <v>315</v>
      </c>
      <c r="F181" s="14"/>
      <c r="G181" s="14"/>
      <c r="H181" s="14"/>
      <c r="I181" s="14"/>
      <c r="J181" s="123">
        <f>VLOOKUP(E181,'C'!P:Q,2,FALSE)</f>
        <v>9</v>
      </c>
    </row>
    <row r="182" spans="1:10" hidden="1" x14ac:dyDescent="0.35">
      <c r="A182" s="202" t="s">
        <v>82</v>
      </c>
      <c r="B182" s="15" t="s">
        <v>74</v>
      </c>
      <c r="C182" s="91" t="s">
        <v>75</v>
      </c>
      <c r="D182" s="91">
        <v>5</v>
      </c>
      <c r="E182" s="1" t="s">
        <v>315</v>
      </c>
      <c r="F182" s="14"/>
      <c r="G182" s="14"/>
      <c r="H182" s="14"/>
      <c r="I182" s="14"/>
      <c r="J182" s="123">
        <f>VLOOKUP(E182,'C'!P:Q,2,FALSE)</f>
        <v>9</v>
      </c>
    </row>
    <row r="183" spans="1:10" hidden="1" x14ac:dyDescent="0.35">
      <c r="A183" s="202" t="s">
        <v>82</v>
      </c>
      <c r="B183" s="15" t="s">
        <v>76</v>
      </c>
      <c r="C183" s="1" t="s">
        <v>75</v>
      </c>
      <c r="D183" s="1">
        <v>5</v>
      </c>
      <c r="E183" s="1" t="s">
        <v>315</v>
      </c>
      <c r="F183" s="14"/>
      <c r="G183" s="14"/>
      <c r="H183" s="14"/>
      <c r="I183" s="14"/>
      <c r="J183" s="123">
        <f>VLOOKUP(E183,'C'!P:Q,2,FALSE)</f>
        <v>9</v>
      </c>
    </row>
    <row r="184" spans="1:10" hidden="1" x14ac:dyDescent="0.35">
      <c r="A184" s="202" t="s">
        <v>82</v>
      </c>
      <c r="B184" s="15" t="s">
        <v>77</v>
      </c>
      <c r="C184" s="1" t="s">
        <v>75</v>
      </c>
      <c r="D184" s="1">
        <v>5</v>
      </c>
      <c r="E184" s="1" t="s">
        <v>315</v>
      </c>
      <c r="F184" s="14"/>
      <c r="G184" s="14"/>
      <c r="H184" s="14"/>
      <c r="I184" s="14"/>
      <c r="J184" s="123">
        <f>VLOOKUP(E184,'C'!P:Q,2,FALSE)</f>
        <v>9</v>
      </c>
    </row>
    <row r="185" spans="1:10" hidden="1" x14ac:dyDescent="0.35">
      <c r="A185" s="202" t="s">
        <v>82</v>
      </c>
      <c r="B185" s="15" t="s">
        <v>78</v>
      </c>
      <c r="C185" s="1" t="s">
        <v>75</v>
      </c>
      <c r="D185" s="1">
        <v>5</v>
      </c>
      <c r="E185" s="1" t="s">
        <v>315</v>
      </c>
      <c r="F185" s="14"/>
      <c r="G185" s="14"/>
      <c r="H185" s="14"/>
      <c r="I185" s="14"/>
      <c r="J185" s="123">
        <f>VLOOKUP(E185,'C'!P:Q,2,FALSE)</f>
        <v>9</v>
      </c>
    </row>
    <row r="186" spans="1:10" hidden="1" x14ac:dyDescent="0.35">
      <c r="A186" s="202" t="s">
        <v>82</v>
      </c>
      <c r="B186" s="15" t="s">
        <v>79</v>
      </c>
      <c r="C186" s="1" t="s">
        <v>75</v>
      </c>
      <c r="D186" s="1">
        <v>5</v>
      </c>
      <c r="E186" s="1" t="s">
        <v>315</v>
      </c>
      <c r="F186" s="14"/>
      <c r="G186" s="14"/>
      <c r="H186" s="14"/>
      <c r="I186" s="14"/>
      <c r="J186" s="123">
        <f>VLOOKUP(E186,'C'!P:Q,2,FALSE)</f>
        <v>9</v>
      </c>
    </row>
    <row r="187" spans="1:10" hidden="1" x14ac:dyDescent="0.35">
      <c r="A187" s="202" t="s">
        <v>82</v>
      </c>
      <c r="B187" s="15" t="s">
        <v>80</v>
      </c>
      <c r="C187" s="1" t="s">
        <v>75</v>
      </c>
      <c r="D187" s="1">
        <v>5</v>
      </c>
      <c r="E187" s="1" t="s">
        <v>315</v>
      </c>
      <c r="F187" s="14"/>
      <c r="G187" s="14"/>
      <c r="H187" s="14"/>
      <c r="I187" s="14"/>
      <c r="J187" s="123">
        <f>VLOOKUP(E187,'C'!P:Q,2,FALSE)</f>
        <v>9</v>
      </c>
    </row>
    <row r="188" spans="1:10" hidden="1" x14ac:dyDescent="0.35">
      <c r="A188" s="202" t="s">
        <v>83</v>
      </c>
      <c r="B188" s="15" t="s">
        <v>74</v>
      </c>
      <c r="C188" s="91" t="s">
        <v>75</v>
      </c>
      <c r="D188" s="91" t="s">
        <v>84</v>
      </c>
      <c r="E188" s="1" t="s">
        <v>315</v>
      </c>
      <c r="F188" s="14"/>
      <c r="G188" s="14"/>
      <c r="H188" s="14"/>
      <c r="I188" s="14"/>
      <c r="J188" s="123">
        <f>VLOOKUP(E188,'C'!P:Q,2,FALSE)</f>
        <v>9</v>
      </c>
    </row>
    <row r="189" spans="1:10" hidden="1" x14ac:dyDescent="0.35">
      <c r="A189" s="202" t="s">
        <v>83</v>
      </c>
      <c r="B189" s="15" t="s">
        <v>76</v>
      </c>
      <c r="C189" s="1" t="s">
        <v>75</v>
      </c>
      <c r="D189" s="1" t="s">
        <v>84</v>
      </c>
      <c r="E189" s="1" t="s">
        <v>315</v>
      </c>
      <c r="F189" s="14"/>
      <c r="G189" s="14"/>
      <c r="H189" s="14"/>
      <c r="I189" s="14"/>
      <c r="J189" s="123">
        <f>VLOOKUP(E189,'C'!P:Q,2,FALSE)</f>
        <v>9</v>
      </c>
    </row>
    <row r="190" spans="1:10" hidden="1" x14ac:dyDescent="0.35">
      <c r="A190" s="202" t="s">
        <v>83</v>
      </c>
      <c r="B190" s="15" t="s">
        <v>77</v>
      </c>
      <c r="C190" s="1" t="s">
        <v>75</v>
      </c>
      <c r="D190" s="1" t="s">
        <v>84</v>
      </c>
      <c r="E190" s="1" t="s">
        <v>315</v>
      </c>
      <c r="F190" s="14"/>
      <c r="G190" s="14"/>
      <c r="H190" s="14"/>
      <c r="I190" s="14"/>
      <c r="J190" s="123">
        <f>VLOOKUP(E190,'C'!P:Q,2,FALSE)</f>
        <v>9</v>
      </c>
    </row>
    <row r="191" spans="1:10" hidden="1" x14ac:dyDescent="0.35">
      <c r="A191" s="202" t="s">
        <v>83</v>
      </c>
      <c r="B191" s="15" t="s">
        <v>78</v>
      </c>
      <c r="C191" s="1" t="s">
        <v>75</v>
      </c>
      <c r="D191" s="1" t="s">
        <v>84</v>
      </c>
      <c r="E191" s="1" t="s">
        <v>315</v>
      </c>
      <c r="F191" s="14"/>
      <c r="G191" s="14"/>
      <c r="H191" s="14"/>
      <c r="I191" s="14"/>
      <c r="J191" s="123">
        <f>VLOOKUP(E191,'C'!P:Q,2,FALSE)</f>
        <v>9</v>
      </c>
    </row>
    <row r="192" spans="1:10" hidden="1" x14ac:dyDescent="0.35">
      <c r="A192" s="202" t="s">
        <v>83</v>
      </c>
      <c r="B192" s="15" t="s">
        <v>79</v>
      </c>
      <c r="C192" s="1" t="s">
        <v>75</v>
      </c>
      <c r="D192" s="1" t="s">
        <v>84</v>
      </c>
      <c r="E192" s="1" t="s">
        <v>315</v>
      </c>
      <c r="F192" s="14"/>
      <c r="G192" s="14"/>
      <c r="H192" s="14"/>
      <c r="I192" s="14"/>
      <c r="J192" s="123">
        <f>VLOOKUP(E192,'C'!P:Q,2,FALSE)</f>
        <v>9</v>
      </c>
    </row>
    <row r="193" spans="1:10" hidden="1" x14ac:dyDescent="0.35">
      <c r="A193" s="202" t="s">
        <v>83</v>
      </c>
      <c r="B193" s="15" t="s">
        <v>80</v>
      </c>
      <c r="C193" s="1" t="s">
        <v>75</v>
      </c>
      <c r="D193" s="1" t="s">
        <v>84</v>
      </c>
      <c r="E193" s="1" t="s">
        <v>315</v>
      </c>
      <c r="F193" s="14"/>
      <c r="G193" s="14"/>
      <c r="H193" s="14"/>
      <c r="I193" s="14"/>
      <c r="J193" s="123">
        <f>VLOOKUP(E193,'C'!P:Q,2,FALSE)</f>
        <v>9</v>
      </c>
    </row>
    <row r="194" spans="1:10" x14ac:dyDescent="0.35">
      <c r="A194" s="218" t="s">
        <v>73</v>
      </c>
      <c r="B194" s="3" t="s">
        <v>74</v>
      </c>
      <c r="C194" s="1" t="s">
        <v>75</v>
      </c>
      <c r="D194" s="1">
        <v>5</v>
      </c>
      <c r="E194" s="1" t="s">
        <v>316</v>
      </c>
      <c r="F194" s="1"/>
      <c r="G194" s="1"/>
      <c r="H194" s="1"/>
      <c r="I194" s="1"/>
      <c r="J194" s="123">
        <f>VLOOKUP(E194,'C'!P:Q,2,FALSE)</f>
        <v>10</v>
      </c>
    </row>
    <row r="195" spans="1:10" x14ac:dyDescent="0.35">
      <c r="A195" s="218" t="s">
        <v>73</v>
      </c>
      <c r="B195" s="3" t="s">
        <v>76</v>
      </c>
      <c r="C195" s="1" t="s">
        <v>75</v>
      </c>
      <c r="D195" s="1">
        <v>5</v>
      </c>
      <c r="E195" s="1" t="s">
        <v>316</v>
      </c>
      <c r="F195" s="1"/>
      <c r="G195" s="1"/>
      <c r="H195" s="1"/>
      <c r="I195" s="1"/>
      <c r="J195" s="123">
        <f>VLOOKUP(E195,'C'!P:Q,2,FALSE)</f>
        <v>10</v>
      </c>
    </row>
    <row r="196" spans="1:10" x14ac:dyDescent="0.35">
      <c r="A196" s="218" t="s">
        <v>73</v>
      </c>
      <c r="B196" s="3" t="s">
        <v>77</v>
      </c>
      <c r="C196" s="1" t="s">
        <v>75</v>
      </c>
      <c r="D196" s="1">
        <v>5</v>
      </c>
      <c r="E196" s="1" t="s">
        <v>316</v>
      </c>
      <c r="F196" s="1"/>
      <c r="G196" s="1"/>
      <c r="H196" s="1"/>
      <c r="I196" s="1"/>
      <c r="J196" s="123">
        <f>VLOOKUP(E196,'C'!P:Q,2,FALSE)</f>
        <v>10</v>
      </c>
    </row>
    <row r="197" spans="1:10" x14ac:dyDescent="0.35">
      <c r="A197" s="218" t="s">
        <v>73</v>
      </c>
      <c r="B197" s="3" t="s">
        <v>78</v>
      </c>
      <c r="C197" s="1" t="s">
        <v>75</v>
      </c>
      <c r="D197" s="1">
        <v>5</v>
      </c>
      <c r="E197" s="1" t="s">
        <v>316</v>
      </c>
      <c r="F197" s="1"/>
      <c r="G197" s="1"/>
      <c r="H197" s="1"/>
      <c r="I197" s="1"/>
      <c r="J197" s="123">
        <f>VLOOKUP(E197,'C'!P:Q,2,FALSE)</f>
        <v>10</v>
      </c>
    </row>
    <row r="198" spans="1:10" x14ac:dyDescent="0.35">
      <c r="A198" s="218" t="s">
        <v>73</v>
      </c>
      <c r="B198" s="3" t="s">
        <v>79</v>
      </c>
      <c r="C198" s="1" t="s">
        <v>75</v>
      </c>
      <c r="D198" s="1">
        <v>5</v>
      </c>
      <c r="E198" s="1" t="s">
        <v>316</v>
      </c>
      <c r="F198" s="1"/>
      <c r="G198" s="1"/>
      <c r="H198" s="1"/>
      <c r="I198" s="1"/>
      <c r="J198" s="123">
        <f>VLOOKUP(E198,'C'!P:Q,2,FALSE)</f>
        <v>10</v>
      </c>
    </row>
    <row r="199" spans="1:10" x14ac:dyDescent="0.35">
      <c r="A199" s="218" t="s">
        <v>73</v>
      </c>
      <c r="B199" s="3" t="s">
        <v>80</v>
      </c>
      <c r="C199" s="1" t="s">
        <v>75</v>
      </c>
      <c r="D199" s="1">
        <v>5</v>
      </c>
      <c r="E199" s="1" t="s">
        <v>316</v>
      </c>
      <c r="F199" s="1"/>
      <c r="G199" s="1"/>
      <c r="H199" s="1"/>
      <c r="I199" s="1"/>
      <c r="J199" s="123">
        <f>VLOOKUP(E199,'C'!P:Q,2,FALSE)</f>
        <v>10</v>
      </c>
    </row>
    <row r="200" spans="1:10" hidden="1" x14ac:dyDescent="0.35">
      <c r="A200" s="218" t="s">
        <v>81</v>
      </c>
      <c r="B200" s="3" t="s">
        <v>76</v>
      </c>
      <c r="C200" s="91" t="s">
        <v>75</v>
      </c>
      <c r="D200" s="91">
        <v>5</v>
      </c>
      <c r="E200" s="1" t="s">
        <v>316</v>
      </c>
      <c r="F200" s="1"/>
      <c r="G200" s="1"/>
      <c r="H200" s="1"/>
      <c r="I200" s="1"/>
      <c r="J200" s="123">
        <f>VLOOKUP(E200,'C'!P:Q,2,FALSE)</f>
        <v>10</v>
      </c>
    </row>
    <row r="201" spans="1:10" hidden="1" x14ac:dyDescent="0.35">
      <c r="A201" s="218" t="s">
        <v>81</v>
      </c>
      <c r="B201" s="3" t="s">
        <v>74</v>
      </c>
      <c r="C201" s="1" t="s">
        <v>75</v>
      </c>
      <c r="D201" s="1">
        <v>5</v>
      </c>
      <c r="E201" s="1" t="s">
        <v>316</v>
      </c>
      <c r="F201" s="1"/>
      <c r="G201" s="1"/>
      <c r="H201" s="1"/>
      <c r="I201" s="1"/>
      <c r="J201" s="123">
        <f>VLOOKUP(E201,'C'!P:Q,2,FALSE)</f>
        <v>10</v>
      </c>
    </row>
    <row r="202" spans="1:10" hidden="1" x14ac:dyDescent="0.35">
      <c r="A202" s="218" t="s">
        <v>81</v>
      </c>
      <c r="B202" s="3" t="s">
        <v>78</v>
      </c>
      <c r="C202" s="1" t="s">
        <v>75</v>
      </c>
      <c r="D202" s="1">
        <v>5</v>
      </c>
      <c r="E202" s="1" t="s">
        <v>316</v>
      </c>
      <c r="F202" s="1"/>
      <c r="G202" s="1"/>
      <c r="H202" s="1"/>
      <c r="I202" s="1"/>
      <c r="J202" s="123">
        <f>VLOOKUP(E202,'C'!P:Q,2,FALSE)</f>
        <v>10</v>
      </c>
    </row>
    <row r="203" spans="1:10" hidden="1" x14ac:dyDescent="0.35">
      <c r="A203" s="218" t="s">
        <v>81</v>
      </c>
      <c r="B203" s="3" t="s">
        <v>77</v>
      </c>
      <c r="C203" s="1" t="s">
        <v>75</v>
      </c>
      <c r="D203" s="1">
        <v>5</v>
      </c>
      <c r="E203" s="1" t="s">
        <v>316</v>
      </c>
      <c r="F203" s="1"/>
      <c r="G203" s="1"/>
      <c r="H203" s="1"/>
      <c r="I203" s="1"/>
      <c r="J203" s="123">
        <f>VLOOKUP(E203,'C'!P:Q,2,FALSE)</f>
        <v>10</v>
      </c>
    </row>
    <row r="204" spans="1:10" hidden="1" x14ac:dyDescent="0.35">
      <c r="A204" s="218" t="s">
        <v>81</v>
      </c>
      <c r="B204" s="3" t="s">
        <v>79</v>
      </c>
      <c r="C204" s="1" t="s">
        <v>75</v>
      </c>
      <c r="D204" s="1">
        <v>5</v>
      </c>
      <c r="E204" s="1" t="s">
        <v>316</v>
      </c>
      <c r="F204" s="1"/>
      <c r="G204" s="1"/>
      <c r="H204" s="1"/>
      <c r="I204" s="1"/>
      <c r="J204" s="123">
        <f>VLOOKUP(E204,'C'!P:Q,2,FALSE)</f>
        <v>10</v>
      </c>
    </row>
    <row r="205" spans="1:10" hidden="1" x14ac:dyDescent="0.35">
      <c r="A205" s="218" t="s">
        <v>81</v>
      </c>
      <c r="B205" s="3" t="s">
        <v>80</v>
      </c>
      <c r="C205" s="1" t="s">
        <v>75</v>
      </c>
      <c r="D205" s="1">
        <v>5</v>
      </c>
      <c r="E205" s="1" t="s">
        <v>316</v>
      </c>
      <c r="F205" s="1"/>
      <c r="G205" s="1"/>
      <c r="H205" s="1"/>
      <c r="I205" s="1"/>
      <c r="J205" s="123">
        <f>VLOOKUP(E205,'C'!P:Q,2,FALSE)</f>
        <v>10</v>
      </c>
    </row>
    <row r="206" spans="1:10" hidden="1" x14ac:dyDescent="0.35">
      <c r="A206" s="202" t="s">
        <v>82</v>
      </c>
      <c r="B206" s="15" t="s">
        <v>74</v>
      </c>
      <c r="C206" s="91" t="s">
        <v>75</v>
      </c>
      <c r="D206" s="91">
        <v>5</v>
      </c>
      <c r="E206" s="1" t="s">
        <v>316</v>
      </c>
      <c r="F206" s="1"/>
      <c r="G206" s="1"/>
      <c r="H206" s="1"/>
      <c r="I206" s="1"/>
      <c r="J206" s="123">
        <f>VLOOKUP(E206,'C'!P:Q,2,FALSE)</f>
        <v>10</v>
      </c>
    </row>
    <row r="207" spans="1:10" hidden="1" x14ac:dyDescent="0.35">
      <c r="A207" s="202" t="s">
        <v>82</v>
      </c>
      <c r="B207" s="15" t="s">
        <v>76</v>
      </c>
      <c r="C207" s="1" t="s">
        <v>75</v>
      </c>
      <c r="D207" s="1">
        <v>5</v>
      </c>
      <c r="E207" s="1" t="s">
        <v>316</v>
      </c>
      <c r="F207" s="1"/>
      <c r="G207" s="1"/>
      <c r="H207" s="1"/>
      <c r="I207" s="1"/>
      <c r="J207" s="123">
        <f>VLOOKUP(E207,'C'!P:Q,2,FALSE)</f>
        <v>10</v>
      </c>
    </row>
    <row r="208" spans="1:10" hidden="1" x14ac:dyDescent="0.35">
      <c r="A208" s="202" t="s">
        <v>82</v>
      </c>
      <c r="B208" s="15" t="s">
        <v>77</v>
      </c>
      <c r="C208" s="1" t="s">
        <v>75</v>
      </c>
      <c r="D208" s="1">
        <v>5</v>
      </c>
      <c r="E208" s="1" t="s">
        <v>316</v>
      </c>
      <c r="F208" s="1"/>
      <c r="G208" s="1"/>
      <c r="H208" s="1"/>
      <c r="I208" s="1"/>
      <c r="J208" s="123">
        <f>VLOOKUP(E208,'C'!P:Q,2,FALSE)</f>
        <v>10</v>
      </c>
    </row>
    <row r="209" spans="1:10" hidden="1" x14ac:dyDescent="0.35">
      <c r="A209" s="202" t="s">
        <v>82</v>
      </c>
      <c r="B209" s="15" t="s">
        <v>78</v>
      </c>
      <c r="C209" s="1" t="s">
        <v>75</v>
      </c>
      <c r="D209" s="1">
        <v>5</v>
      </c>
      <c r="E209" s="1" t="s">
        <v>316</v>
      </c>
      <c r="F209" s="1"/>
      <c r="G209" s="1"/>
      <c r="H209" s="1"/>
      <c r="I209" s="1"/>
      <c r="J209" s="123">
        <f>VLOOKUP(E209,'C'!P:Q,2,FALSE)</f>
        <v>10</v>
      </c>
    </row>
    <row r="210" spans="1:10" hidden="1" x14ac:dyDescent="0.35">
      <c r="A210" s="202" t="s">
        <v>82</v>
      </c>
      <c r="B210" s="15" t="s">
        <v>79</v>
      </c>
      <c r="C210" s="1" t="s">
        <v>75</v>
      </c>
      <c r="D210" s="1">
        <v>5</v>
      </c>
      <c r="E210" s="1" t="s">
        <v>316</v>
      </c>
      <c r="F210" s="1"/>
      <c r="G210" s="1"/>
      <c r="H210" s="1"/>
      <c r="I210" s="1"/>
      <c r="J210" s="123">
        <f>VLOOKUP(E210,'C'!P:Q,2,FALSE)</f>
        <v>10</v>
      </c>
    </row>
    <row r="211" spans="1:10" hidden="1" x14ac:dyDescent="0.35">
      <c r="A211" s="202" t="s">
        <v>82</v>
      </c>
      <c r="B211" s="15" t="s">
        <v>80</v>
      </c>
      <c r="C211" s="1" t="s">
        <v>75</v>
      </c>
      <c r="D211" s="1">
        <v>5</v>
      </c>
      <c r="E211" s="1" t="s">
        <v>316</v>
      </c>
      <c r="F211" s="1"/>
      <c r="G211" s="1"/>
      <c r="H211" s="1"/>
      <c r="I211" s="1"/>
      <c r="J211" s="123">
        <f>VLOOKUP(E211,'C'!P:Q,2,FALSE)</f>
        <v>10</v>
      </c>
    </row>
    <row r="212" spans="1:10" hidden="1" x14ac:dyDescent="0.35">
      <c r="A212" s="202" t="s">
        <v>83</v>
      </c>
      <c r="B212" s="15" t="s">
        <v>74</v>
      </c>
      <c r="C212" s="91" t="s">
        <v>75</v>
      </c>
      <c r="D212" s="91" t="s">
        <v>84</v>
      </c>
      <c r="E212" s="1" t="s">
        <v>316</v>
      </c>
      <c r="F212" s="1"/>
      <c r="G212" s="1"/>
      <c r="H212" s="1"/>
      <c r="I212" s="1"/>
      <c r="J212" s="123">
        <f>VLOOKUP(E212,'C'!P:Q,2,FALSE)</f>
        <v>10</v>
      </c>
    </row>
    <row r="213" spans="1:10" hidden="1" x14ac:dyDescent="0.35">
      <c r="A213" s="202" t="s">
        <v>83</v>
      </c>
      <c r="B213" s="15" t="s">
        <v>76</v>
      </c>
      <c r="C213" s="1" t="s">
        <v>75</v>
      </c>
      <c r="D213" s="1" t="s">
        <v>84</v>
      </c>
      <c r="E213" s="1" t="s">
        <v>316</v>
      </c>
      <c r="F213" s="1"/>
      <c r="G213" s="1"/>
      <c r="H213" s="1"/>
      <c r="I213" s="1"/>
      <c r="J213" s="123">
        <f>VLOOKUP(E213,'C'!P:Q,2,FALSE)</f>
        <v>10</v>
      </c>
    </row>
    <row r="214" spans="1:10" hidden="1" x14ac:dyDescent="0.35">
      <c r="A214" s="202" t="s">
        <v>83</v>
      </c>
      <c r="B214" s="15" t="s">
        <v>77</v>
      </c>
      <c r="C214" s="1" t="s">
        <v>75</v>
      </c>
      <c r="D214" s="1" t="s">
        <v>84</v>
      </c>
      <c r="E214" s="1" t="s">
        <v>316</v>
      </c>
      <c r="F214" s="1"/>
      <c r="G214" s="1"/>
      <c r="H214" s="1"/>
      <c r="I214" s="1"/>
      <c r="J214" s="123">
        <f>VLOOKUP(E214,'C'!P:Q,2,FALSE)</f>
        <v>10</v>
      </c>
    </row>
    <row r="215" spans="1:10" hidden="1" x14ac:dyDescent="0.35">
      <c r="A215" s="202" t="s">
        <v>83</v>
      </c>
      <c r="B215" s="15" t="s">
        <v>78</v>
      </c>
      <c r="C215" s="1" t="s">
        <v>75</v>
      </c>
      <c r="D215" s="1" t="s">
        <v>84</v>
      </c>
      <c r="E215" s="1" t="s">
        <v>316</v>
      </c>
      <c r="F215" s="1"/>
      <c r="G215" s="1"/>
      <c r="H215" s="1"/>
      <c r="I215" s="1"/>
      <c r="J215" s="123">
        <f>VLOOKUP(E215,'C'!P:Q,2,FALSE)</f>
        <v>10</v>
      </c>
    </row>
    <row r="216" spans="1:10" hidden="1" x14ac:dyDescent="0.35">
      <c r="A216" s="202" t="s">
        <v>83</v>
      </c>
      <c r="B216" s="15" t="s">
        <v>79</v>
      </c>
      <c r="C216" s="1" t="s">
        <v>75</v>
      </c>
      <c r="D216" s="1" t="s">
        <v>84</v>
      </c>
      <c r="E216" s="1" t="s">
        <v>316</v>
      </c>
      <c r="F216" s="1"/>
      <c r="G216" s="1"/>
      <c r="H216" s="1"/>
      <c r="I216" s="1"/>
      <c r="J216" s="123">
        <f>VLOOKUP(E216,'C'!P:Q,2,FALSE)</f>
        <v>10</v>
      </c>
    </row>
    <row r="217" spans="1:10" hidden="1" x14ac:dyDescent="0.35">
      <c r="A217" s="202" t="s">
        <v>83</v>
      </c>
      <c r="B217" s="15" t="s">
        <v>80</v>
      </c>
      <c r="C217" s="1" t="s">
        <v>75</v>
      </c>
      <c r="D217" s="1" t="s">
        <v>84</v>
      </c>
      <c r="E217" s="1" t="s">
        <v>316</v>
      </c>
      <c r="F217" s="1"/>
      <c r="G217" s="1"/>
      <c r="H217" s="1"/>
      <c r="I217" s="1"/>
      <c r="J217" s="123">
        <f>VLOOKUP(E217,'C'!P:Q,2,FALSE)</f>
        <v>10</v>
      </c>
    </row>
    <row r="218" spans="1:10" x14ac:dyDescent="0.35">
      <c r="A218" s="218" t="s">
        <v>73</v>
      </c>
      <c r="B218" s="3" t="s">
        <v>74</v>
      </c>
      <c r="C218" s="1" t="s">
        <v>75</v>
      </c>
      <c r="D218" s="1">
        <v>5</v>
      </c>
      <c r="E218" s="1" t="s">
        <v>140</v>
      </c>
      <c r="F218" s="14"/>
      <c r="G218" s="14"/>
      <c r="H218" s="14"/>
      <c r="I218" s="14"/>
      <c r="J218" s="123">
        <f>VLOOKUP(E218,'C'!P:Q,2,FALSE)</f>
        <v>11</v>
      </c>
    </row>
    <row r="219" spans="1:10" x14ac:dyDescent="0.35">
      <c r="A219" s="218" t="s">
        <v>73</v>
      </c>
      <c r="B219" s="3" t="s">
        <v>76</v>
      </c>
      <c r="C219" s="1" t="s">
        <v>75</v>
      </c>
      <c r="D219" s="1">
        <v>5</v>
      </c>
      <c r="E219" s="1" t="s">
        <v>140</v>
      </c>
      <c r="F219" s="14"/>
      <c r="G219" s="14"/>
      <c r="H219" s="14"/>
      <c r="I219" s="14"/>
      <c r="J219" s="123">
        <f>VLOOKUP(E219,'C'!P:Q,2,FALSE)</f>
        <v>11</v>
      </c>
    </row>
    <row r="220" spans="1:10" x14ac:dyDescent="0.35">
      <c r="A220" s="218" t="s">
        <v>73</v>
      </c>
      <c r="B220" s="3" t="s">
        <v>77</v>
      </c>
      <c r="C220" s="1" t="s">
        <v>75</v>
      </c>
      <c r="D220" s="1">
        <v>5</v>
      </c>
      <c r="E220" s="1" t="s">
        <v>140</v>
      </c>
      <c r="F220" s="14"/>
      <c r="G220" s="14"/>
      <c r="H220" s="14"/>
      <c r="I220" s="14"/>
      <c r="J220" s="123">
        <f>VLOOKUP(E220,'C'!P:Q,2,FALSE)</f>
        <v>11</v>
      </c>
    </row>
    <row r="221" spans="1:10" x14ac:dyDescent="0.35">
      <c r="A221" s="218" t="s">
        <v>73</v>
      </c>
      <c r="B221" s="3" t="s">
        <v>78</v>
      </c>
      <c r="C221" s="1" t="s">
        <v>75</v>
      </c>
      <c r="D221" s="1">
        <v>5</v>
      </c>
      <c r="E221" s="1" t="s">
        <v>140</v>
      </c>
      <c r="F221" s="14"/>
      <c r="G221" s="14"/>
      <c r="H221" s="14"/>
      <c r="I221" s="14"/>
      <c r="J221" s="123">
        <f>VLOOKUP(E221,'C'!P:Q,2,FALSE)</f>
        <v>11</v>
      </c>
    </row>
    <row r="222" spans="1:10" x14ac:dyDescent="0.35">
      <c r="A222" s="218" t="s">
        <v>73</v>
      </c>
      <c r="B222" s="3" t="s">
        <v>79</v>
      </c>
      <c r="C222" s="1" t="s">
        <v>75</v>
      </c>
      <c r="D222" s="1">
        <v>5</v>
      </c>
      <c r="E222" s="1" t="s">
        <v>140</v>
      </c>
      <c r="F222" s="14"/>
      <c r="G222" s="14"/>
      <c r="H222" s="14"/>
      <c r="I222" s="14"/>
      <c r="J222" s="123">
        <f>VLOOKUP(E222,'C'!P:Q,2,FALSE)</f>
        <v>11</v>
      </c>
    </row>
    <row r="223" spans="1:10" x14ac:dyDescent="0.35">
      <c r="A223" s="218" t="s">
        <v>73</v>
      </c>
      <c r="B223" s="3" t="s">
        <v>80</v>
      </c>
      <c r="C223" s="1" t="s">
        <v>75</v>
      </c>
      <c r="D223" s="1">
        <v>5</v>
      </c>
      <c r="E223" s="1" t="s">
        <v>140</v>
      </c>
      <c r="F223" s="14"/>
      <c r="G223" s="14"/>
      <c r="H223" s="14">
        <v>0.3</v>
      </c>
      <c r="I223" s="14">
        <v>0.4</v>
      </c>
      <c r="J223" s="123">
        <f>VLOOKUP(E223,'C'!P:Q,2,FALSE)</f>
        <v>11</v>
      </c>
    </row>
    <row r="224" spans="1:10" hidden="1" x14ac:dyDescent="0.35">
      <c r="A224" s="218" t="s">
        <v>81</v>
      </c>
      <c r="B224" s="3" t="s">
        <v>76</v>
      </c>
      <c r="C224" s="91" t="s">
        <v>75</v>
      </c>
      <c r="D224" s="91">
        <v>5</v>
      </c>
      <c r="E224" s="1" t="s">
        <v>140</v>
      </c>
      <c r="F224" s="14"/>
      <c r="G224" s="14"/>
      <c r="H224" s="14"/>
      <c r="I224" s="14"/>
      <c r="J224" s="123">
        <f>VLOOKUP(E224,'C'!P:Q,2,FALSE)</f>
        <v>11</v>
      </c>
    </row>
    <row r="225" spans="1:10" hidden="1" x14ac:dyDescent="0.35">
      <c r="A225" s="218" t="s">
        <v>81</v>
      </c>
      <c r="B225" s="3" t="s">
        <v>74</v>
      </c>
      <c r="C225" s="1" t="s">
        <v>75</v>
      </c>
      <c r="D225" s="1">
        <v>5</v>
      </c>
      <c r="E225" s="1" t="s">
        <v>140</v>
      </c>
      <c r="F225" s="14"/>
      <c r="G225" s="14"/>
      <c r="H225" s="14"/>
      <c r="I225" s="14"/>
      <c r="J225" s="123">
        <f>VLOOKUP(E225,'C'!P:Q,2,FALSE)</f>
        <v>11</v>
      </c>
    </row>
    <row r="226" spans="1:10" hidden="1" x14ac:dyDescent="0.35">
      <c r="A226" s="218" t="s">
        <v>81</v>
      </c>
      <c r="B226" s="3" t="s">
        <v>78</v>
      </c>
      <c r="C226" s="1" t="s">
        <v>75</v>
      </c>
      <c r="D226" s="1">
        <v>5</v>
      </c>
      <c r="E226" s="1" t="s">
        <v>140</v>
      </c>
      <c r="F226" s="14"/>
      <c r="G226" s="14"/>
      <c r="H226" s="14"/>
      <c r="I226" s="14"/>
      <c r="J226" s="123">
        <f>VLOOKUP(E226,'C'!P:Q,2,FALSE)</f>
        <v>11</v>
      </c>
    </row>
    <row r="227" spans="1:10" hidden="1" x14ac:dyDescent="0.35">
      <c r="A227" s="218" t="s">
        <v>81</v>
      </c>
      <c r="B227" s="3" t="s">
        <v>77</v>
      </c>
      <c r="C227" s="1" t="s">
        <v>75</v>
      </c>
      <c r="D227" s="1">
        <v>5</v>
      </c>
      <c r="E227" s="1" t="s">
        <v>140</v>
      </c>
      <c r="F227" s="14"/>
      <c r="G227" s="14"/>
      <c r="H227" s="14"/>
      <c r="I227" s="14"/>
      <c r="J227" s="123">
        <f>VLOOKUP(E227,'C'!P:Q,2,FALSE)</f>
        <v>11</v>
      </c>
    </row>
    <row r="228" spans="1:10" hidden="1" x14ac:dyDescent="0.35">
      <c r="A228" s="218" t="s">
        <v>81</v>
      </c>
      <c r="B228" s="3" t="s">
        <v>79</v>
      </c>
      <c r="C228" s="1" t="s">
        <v>75</v>
      </c>
      <c r="D228" s="1">
        <v>5</v>
      </c>
      <c r="E228" s="1" t="s">
        <v>140</v>
      </c>
      <c r="F228" s="14"/>
      <c r="G228" s="14"/>
      <c r="H228" s="14"/>
      <c r="I228" s="14"/>
      <c r="J228" s="123">
        <f>VLOOKUP(E228,'C'!P:Q,2,FALSE)</f>
        <v>11</v>
      </c>
    </row>
    <row r="229" spans="1:10" hidden="1" x14ac:dyDescent="0.35">
      <c r="A229" s="218" t="s">
        <v>81</v>
      </c>
      <c r="B229" s="3" t="s">
        <v>80</v>
      </c>
      <c r="C229" s="1" t="s">
        <v>75</v>
      </c>
      <c r="D229" s="1">
        <v>5</v>
      </c>
      <c r="E229" s="1" t="s">
        <v>140</v>
      </c>
      <c r="F229" s="14"/>
      <c r="G229" s="14"/>
      <c r="H229" s="14"/>
      <c r="I229" s="14"/>
      <c r="J229" s="123">
        <f>VLOOKUP(E229,'C'!P:Q,2,FALSE)</f>
        <v>11</v>
      </c>
    </row>
    <row r="230" spans="1:10" hidden="1" x14ac:dyDescent="0.35">
      <c r="A230" s="202" t="s">
        <v>82</v>
      </c>
      <c r="B230" s="15" t="s">
        <v>74</v>
      </c>
      <c r="C230" s="91" t="s">
        <v>75</v>
      </c>
      <c r="D230" s="91">
        <v>5</v>
      </c>
      <c r="E230" s="1" t="s">
        <v>140</v>
      </c>
      <c r="F230" s="14"/>
      <c r="G230" s="14"/>
      <c r="H230" s="14"/>
      <c r="I230" s="14"/>
      <c r="J230" s="123">
        <f>VLOOKUP(E230,'C'!P:Q,2,FALSE)</f>
        <v>11</v>
      </c>
    </row>
    <row r="231" spans="1:10" hidden="1" x14ac:dyDescent="0.35">
      <c r="A231" s="202" t="s">
        <v>82</v>
      </c>
      <c r="B231" s="15" t="s">
        <v>76</v>
      </c>
      <c r="C231" s="1" t="s">
        <v>75</v>
      </c>
      <c r="D231" s="1">
        <v>5</v>
      </c>
      <c r="E231" s="1" t="s">
        <v>140</v>
      </c>
      <c r="F231" s="14"/>
      <c r="G231" s="14"/>
      <c r="H231" s="14"/>
      <c r="I231" s="14"/>
      <c r="J231" s="123">
        <f>VLOOKUP(E231,'C'!P:Q,2,FALSE)</f>
        <v>11</v>
      </c>
    </row>
    <row r="232" spans="1:10" hidden="1" x14ac:dyDescent="0.35">
      <c r="A232" s="202" t="s">
        <v>82</v>
      </c>
      <c r="B232" s="15" t="s">
        <v>77</v>
      </c>
      <c r="C232" s="1" t="s">
        <v>75</v>
      </c>
      <c r="D232" s="1">
        <v>5</v>
      </c>
      <c r="E232" s="1" t="s">
        <v>140</v>
      </c>
      <c r="F232" s="14"/>
      <c r="G232" s="14"/>
      <c r="H232" s="14"/>
      <c r="I232" s="14"/>
      <c r="J232" s="123">
        <f>VLOOKUP(E232,'C'!P:Q,2,FALSE)</f>
        <v>11</v>
      </c>
    </row>
    <row r="233" spans="1:10" hidden="1" x14ac:dyDescent="0.35">
      <c r="A233" s="202" t="s">
        <v>82</v>
      </c>
      <c r="B233" s="15" t="s">
        <v>78</v>
      </c>
      <c r="C233" s="1" t="s">
        <v>75</v>
      </c>
      <c r="D233" s="1">
        <v>5</v>
      </c>
      <c r="E233" s="1" t="s">
        <v>140</v>
      </c>
      <c r="F233" s="14"/>
      <c r="G233" s="14"/>
      <c r="H233" s="14"/>
      <c r="I233" s="14"/>
      <c r="J233" s="123">
        <f>VLOOKUP(E233,'C'!P:Q,2,FALSE)</f>
        <v>11</v>
      </c>
    </row>
    <row r="234" spans="1:10" hidden="1" x14ac:dyDescent="0.35">
      <c r="A234" s="202" t="s">
        <v>82</v>
      </c>
      <c r="B234" s="15" t="s">
        <v>79</v>
      </c>
      <c r="C234" s="1" t="s">
        <v>75</v>
      </c>
      <c r="D234" s="1">
        <v>5</v>
      </c>
      <c r="E234" s="1" t="s">
        <v>140</v>
      </c>
      <c r="F234" s="14"/>
      <c r="G234" s="14"/>
      <c r="H234" s="14"/>
      <c r="I234" s="14"/>
      <c r="J234" s="123">
        <f>VLOOKUP(E234,'C'!P:Q,2,FALSE)</f>
        <v>11</v>
      </c>
    </row>
    <row r="235" spans="1:10" hidden="1" x14ac:dyDescent="0.35">
      <c r="A235" s="202" t="s">
        <v>82</v>
      </c>
      <c r="B235" s="15" t="s">
        <v>80</v>
      </c>
      <c r="C235" s="1" t="s">
        <v>75</v>
      </c>
      <c r="D235" s="1">
        <v>5</v>
      </c>
      <c r="E235" s="1" t="s">
        <v>140</v>
      </c>
      <c r="F235" s="14"/>
      <c r="G235" s="14"/>
      <c r="H235" s="14"/>
      <c r="I235" s="14"/>
      <c r="J235" s="123">
        <f>VLOOKUP(E235,'C'!P:Q,2,FALSE)</f>
        <v>11</v>
      </c>
    </row>
    <row r="236" spans="1:10" hidden="1" x14ac:dyDescent="0.35">
      <c r="A236" s="202" t="s">
        <v>83</v>
      </c>
      <c r="B236" s="15" t="s">
        <v>74</v>
      </c>
      <c r="C236" s="91" t="s">
        <v>75</v>
      </c>
      <c r="D236" s="91" t="s">
        <v>84</v>
      </c>
      <c r="E236" s="1" t="s">
        <v>140</v>
      </c>
      <c r="F236" s="14"/>
      <c r="G236" s="14"/>
      <c r="H236" s="14"/>
      <c r="I236" s="14"/>
      <c r="J236" s="123">
        <f>VLOOKUP(E236,'C'!P:Q,2,FALSE)</f>
        <v>11</v>
      </c>
    </row>
    <row r="237" spans="1:10" hidden="1" x14ac:dyDescent="0.35">
      <c r="A237" s="202" t="s">
        <v>83</v>
      </c>
      <c r="B237" s="15" t="s">
        <v>76</v>
      </c>
      <c r="C237" s="1" t="s">
        <v>75</v>
      </c>
      <c r="D237" s="1" t="s">
        <v>84</v>
      </c>
      <c r="E237" s="1" t="s">
        <v>140</v>
      </c>
      <c r="F237" s="14"/>
      <c r="G237" s="14"/>
      <c r="H237" s="14"/>
      <c r="I237" s="14"/>
      <c r="J237" s="123">
        <f>VLOOKUP(E237,'C'!P:Q,2,FALSE)</f>
        <v>11</v>
      </c>
    </row>
    <row r="238" spans="1:10" hidden="1" x14ac:dyDescent="0.35">
      <c r="A238" s="202" t="s">
        <v>83</v>
      </c>
      <c r="B238" s="15" t="s">
        <v>77</v>
      </c>
      <c r="C238" s="1" t="s">
        <v>75</v>
      </c>
      <c r="D238" s="1" t="s">
        <v>84</v>
      </c>
      <c r="E238" s="1" t="s">
        <v>140</v>
      </c>
      <c r="F238" s="14"/>
      <c r="G238" s="14"/>
      <c r="H238" s="14"/>
      <c r="I238" s="14"/>
      <c r="J238" s="123">
        <f>VLOOKUP(E238,'C'!P:Q,2,FALSE)</f>
        <v>11</v>
      </c>
    </row>
    <row r="239" spans="1:10" hidden="1" x14ac:dyDescent="0.35">
      <c r="A239" s="202" t="s">
        <v>83</v>
      </c>
      <c r="B239" s="15" t="s">
        <v>78</v>
      </c>
      <c r="C239" s="1" t="s">
        <v>75</v>
      </c>
      <c r="D239" s="1" t="s">
        <v>84</v>
      </c>
      <c r="E239" s="1" t="s">
        <v>140</v>
      </c>
      <c r="F239" s="14"/>
      <c r="G239" s="14"/>
      <c r="H239" s="14"/>
      <c r="I239" s="14"/>
      <c r="J239" s="123">
        <f>VLOOKUP(E239,'C'!P:Q,2,FALSE)</f>
        <v>11</v>
      </c>
    </row>
    <row r="240" spans="1:10" hidden="1" x14ac:dyDescent="0.35">
      <c r="A240" s="202" t="s">
        <v>83</v>
      </c>
      <c r="B240" s="15" t="s">
        <v>79</v>
      </c>
      <c r="C240" s="1" t="s">
        <v>75</v>
      </c>
      <c r="D240" s="1" t="s">
        <v>84</v>
      </c>
      <c r="E240" s="1" t="s">
        <v>140</v>
      </c>
      <c r="F240" s="14"/>
      <c r="G240" s="14"/>
      <c r="H240" s="14"/>
      <c r="I240" s="14"/>
      <c r="J240" s="123">
        <f>VLOOKUP(E240,'C'!P:Q,2,FALSE)</f>
        <v>11</v>
      </c>
    </row>
    <row r="241" spans="1:10" hidden="1" x14ac:dyDescent="0.35">
      <c r="A241" s="202" t="s">
        <v>83</v>
      </c>
      <c r="B241" s="15" t="s">
        <v>80</v>
      </c>
      <c r="C241" s="1" t="s">
        <v>75</v>
      </c>
      <c r="D241" s="1" t="s">
        <v>84</v>
      </c>
      <c r="E241" s="1" t="s">
        <v>140</v>
      </c>
      <c r="F241" s="14"/>
      <c r="G241" s="14"/>
      <c r="H241" s="14"/>
      <c r="I241" s="14"/>
      <c r="J241" s="123">
        <f>VLOOKUP(E241,'C'!P:Q,2,FALSE)</f>
        <v>11</v>
      </c>
    </row>
    <row r="242" spans="1:10" x14ac:dyDescent="0.35">
      <c r="A242" s="218" t="s">
        <v>73</v>
      </c>
      <c r="B242" s="3" t="s">
        <v>74</v>
      </c>
      <c r="C242" s="1" t="s">
        <v>75</v>
      </c>
      <c r="D242" s="1">
        <v>5</v>
      </c>
      <c r="E242" s="1" t="s">
        <v>288</v>
      </c>
      <c r="F242" s="16"/>
      <c r="G242" s="16"/>
      <c r="H242" s="16">
        <v>200</v>
      </c>
      <c r="I242" s="16">
        <v>230</v>
      </c>
      <c r="J242" s="123">
        <f>VLOOKUP(E242,'C'!P:Q,2,FALSE)</f>
        <v>12</v>
      </c>
    </row>
    <row r="243" spans="1:10" x14ac:dyDescent="0.35">
      <c r="A243" s="218" t="s">
        <v>73</v>
      </c>
      <c r="B243" s="3" t="s">
        <v>76</v>
      </c>
      <c r="C243" s="1" t="s">
        <v>75</v>
      </c>
      <c r="D243" s="1">
        <v>5</v>
      </c>
      <c r="E243" s="1" t="s">
        <v>288</v>
      </c>
      <c r="F243" s="16"/>
      <c r="G243" s="16"/>
      <c r="H243" s="16">
        <v>200</v>
      </c>
      <c r="I243" s="16">
        <v>230</v>
      </c>
      <c r="J243" s="123">
        <f>VLOOKUP(E243,'C'!P:Q,2,FALSE)</f>
        <v>12</v>
      </c>
    </row>
    <row r="244" spans="1:10" x14ac:dyDescent="0.35">
      <c r="A244" s="218" t="s">
        <v>73</v>
      </c>
      <c r="B244" s="3" t="s">
        <v>77</v>
      </c>
      <c r="C244" s="1" t="s">
        <v>75</v>
      </c>
      <c r="D244" s="1">
        <v>5</v>
      </c>
      <c r="E244" s="1" t="s">
        <v>288</v>
      </c>
      <c r="F244" s="16"/>
      <c r="G244" s="16"/>
      <c r="H244" s="16">
        <v>32</v>
      </c>
      <c r="I244" s="16">
        <v>40</v>
      </c>
      <c r="J244" s="123">
        <f>VLOOKUP(E244,'C'!P:Q,2,FALSE)</f>
        <v>12</v>
      </c>
    </row>
    <row r="245" spans="1:10" x14ac:dyDescent="0.35">
      <c r="A245" s="218" t="s">
        <v>73</v>
      </c>
      <c r="B245" s="3" t="s">
        <v>78</v>
      </c>
      <c r="C245" s="1" t="s">
        <v>75</v>
      </c>
      <c r="D245" s="1">
        <v>5</v>
      </c>
      <c r="E245" s="1" t="s">
        <v>288</v>
      </c>
      <c r="F245" s="16"/>
      <c r="G245" s="16"/>
      <c r="H245" s="16">
        <v>32</v>
      </c>
      <c r="I245" s="16">
        <v>40</v>
      </c>
      <c r="J245" s="123">
        <f>VLOOKUP(E245,'C'!P:Q,2,FALSE)</f>
        <v>12</v>
      </c>
    </row>
    <row r="246" spans="1:10" x14ac:dyDescent="0.35">
      <c r="A246" s="218" t="s">
        <v>73</v>
      </c>
      <c r="B246" s="3" t="s">
        <v>79</v>
      </c>
      <c r="C246" s="1" t="s">
        <v>75</v>
      </c>
      <c r="D246" s="1">
        <v>5</v>
      </c>
      <c r="E246" s="1" t="s">
        <v>288</v>
      </c>
      <c r="F246" s="16"/>
      <c r="G246" s="16"/>
      <c r="H246" s="16">
        <v>6</v>
      </c>
      <c r="I246" s="16">
        <v>7</v>
      </c>
      <c r="J246" s="123">
        <f>VLOOKUP(E246,'C'!P:Q,2,FALSE)</f>
        <v>12</v>
      </c>
    </row>
    <row r="247" spans="1:10" x14ac:dyDescent="0.35">
      <c r="A247" s="218" t="s">
        <v>73</v>
      </c>
      <c r="B247" s="3" t="s">
        <v>80</v>
      </c>
      <c r="C247" s="1" t="s">
        <v>75</v>
      </c>
      <c r="D247" s="1">
        <v>5</v>
      </c>
      <c r="E247" s="1" t="s">
        <v>288</v>
      </c>
      <c r="F247" s="27"/>
      <c r="G247" s="27"/>
      <c r="H247" s="27">
        <v>12</v>
      </c>
      <c r="I247" s="27">
        <v>14</v>
      </c>
      <c r="J247" s="123">
        <f>VLOOKUP(E247,'C'!P:Q,2,FALSE)</f>
        <v>12</v>
      </c>
    </row>
    <row r="248" spans="1:10" hidden="1" x14ac:dyDescent="0.35">
      <c r="A248" s="218" t="s">
        <v>81</v>
      </c>
      <c r="B248" s="3" t="s">
        <v>76</v>
      </c>
      <c r="C248" s="91" t="s">
        <v>75</v>
      </c>
      <c r="D248" s="91">
        <v>5</v>
      </c>
      <c r="E248" s="1" t="s">
        <v>288</v>
      </c>
      <c r="F248" s="16"/>
      <c r="G248" s="16"/>
      <c r="H248" s="16">
        <v>145</v>
      </c>
      <c r="I248" s="16">
        <v>165</v>
      </c>
      <c r="J248" s="123">
        <f>VLOOKUP(E248,'C'!P:Q,2,FALSE)</f>
        <v>12</v>
      </c>
    </row>
    <row r="249" spans="1:10" hidden="1" x14ac:dyDescent="0.35">
      <c r="A249" s="218" t="s">
        <v>81</v>
      </c>
      <c r="B249" s="3" t="s">
        <v>74</v>
      </c>
      <c r="C249" s="1" t="s">
        <v>75</v>
      </c>
      <c r="D249" s="1">
        <v>5</v>
      </c>
      <c r="E249" s="1" t="s">
        <v>288</v>
      </c>
      <c r="F249" s="16"/>
      <c r="G249" s="16"/>
      <c r="H249" s="16">
        <v>145</v>
      </c>
      <c r="I249" s="16">
        <v>165</v>
      </c>
      <c r="J249" s="123">
        <f>VLOOKUP(E249,'C'!P:Q,2,FALSE)</f>
        <v>12</v>
      </c>
    </row>
    <row r="250" spans="1:10" hidden="1" x14ac:dyDescent="0.35">
      <c r="A250" s="218" t="s">
        <v>81</v>
      </c>
      <c r="B250" s="3" t="s">
        <v>78</v>
      </c>
      <c r="C250" s="1" t="s">
        <v>75</v>
      </c>
      <c r="D250" s="1">
        <v>5</v>
      </c>
      <c r="E250" s="1" t="s">
        <v>288</v>
      </c>
      <c r="F250" s="16"/>
      <c r="G250" s="16"/>
      <c r="H250" s="16">
        <v>80</v>
      </c>
      <c r="I250" s="16">
        <v>140</v>
      </c>
      <c r="J250" s="123">
        <f>VLOOKUP(E250,'C'!P:Q,2,FALSE)</f>
        <v>12</v>
      </c>
    </row>
    <row r="251" spans="1:10" hidden="1" x14ac:dyDescent="0.35">
      <c r="A251" s="218" t="s">
        <v>81</v>
      </c>
      <c r="B251" s="3" t="s">
        <v>77</v>
      </c>
      <c r="C251" s="1" t="s">
        <v>75</v>
      </c>
      <c r="D251" s="1">
        <v>5</v>
      </c>
      <c r="E251" s="1" t="s">
        <v>288</v>
      </c>
      <c r="F251" s="16"/>
      <c r="G251" s="16"/>
      <c r="H251" s="16">
        <v>80</v>
      </c>
      <c r="I251" s="16">
        <v>140</v>
      </c>
      <c r="J251" s="123">
        <f>VLOOKUP(E251,'C'!P:Q,2,FALSE)</f>
        <v>12</v>
      </c>
    </row>
    <row r="252" spans="1:10" hidden="1" x14ac:dyDescent="0.35">
      <c r="A252" s="218" t="s">
        <v>81</v>
      </c>
      <c r="B252" s="3" t="s">
        <v>79</v>
      </c>
      <c r="C252" s="1" t="s">
        <v>75</v>
      </c>
      <c r="D252" s="1">
        <v>5</v>
      </c>
      <c r="E252" s="1" t="s">
        <v>288</v>
      </c>
      <c r="F252" s="16"/>
      <c r="G252" s="16"/>
      <c r="H252" s="16">
        <v>6</v>
      </c>
      <c r="I252" s="16">
        <v>7</v>
      </c>
      <c r="J252" s="123">
        <f>VLOOKUP(E252,'C'!P:Q,2,FALSE)</f>
        <v>12</v>
      </c>
    </row>
    <row r="253" spans="1:10" hidden="1" x14ac:dyDescent="0.35">
      <c r="A253" s="218" t="s">
        <v>81</v>
      </c>
      <c r="B253" s="3" t="s">
        <v>80</v>
      </c>
      <c r="C253" s="1" t="s">
        <v>75</v>
      </c>
      <c r="D253" s="1">
        <v>5</v>
      </c>
      <c r="E253" s="1" t="s">
        <v>288</v>
      </c>
      <c r="F253" s="27"/>
      <c r="G253" s="27"/>
      <c r="H253" s="366">
        <v>9</v>
      </c>
      <c r="I253" s="366">
        <v>12</v>
      </c>
      <c r="J253" s="123">
        <f>VLOOKUP(E253,'C'!P:Q,2,FALSE)</f>
        <v>12</v>
      </c>
    </row>
    <row r="254" spans="1:10" hidden="1" x14ac:dyDescent="0.35">
      <c r="A254" s="202" t="s">
        <v>82</v>
      </c>
      <c r="B254" s="15" t="s">
        <v>74</v>
      </c>
      <c r="C254" s="91" t="s">
        <v>75</v>
      </c>
      <c r="D254" s="91">
        <v>5</v>
      </c>
      <c r="E254" s="1" t="s">
        <v>288</v>
      </c>
      <c r="F254" s="14"/>
      <c r="G254" s="14"/>
      <c r="H254" s="14">
        <v>145</v>
      </c>
      <c r="I254" s="14">
        <v>165</v>
      </c>
      <c r="J254" s="123">
        <f>VLOOKUP(E254,'C'!P:Q,2,FALSE)</f>
        <v>12</v>
      </c>
    </row>
    <row r="255" spans="1:10" hidden="1" x14ac:dyDescent="0.35">
      <c r="A255" s="202" t="s">
        <v>82</v>
      </c>
      <c r="B255" s="15" t="s">
        <v>76</v>
      </c>
      <c r="C255" s="1" t="s">
        <v>75</v>
      </c>
      <c r="D255" s="1">
        <v>5</v>
      </c>
      <c r="E255" s="1" t="s">
        <v>288</v>
      </c>
      <c r="F255" s="14"/>
      <c r="G255" s="14"/>
      <c r="H255" s="14">
        <v>145</v>
      </c>
      <c r="I255" s="14">
        <v>165</v>
      </c>
      <c r="J255" s="123">
        <f>VLOOKUP(E255,'C'!P:Q,2,FALSE)</f>
        <v>12</v>
      </c>
    </row>
    <row r="256" spans="1:10" hidden="1" x14ac:dyDescent="0.35">
      <c r="A256" s="202" t="s">
        <v>82</v>
      </c>
      <c r="B256" s="15" t="s">
        <v>77</v>
      </c>
      <c r="C256" s="1" t="s">
        <v>75</v>
      </c>
      <c r="D256" s="1">
        <v>5</v>
      </c>
      <c r="E256" s="1" t="s">
        <v>288</v>
      </c>
      <c r="F256" s="14"/>
      <c r="G256" s="14"/>
      <c r="H256" s="14">
        <v>80</v>
      </c>
      <c r="I256" s="14">
        <v>140</v>
      </c>
      <c r="J256" s="123">
        <f>VLOOKUP(E256,'C'!P:Q,2,FALSE)</f>
        <v>12</v>
      </c>
    </row>
    <row r="257" spans="1:10" hidden="1" x14ac:dyDescent="0.35">
      <c r="A257" s="202" t="s">
        <v>82</v>
      </c>
      <c r="B257" s="15" t="s">
        <v>78</v>
      </c>
      <c r="C257" s="1" t="s">
        <v>75</v>
      </c>
      <c r="D257" s="1">
        <v>5</v>
      </c>
      <c r="E257" s="1" t="s">
        <v>288</v>
      </c>
      <c r="F257" s="14"/>
      <c r="G257" s="14"/>
      <c r="H257" s="14">
        <v>80</v>
      </c>
      <c r="I257" s="14">
        <v>140</v>
      </c>
      <c r="J257" s="123">
        <f>VLOOKUP(E257,'C'!P:Q,2,FALSE)</f>
        <v>12</v>
      </c>
    </row>
    <row r="258" spans="1:10" hidden="1" x14ac:dyDescent="0.35">
      <c r="A258" s="202" t="s">
        <v>82</v>
      </c>
      <c r="B258" s="15" t="s">
        <v>79</v>
      </c>
      <c r="C258" s="1" t="s">
        <v>75</v>
      </c>
      <c r="D258" s="1">
        <v>5</v>
      </c>
      <c r="E258" s="1" t="s">
        <v>288</v>
      </c>
      <c r="F258" s="14"/>
      <c r="G258" s="14"/>
      <c r="H258" s="14">
        <v>6</v>
      </c>
      <c r="I258" s="14">
        <v>7</v>
      </c>
      <c r="J258" s="123">
        <f>VLOOKUP(E258,'C'!P:Q,2,FALSE)</f>
        <v>12</v>
      </c>
    </row>
    <row r="259" spans="1:10" hidden="1" x14ac:dyDescent="0.35">
      <c r="A259" s="202" t="s">
        <v>82</v>
      </c>
      <c r="B259" s="15" t="s">
        <v>80</v>
      </c>
      <c r="C259" s="1" t="s">
        <v>75</v>
      </c>
      <c r="D259" s="1">
        <v>5</v>
      </c>
      <c r="E259" s="1" t="s">
        <v>288</v>
      </c>
      <c r="F259" s="14"/>
      <c r="G259" s="14"/>
      <c r="H259" s="14">
        <v>10.5</v>
      </c>
      <c r="I259" s="14">
        <v>12.5</v>
      </c>
      <c r="J259" s="123">
        <f>VLOOKUP(E259,'C'!P:Q,2,FALSE)</f>
        <v>12</v>
      </c>
    </row>
    <row r="260" spans="1:10" hidden="1" x14ac:dyDescent="0.35">
      <c r="A260" s="202" t="s">
        <v>83</v>
      </c>
      <c r="B260" s="15" t="s">
        <v>74</v>
      </c>
      <c r="C260" s="91" t="s">
        <v>75</v>
      </c>
      <c r="D260" s="91" t="s">
        <v>84</v>
      </c>
      <c r="E260" s="1" t="s">
        <v>288</v>
      </c>
      <c r="F260" s="14"/>
      <c r="G260" s="14"/>
      <c r="H260" s="14">
        <v>200</v>
      </c>
      <c r="I260" s="14">
        <v>233</v>
      </c>
      <c r="J260" s="123">
        <f>VLOOKUP(E260,'C'!P:Q,2,FALSE)</f>
        <v>12</v>
      </c>
    </row>
    <row r="261" spans="1:10" hidden="1" x14ac:dyDescent="0.35">
      <c r="A261" s="202" t="s">
        <v>83</v>
      </c>
      <c r="B261" s="15" t="s">
        <v>76</v>
      </c>
      <c r="C261" s="1" t="s">
        <v>75</v>
      </c>
      <c r="D261" s="1" t="s">
        <v>84</v>
      </c>
      <c r="E261" s="1" t="s">
        <v>288</v>
      </c>
      <c r="F261" s="14"/>
      <c r="G261" s="14"/>
      <c r="H261" s="14">
        <v>200</v>
      </c>
      <c r="I261" s="14">
        <v>233</v>
      </c>
      <c r="J261" s="123">
        <f>VLOOKUP(E261,'C'!P:Q,2,FALSE)</f>
        <v>12</v>
      </c>
    </row>
    <row r="262" spans="1:10" hidden="1" x14ac:dyDescent="0.35">
      <c r="A262" s="202" t="s">
        <v>83</v>
      </c>
      <c r="B262" s="15" t="s">
        <v>77</v>
      </c>
      <c r="C262" s="1" t="s">
        <v>75</v>
      </c>
      <c r="D262" s="1" t="s">
        <v>84</v>
      </c>
      <c r="E262" s="1" t="s">
        <v>288</v>
      </c>
      <c r="F262" s="14"/>
      <c r="G262" s="14"/>
      <c r="H262" s="14">
        <v>80</v>
      </c>
      <c r="I262" s="14">
        <v>140</v>
      </c>
      <c r="J262" s="123">
        <f>VLOOKUP(E262,'C'!P:Q,2,FALSE)</f>
        <v>12</v>
      </c>
    </row>
    <row r="263" spans="1:10" hidden="1" x14ac:dyDescent="0.35">
      <c r="A263" s="202" t="s">
        <v>83</v>
      </c>
      <c r="B263" s="15" t="s">
        <v>78</v>
      </c>
      <c r="C263" s="1" t="s">
        <v>75</v>
      </c>
      <c r="D263" s="1" t="s">
        <v>84</v>
      </c>
      <c r="E263" s="1" t="s">
        <v>288</v>
      </c>
      <c r="F263" s="14"/>
      <c r="G263" s="14"/>
      <c r="H263" s="14">
        <v>80</v>
      </c>
      <c r="I263" s="14">
        <v>140</v>
      </c>
      <c r="J263" s="123">
        <f>VLOOKUP(E263,'C'!P:Q,2,FALSE)</f>
        <v>12</v>
      </c>
    </row>
    <row r="264" spans="1:10" hidden="1" x14ac:dyDescent="0.35">
      <c r="A264" s="202" t="s">
        <v>83</v>
      </c>
      <c r="B264" s="15" t="s">
        <v>79</v>
      </c>
      <c r="C264" s="1" t="s">
        <v>75</v>
      </c>
      <c r="D264" s="1" t="s">
        <v>84</v>
      </c>
      <c r="E264" s="1" t="s">
        <v>288</v>
      </c>
      <c r="F264" s="14"/>
      <c r="G264" s="14"/>
      <c r="H264" s="14"/>
      <c r="I264" s="14"/>
      <c r="J264" s="123">
        <f>VLOOKUP(E264,'C'!P:Q,2,FALSE)</f>
        <v>12</v>
      </c>
    </row>
    <row r="265" spans="1:10" hidden="1" x14ac:dyDescent="0.35">
      <c r="A265" s="202" t="s">
        <v>83</v>
      </c>
      <c r="B265" s="15" t="s">
        <v>80</v>
      </c>
      <c r="C265" s="1" t="s">
        <v>75</v>
      </c>
      <c r="D265" s="1" t="s">
        <v>84</v>
      </c>
      <c r="E265" s="1" t="s">
        <v>288</v>
      </c>
      <c r="F265" s="107"/>
      <c r="G265" s="107"/>
      <c r="H265" s="107">
        <v>17</v>
      </c>
      <c r="I265" s="107">
        <v>19</v>
      </c>
      <c r="J265" s="123">
        <f>VLOOKUP(E265,'C'!P:Q,2,FALSE)</f>
        <v>12</v>
      </c>
    </row>
    <row r="266" spans="1:10" x14ac:dyDescent="0.35">
      <c r="A266" s="218" t="s">
        <v>73</v>
      </c>
      <c r="B266" s="3" t="s">
        <v>74</v>
      </c>
      <c r="C266" s="1" t="s">
        <v>75</v>
      </c>
      <c r="D266" s="1">
        <v>5</v>
      </c>
      <c r="E266" s="1" t="s">
        <v>306</v>
      </c>
      <c r="F266" s="16"/>
      <c r="G266" s="16"/>
      <c r="H266" s="16">
        <v>130</v>
      </c>
      <c r="I266" s="16">
        <v>150</v>
      </c>
      <c r="J266" s="123">
        <f>VLOOKUP(E266,'C'!P:Q,2,FALSE)</f>
        <v>13</v>
      </c>
    </row>
    <row r="267" spans="1:10" x14ac:dyDescent="0.35">
      <c r="A267" s="218" t="s">
        <v>73</v>
      </c>
      <c r="B267" s="3" t="s">
        <v>76</v>
      </c>
      <c r="C267" s="1" t="s">
        <v>75</v>
      </c>
      <c r="D267" s="1">
        <v>5</v>
      </c>
      <c r="E267" s="1" t="s">
        <v>306</v>
      </c>
      <c r="F267" s="16"/>
      <c r="G267" s="16"/>
      <c r="H267" s="16">
        <v>130</v>
      </c>
      <c r="I267" s="16">
        <v>150</v>
      </c>
      <c r="J267" s="123">
        <f>VLOOKUP(E267,'C'!P:Q,2,FALSE)</f>
        <v>13</v>
      </c>
    </row>
    <row r="268" spans="1:10" x14ac:dyDescent="0.35">
      <c r="A268" s="218" t="s">
        <v>73</v>
      </c>
      <c r="B268" s="3" t="s">
        <v>77</v>
      </c>
      <c r="C268" s="1" t="s">
        <v>75</v>
      </c>
      <c r="D268" s="1">
        <v>5</v>
      </c>
      <c r="E268" s="1" t="s">
        <v>306</v>
      </c>
      <c r="F268" s="16"/>
      <c r="G268" s="16"/>
      <c r="H268" s="16">
        <v>20</v>
      </c>
      <c r="I268" s="16">
        <v>26</v>
      </c>
      <c r="J268" s="123">
        <f>VLOOKUP(E268,'C'!P:Q,2,FALSE)</f>
        <v>13</v>
      </c>
    </row>
    <row r="269" spans="1:10" x14ac:dyDescent="0.35">
      <c r="A269" s="218" t="s">
        <v>73</v>
      </c>
      <c r="B269" s="3" t="s">
        <v>78</v>
      </c>
      <c r="C269" s="1" t="s">
        <v>75</v>
      </c>
      <c r="D269" s="1">
        <v>5</v>
      </c>
      <c r="E269" s="1" t="s">
        <v>306</v>
      </c>
      <c r="F269" s="16"/>
      <c r="G269" s="16"/>
      <c r="H269" s="16">
        <v>20</v>
      </c>
      <c r="I269" s="16">
        <v>26</v>
      </c>
      <c r="J269" s="123">
        <f>VLOOKUP(E269,'C'!P:Q,2,FALSE)</f>
        <v>13</v>
      </c>
    </row>
    <row r="270" spans="1:10" x14ac:dyDescent="0.35">
      <c r="A270" s="218" t="s">
        <v>73</v>
      </c>
      <c r="B270" s="3" t="s">
        <v>79</v>
      </c>
      <c r="C270" s="1" t="s">
        <v>75</v>
      </c>
      <c r="D270" s="1">
        <v>5</v>
      </c>
      <c r="E270" s="1" t="s">
        <v>306</v>
      </c>
      <c r="F270" s="16"/>
      <c r="G270" s="16"/>
      <c r="H270" s="16"/>
      <c r="I270" s="16"/>
      <c r="J270" s="123">
        <f>VLOOKUP(E270,'C'!P:Q,2,FALSE)</f>
        <v>13</v>
      </c>
    </row>
    <row r="271" spans="1:10" x14ac:dyDescent="0.35">
      <c r="A271" s="218" t="s">
        <v>73</v>
      </c>
      <c r="B271" s="3" t="s">
        <v>80</v>
      </c>
      <c r="C271" s="1" t="s">
        <v>75</v>
      </c>
      <c r="D271" s="1">
        <v>5</v>
      </c>
      <c r="E271" s="1" t="s">
        <v>306</v>
      </c>
      <c r="F271" s="27"/>
      <c r="G271" s="27"/>
      <c r="H271" s="27">
        <v>3</v>
      </c>
      <c r="I271" s="27">
        <v>4</v>
      </c>
      <c r="J271" s="123">
        <f>VLOOKUP(E271,'C'!P:Q,2,FALSE)</f>
        <v>13</v>
      </c>
    </row>
    <row r="272" spans="1:10" hidden="1" x14ac:dyDescent="0.35">
      <c r="A272" s="218" t="s">
        <v>81</v>
      </c>
      <c r="B272" s="3" t="s">
        <v>76</v>
      </c>
      <c r="C272" s="91" t="s">
        <v>75</v>
      </c>
      <c r="D272" s="91">
        <v>5</v>
      </c>
      <c r="E272" s="1" t="s">
        <v>306</v>
      </c>
      <c r="F272" s="16"/>
      <c r="G272" s="16"/>
      <c r="H272" s="16">
        <v>130</v>
      </c>
      <c r="I272" s="16">
        <v>150</v>
      </c>
      <c r="J272" s="123">
        <f>VLOOKUP(E272,'C'!P:Q,2,FALSE)</f>
        <v>13</v>
      </c>
    </row>
    <row r="273" spans="1:10" hidden="1" x14ac:dyDescent="0.35">
      <c r="A273" s="218" t="s">
        <v>81</v>
      </c>
      <c r="B273" s="3" t="s">
        <v>74</v>
      </c>
      <c r="C273" s="1" t="s">
        <v>75</v>
      </c>
      <c r="D273" s="1">
        <v>5</v>
      </c>
      <c r="E273" s="1" t="s">
        <v>306</v>
      </c>
      <c r="F273" s="16"/>
      <c r="G273" s="16"/>
      <c r="H273" s="16">
        <v>130</v>
      </c>
      <c r="I273" s="16">
        <v>150</v>
      </c>
      <c r="J273" s="123">
        <f>VLOOKUP(E273,'C'!P:Q,2,FALSE)</f>
        <v>13</v>
      </c>
    </row>
    <row r="274" spans="1:10" hidden="1" x14ac:dyDescent="0.35">
      <c r="A274" s="218" t="s">
        <v>81</v>
      </c>
      <c r="B274" s="3" t="s">
        <v>78</v>
      </c>
      <c r="C274" s="1" t="s">
        <v>75</v>
      </c>
      <c r="D274" s="1">
        <v>5</v>
      </c>
      <c r="E274" s="1" t="s">
        <v>306</v>
      </c>
      <c r="F274" s="16"/>
      <c r="G274" s="16"/>
      <c r="H274" s="16">
        <v>35</v>
      </c>
      <c r="I274" s="16">
        <v>50</v>
      </c>
      <c r="J274" s="123">
        <f>VLOOKUP(E274,'C'!P:Q,2,FALSE)</f>
        <v>13</v>
      </c>
    </row>
    <row r="275" spans="1:10" hidden="1" x14ac:dyDescent="0.35">
      <c r="A275" s="218" t="s">
        <v>81</v>
      </c>
      <c r="B275" s="3" t="s">
        <v>77</v>
      </c>
      <c r="C275" s="1" t="s">
        <v>75</v>
      </c>
      <c r="D275" s="1">
        <v>5</v>
      </c>
      <c r="E275" s="1" t="s">
        <v>306</v>
      </c>
      <c r="F275" s="16"/>
      <c r="G275" s="16"/>
      <c r="H275" s="16">
        <v>35</v>
      </c>
      <c r="I275" s="16">
        <v>50</v>
      </c>
      <c r="J275" s="123">
        <f>VLOOKUP(E275,'C'!P:Q,2,FALSE)</f>
        <v>13</v>
      </c>
    </row>
    <row r="276" spans="1:10" hidden="1" x14ac:dyDescent="0.35">
      <c r="A276" s="218" t="s">
        <v>81</v>
      </c>
      <c r="B276" s="3" t="s">
        <v>79</v>
      </c>
      <c r="C276" s="1" t="s">
        <v>75</v>
      </c>
      <c r="D276" s="1">
        <v>5</v>
      </c>
      <c r="E276" s="1" t="s">
        <v>306</v>
      </c>
      <c r="F276" s="16"/>
      <c r="G276" s="16"/>
      <c r="H276" s="16">
        <v>11</v>
      </c>
      <c r="I276" s="16">
        <v>14</v>
      </c>
      <c r="J276" s="123">
        <f>VLOOKUP(E276,'C'!P:Q,2,FALSE)</f>
        <v>13</v>
      </c>
    </row>
    <row r="277" spans="1:10" hidden="1" x14ac:dyDescent="0.35">
      <c r="A277" s="218" t="s">
        <v>81</v>
      </c>
      <c r="B277" s="3" t="s">
        <v>80</v>
      </c>
      <c r="C277" s="1" t="s">
        <v>75</v>
      </c>
      <c r="D277" s="1">
        <v>5</v>
      </c>
      <c r="E277" s="1" t="s">
        <v>306</v>
      </c>
      <c r="F277" s="27"/>
      <c r="G277" s="27"/>
      <c r="H277" s="366">
        <v>4.5</v>
      </c>
      <c r="I277" s="366">
        <v>6</v>
      </c>
      <c r="J277" s="123">
        <f>VLOOKUP(E277,'C'!P:Q,2,FALSE)</f>
        <v>13</v>
      </c>
    </row>
    <row r="278" spans="1:10" hidden="1" x14ac:dyDescent="0.35">
      <c r="A278" s="202" t="s">
        <v>82</v>
      </c>
      <c r="B278" s="15" t="s">
        <v>74</v>
      </c>
      <c r="C278" s="91" t="s">
        <v>75</v>
      </c>
      <c r="D278" s="91">
        <v>5</v>
      </c>
      <c r="E278" s="1" t="s">
        <v>306</v>
      </c>
      <c r="F278" s="16"/>
      <c r="G278" s="16"/>
      <c r="H278" s="16">
        <v>130</v>
      </c>
      <c r="I278" s="16">
        <v>150</v>
      </c>
      <c r="J278" s="123">
        <f>VLOOKUP(E278,'C'!P:Q,2,FALSE)</f>
        <v>13</v>
      </c>
    </row>
    <row r="279" spans="1:10" hidden="1" x14ac:dyDescent="0.35">
      <c r="A279" s="202" t="s">
        <v>82</v>
      </c>
      <c r="B279" s="15" t="s">
        <v>76</v>
      </c>
      <c r="C279" s="1" t="s">
        <v>75</v>
      </c>
      <c r="D279" s="1">
        <v>5</v>
      </c>
      <c r="E279" s="1" t="s">
        <v>306</v>
      </c>
      <c r="F279" s="16"/>
      <c r="G279" s="16"/>
      <c r="H279" s="16">
        <v>130</v>
      </c>
      <c r="I279" s="16">
        <v>150</v>
      </c>
      <c r="J279" s="123">
        <f>VLOOKUP(E279,'C'!P:Q,2,FALSE)</f>
        <v>13</v>
      </c>
    </row>
    <row r="280" spans="1:10" hidden="1" x14ac:dyDescent="0.35">
      <c r="A280" s="202" t="s">
        <v>82</v>
      </c>
      <c r="B280" s="15" t="s">
        <v>77</v>
      </c>
      <c r="C280" s="1" t="s">
        <v>75</v>
      </c>
      <c r="D280" s="1">
        <v>5</v>
      </c>
      <c r="E280" s="1" t="s">
        <v>306</v>
      </c>
      <c r="F280" s="16"/>
      <c r="G280" s="16"/>
      <c r="H280" s="16">
        <v>35</v>
      </c>
      <c r="I280" s="16">
        <v>50</v>
      </c>
      <c r="J280" s="123">
        <f>VLOOKUP(E280,'C'!P:Q,2,FALSE)</f>
        <v>13</v>
      </c>
    </row>
    <row r="281" spans="1:10" hidden="1" x14ac:dyDescent="0.35">
      <c r="A281" s="202" t="s">
        <v>82</v>
      </c>
      <c r="B281" s="15" t="s">
        <v>78</v>
      </c>
      <c r="C281" s="1" t="s">
        <v>75</v>
      </c>
      <c r="D281" s="1">
        <v>5</v>
      </c>
      <c r="E281" s="1" t="s">
        <v>306</v>
      </c>
      <c r="F281" s="16"/>
      <c r="G281" s="16"/>
      <c r="H281" s="16">
        <v>35</v>
      </c>
      <c r="I281" s="16">
        <v>50</v>
      </c>
      <c r="J281" s="123">
        <f>VLOOKUP(E281,'C'!P:Q,2,FALSE)</f>
        <v>13</v>
      </c>
    </row>
    <row r="282" spans="1:10" hidden="1" x14ac:dyDescent="0.35">
      <c r="A282" s="202" t="s">
        <v>82</v>
      </c>
      <c r="B282" s="15" t="s">
        <v>79</v>
      </c>
      <c r="C282" s="1" t="s">
        <v>75</v>
      </c>
      <c r="D282" s="1">
        <v>5</v>
      </c>
      <c r="E282" s="1" t="s">
        <v>306</v>
      </c>
      <c r="F282" s="16"/>
      <c r="G282" s="16"/>
      <c r="H282" s="16">
        <v>11</v>
      </c>
      <c r="I282" s="16">
        <v>14</v>
      </c>
      <c r="J282" s="123">
        <f>VLOOKUP(E282,'C'!P:Q,2,FALSE)</f>
        <v>13</v>
      </c>
    </row>
    <row r="283" spans="1:10" hidden="1" x14ac:dyDescent="0.35">
      <c r="A283" s="202" t="s">
        <v>82</v>
      </c>
      <c r="B283" s="15" t="s">
        <v>80</v>
      </c>
      <c r="C283" s="1" t="s">
        <v>75</v>
      </c>
      <c r="D283" s="1">
        <v>5</v>
      </c>
      <c r="E283" s="1" t="s">
        <v>306</v>
      </c>
      <c r="F283" s="14"/>
      <c r="G283" s="14"/>
      <c r="H283" s="14">
        <v>4.5</v>
      </c>
      <c r="I283" s="14">
        <v>5.5</v>
      </c>
      <c r="J283" s="123">
        <f>VLOOKUP(E283,'C'!P:Q,2,FALSE)</f>
        <v>13</v>
      </c>
    </row>
    <row r="284" spans="1:10" hidden="1" x14ac:dyDescent="0.35">
      <c r="A284" s="202" t="s">
        <v>83</v>
      </c>
      <c r="B284" s="15" t="s">
        <v>74</v>
      </c>
      <c r="C284" s="91" t="s">
        <v>75</v>
      </c>
      <c r="D284" s="91" t="s">
        <v>84</v>
      </c>
      <c r="E284" s="1" t="s">
        <v>306</v>
      </c>
      <c r="F284" s="14"/>
      <c r="G284" s="14"/>
      <c r="H284" s="14"/>
      <c r="I284" s="14"/>
      <c r="J284" s="123">
        <f>VLOOKUP(E284,'C'!P:Q,2,FALSE)</f>
        <v>13</v>
      </c>
    </row>
    <row r="285" spans="1:10" hidden="1" x14ac:dyDescent="0.35">
      <c r="A285" s="202" t="s">
        <v>83</v>
      </c>
      <c r="B285" s="15" t="s">
        <v>76</v>
      </c>
      <c r="C285" s="1" t="s">
        <v>75</v>
      </c>
      <c r="D285" s="1" t="s">
        <v>84</v>
      </c>
      <c r="E285" s="1" t="s">
        <v>306</v>
      </c>
      <c r="F285" s="14"/>
      <c r="G285" s="14"/>
      <c r="H285" s="14"/>
      <c r="I285" s="14"/>
      <c r="J285" s="123">
        <f>VLOOKUP(E285,'C'!P:Q,2,FALSE)</f>
        <v>13</v>
      </c>
    </row>
    <row r="286" spans="1:10" hidden="1" x14ac:dyDescent="0.35">
      <c r="A286" s="202" t="s">
        <v>83</v>
      </c>
      <c r="B286" s="15" t="s">
        <v>77</v>
      </c>
      <c r="C286" s="1" t="s">
        <v>75</v>
      </c>
      <c r="D286" s="1" t="s">
        <v>84</v>
      </c>
      <c r="E286" s="1" t="s">
        <v>306</v>
      </c>
      <c r="F286" s="14"/>
      <c r="G286" s="14"/>
      <c r="H286" s="16">
        <v>35</v>
      </c>
      <c r="I286" s="16">
        <v>50</v>
      </c>
      <c r="J286" s="123">
        <f>VLOOKUP(E286,'C'!P:Q,2,FALSE)</f>
        <v>13</v>
      </c>
    </row>
    <row r="287" spans="1:10" hidden="1" x14ac:dyDescent="0.35">
      <c r="A287" s="202" t="s">
        <v>83</v>
      </c>
      <c r="B287" s="15" t="s">
        <v>78</v>
      </c>
      <c r="C287" s="1" t="s">
        <v>75</v>
      </c>
      <c r="D287" s="1" t="s">
        <v>84</v>
      </c>
      <c r="E287" s="1" t="s">
        <v>306</v>
      </c>
      <c r="F287" s="14"/>
      <c r="G287" s="14"/>
      <c r="H287" s="16">
        <v>35</v>
      </c>
      <c r="I287" s="16">
        <v>50</v>
      </c>
      <c r="J287" s="123">
        <f>VLOOKUP(E287,'C'!P:Q,2,FALSE)</f>
        <v>13</v>
      </c>
    </row>
    <row r="288" spans="1:10" hidden="1" x14ac:dyDescent="0.35">
      <c r="A288" s="202" t="s">
        <v>83</v>
      </c>
      <c r="B288" s="15" t="s">
        <v>79</v>
      </c>
      <c r="C288" s="1" t="s">
        <v>75</v>
      </c>
      <c r="D288" s="1" t="s">
        <v>84</v>
      </c>
      <c r="E288" s="1" t="s">
        <v>306</v>
      </c>
      <c r="F288" s="14"/>
      <c r="G288" s="14"/>
      <c r="H288" s="14"/>
      <c r="I288" s="14"/>
      <c r="J288" s="123">
        <f>VLOOKUP(E288,'C'!P:Q,2,FALSE)</f>
        <v>13</v>
      </c>
    </row>
    <row r="289" spans="1:10" hidden="1" x14ac:dyDescent="0.35">
      <c r="A289" s="202" t="s">
        <v>83</v>
      </c>
      <c r="B289" s="15" t="s">
        <v>80</v>
      </c>
      <c r="C289" s="1" t="s">
        <v>75</v>
      </c>
      <c r="D289" s="1" t="s">
        <v>84</v>
      </c>
      <c r="E289" s="1" t="s">
        <v>306</v>
      </c>
      <c r="F289" s="105"/>
      <c r="G289" s="105"/>
      <c r="H289" s="105">
        <v>30</v>
      </c>
      <c r="I289" s="105">
        <v>40</v>
      </c>
      <c r="J289" s="123">
        <f>VLOOKUP(E289,'C'!P:Q,2,FALSE)</f>
        <v>13</v>
      </c>
    </row>
    <row r="290" spans="1:10" x14ac:dyDescent="0.35">
      <c r="A290" s="218" t="s">
        <v>73</v>
      </c>
      <c r="B290" s="3" t="s">
        <v>74</v>
      </c>
      <c r="C290" s="1" t="s">
        <v>75</v>
      </c>
      <c r="D290" s="1">
        <v>5</v>
      </c>
      <c r="E290" s="1" t="s">
        <v>290</v>
      </c>
      <c r="F290" s="16"/>
      <c r="G290" s="16"/>
      <c r="H290" s="16">
        <v>10</v>
      </c>
      <c r="I290" s="16">
        <v>15</v>
      </c>
      <c r="J290" s="123">
        <f>VLOOKUP(E290,'C'!P:Q,2,FALSE)</f>
        <v>14</v>
      </c>
    </row>
    <row r="291" spans="1:10" x14ac:dyDescent="0.35">
      <c r="A291" s="218" t="s">
        <v>73</v>
      </c>
      <c r="B291" s="3" t="s">
        <v>76</v>
      </c>
      <c r="C291" s="1" t="s">
        <v>75</v>
      </c>
      <c r="D291" s="1">
        <v>5</v>
      </c>
      <c r="E291" s="1" t="s">
        <v>290</v>
      </c>
      <c r="F291" s="16"/>
      <c r="G291" s="16"/>
      <c r="H291" s="16">
        <v>10</v>
      </c>
      <c r="I291" s="16">
        <v>15</v>
      </c>
      <c r="J291" s="123">
        <f>VLOOKUP(E291,'C'!P:Q,2,FALSE)</f>
        <v>14</v>
      </c>
    </row>
    <row r="292" spans="1:10" x14ac:dyDescent="0.35">
      <c r="A292" s="218" t="s">
        <v>73</v>
      </c>
      <c r="B292" s="3" t="s">
        <v>77</v>
      </c>
      <c r="C292" s="1" t="s">
        <v>75</v>
      </c>
      <c r="D292" s="1">
        <v>5</v>
      </c>
      <c r="E292" s="1" t="s">
        <v>290</v>
      </c>
      <c r="F292" s="16"/>
      <c r="G292" s="16"/>
      <c r="H292" s="16">
        <v>1</v>
      </c>
      <c r="I292" s="16">
        <v>2</v>
      </c>
      <c r="J292" s="123">
        <f>VLOOKUP(E292,'C'!P:Q,2,FALSE)</f>
        <v>14</v>
      </c>
    </row>
    <row r="293" spans="1:10" x14ac:dyDescent="0.35">
      <c r="A293" s="218" t="s">
        <v>73</v>
      </c>
      <c r="B293" s="3" t="s">
        <v>78</v>
      </c>
      <c r="C293" s="1" t="s">
        <v>75</v>
      </c>
      <c r="D293" s="1">
        <v>5</v>
      </c>
      <c r="E293" s="1" t="s">
        <v>290</v>
      </c>
      <c r="F293" s="16"/>
      <c r="G293" s="16"/>
      <c r="H293" s="16">
        <v>1</v>
      </c>
      <c r="I293" s="16">
        <v>2</v>
      </c>
      <c r="J293" s="123">
        <f>VLOOKUP(E293,'C'!P:Q,2,FALSE)</f>
        <v>14</v>
      </c>
    </row>
    <row r="294" spans="1:10" x14ac:dyDescent="0.35">
      <c r="A294" s="218" t="s">
        <v>73</v>
      </c>
      <c r="B294" s="3" t="s">
        <v>79</v>
      </c>
      <c r="C294" s="1" t="s">
        <v>75</v>
      </c>
      <c r="D294" s="1">
        <v>5</v>
      </c>
      <c r="E294" s="1" t="s">
        <v>290</v>
      </c>
      <c r="F294" s="16"/>
      <c r="G294" s="16"/>
      <c r="H294" s="16">
        <v>19</v>
      </c>
      <c r="I294" s="16">
        <v>25</v>
      </c>
      <c r="J294" s="123">
        <f>VLOOKUP(E294,'C'!P:Q,2,FALSE)</f>
        <v>14</v>
      </c>
    </row>
    <row r="295" spans="1:10" x14ac:dyDescent="0.35">
      <c r="A295" s="218" t="s">
        <v>73</v>
      </c>
      <c r="B295" s="3" t="s">
        <v>80</v>
      </c>
      <c r="C295" s="1" t="s">
        <v>75</v>
      </c>
      <c r="D295" s="1">
        <v>5</v>
      </c>
      <c r="E295" s="1" t="s">
        <v>290</v>
      </c>
      <c r="F295" s="27"/>
      <c r="G295" s="27"/>
      <c r="H295" s="27">
        <v>3</v>
      </c>
      <c r="I295" s="27">
        <v>3.5</v>
      </c>
      <c r="J295" s="123">
        <f>VLOOKUP(E295,'C'!P:Q,2,FALSE)</f>
        <v>14</v>
      </c>
    </row>
    <row r="296" spans="1:10" hidden="1" x14ac:dyDescent="0.35">
      <c r="A296" s="218" t="s">
        <v>81</v>
      </c>
      <c r="B296" s="3" t="s">
        <v>76</v>
      </c>
      <c r="C296" s="91" t="s">
        <v>75</v>
      </c>
      <c r="D296" s="91">
        <v>5</v>
      </c>
      <c r="E296" s="1" t="s">
        <v>290</v>
      </c>
      <c r="F296" s="16"/>
      <c r="G296" s="16"/>
      <c r="H296" s="16">
        <v>6</v>
      </c>
      <c r="I296" s="16">
        <v>10</v>
      </c>
      <c r="J296" s="123">
        <f>VLOOKUP(E296,'C'!P:Q,2,FALSE)</f>
        <v>14</v>
      </c>
    </row>
    <row r="297" spans="1:10" hidden="1" x14ac:dyDescent="0.35">
      <c r="A297" s="218" t="s">
        <v>81</v>
      </c>
      <c r="B297" s="3" t="s">
        <v>74</v>
      </c>
      <c r="C297" s="1" t="s">
        <v>75</v>
      </c>
      <c r="D297" s="1">
        <v>5</v>
      </c>
      <c r="E297" s="1" t="s">
        <v>290</v>
      </c>
      <c r="F297" s="16"/>
      <c r="G297" s="16"/>
      <c r="H297" s="16">
        <v>6</v>
      </c>
      <c r="I297" s="16">
        <v>10</v>
      </c>
      <c r="J297" s="123">
        <f>VLOOKUP(E297,'C'!P:Q,2,FALSE)</f>
        <v>14</v>
      </c>
    </row>
    <row r="298" spans="1:10" hidden="1" x14ac:dyDescent="0.35">
      <c r="A298" s="218" t="s">
        <v>81</v>
      </c>
      <c r="B298" s="3" t="s">
        <v>78</v>
      </c>
      <c r="C298" s="1" t="s">
        <v>75</v>
      </c>
      <c r="D298" s="1">
        <v>5</v>
      </c>
      <c r="E298" s="1" t="s">
        <v>290</v>
      </c>
      <c r="F298" s="16"/>
      <c r="G298" s="16"/>
      <c r="H298" s="16">
        <v>1</v>
      </c>
      <c r="I298" s="16">
        <v>2</v>
      </c>
      <c r="J298" s="123">
        <f>VLOOKUP(E298,'C'!P:Q,2,FALSE)</f>
        <v>14</v>
      </c>
    </row>
    <row r="299" spans="1:10" hidden="1" x14ac:dyDescent="0.35">
      <c r="A299" s="218" t="s">
        <v>81</v>
      </c>
      <c r="B299" s="3" t="s">
        <v>77</v>
      </c>
      <c r="C299" s="1" t="s">
        <v>75</v>
      </c>
      <c r="D299" s="1">
        <v>5</v>
      </c>
      <c r="E299" s="1" t="s">
        <v>290</v>
      </c>
      <c r="F299" s="16"/>
      <c r="G299" s="16"/>
      <c r="H299" s="16">
        <v>1</v>
      </c>
      <c r="I299" s="16">
        <v>2</v>
      </c>
      <c r="J299" s="123">
        <f>VLOOKUP(E299,'C'!P:Q,2,FALSE)</f>
        <v>14</v>
      </c>
    </row>
    <row r="300" spans="1:10" hidden="1" x14ac:dyDescent="0.35">
      <c r="A300" s="218" t="s">
        <v>81</v>
      </c>
      <c r="B300" s="3" t="s">
        <v>79</v>
      </c>
      <c r="C300" s="1" t="s">
        <v>75</v>
      </c>
      <c r="D300" s="1">
        <v>5</v>
      </c>
      <c r="E300" s="1" t="s">
        <v>290</v>
      </c>
      <c r="F300" s="16"/>
      <c r="G300" s="16"/>
      <c r="H300" s="16">
        <v>2</v>
      </c>
      <c r="I300" s="16">
        <v>3</v>
      </c>
      <c r="J300" s="123">
        <f>VLOOKUP(E300,'C'!P:Q,2,FALSE)</f>
        <v>14</v>
      </c>
    </row>
    <row r="301" spans="1:10" hidden="1" x14ac:dyDescent="0.35">
      <c r="A301" s="218" t="s">
        <v>81</v>
      </c>
      <c r="B301" s="3" t="s">
        <v>80</v>
      </c>
      <c r="C301" s="1" t="s">
        <v>75</v>
      </c>
      <c r="D301" s="1">
        <v>5</v>
      </c>
      <c r="E301" s="1" t="s">
        <v>290</v>
      </c>
      <c r="F301" s="27"/>
      <c r="G301" s="27"/>
      <c r="H301" s="366">
        <v>2.2999999999999998</v>
      </c>
      <c r="I301" s="366">
        <v>2.9</v>
      </c>
      <c r="J301" s="123">
        <f>VLOOKUP(E301,'C'!P:Q,2,FALSE)</f>
        <v>14</v>
      </c>
    </row>
    <row r="302" spans="1:10" hidden="1" x14ac:dyDescent="0.35">
      <c r="A302" s="202" t="s">
        <v>82</v>
      </c>
      <c r="B302" s="15" t="s">
        <v>74</v>
      </c>
      <c r="C302" s="91" t="s">
        <v>75</v>
      </c>
      <c r="D302" s="91">
        <v>5</v>
      </c>
      <c r="E302" s="1" t="s">
        <v>290</v>
      </c>
      <c r="F302" s="14"/>
      <c r="G302" s="14"/>
      <c r="H302" s="14">
        <v>6</v>
      </c>
      <c r="I302" s="14">
        <v>10</v>
      </c>
      <c r="J302" s="123">
        <f>VLOOKUP(E302,'C'!P:Q,2,FALSE)</f>
        <v>14</v>
      </c>
    </row>
    <row r="303" spans="1:10" hidden="1" x14ac:dyDescent="0.35">
      <c r="A303" s="202" t="s">
        <v>82</v>
      </c>
      <c r="B303" s="15" t="s">
        <v>76</v>
      </c>
      <c r="C303" s="1" t="s">
        <v>75</v>
      </c>
      <c r="D303" s="1">
        <v>5</v>
      </c>
      <c r="E303" s="1" t="s">
        <v>290</v>
      </c>
      <c r="F303" s="14"/>
      <c r="G303" s="14"/>
      <c r="H303" s="14">
        <v>6</v>
      </c>
      <c r="I303" s="14">
        <v>10</v>
      </c>
      <c r="J303" s="123">
        <f>VLOOKUP(E303,'C'!P:Q,2,FALSE)</f>
        <v>14</v>
      </c>
    </row>
    <row r="304" spans="1:10" hidden="1" x14ac:dyDescent="0.35">
      <c r="A304" s="202" t="s">
        <v>82</v>
      </c>
      <c r="B304" s="15" t="s">
        <v>77</v>
      </c>
      <c r="C304" s="1" t="s">
        <v>75</v>
      </c>
      <c r="D304" s="1">
        <v>5</v>
      </c>
      <c r="E304" s="1" t="s">
        <v>290</v>
      </c>
      <c r="F304" s="14"/>
      <c r="G304" s="14"/>
      <c r="H304" s="14">
        <v>1</v>
      </c>
      <c r="I304" s="14">
        <v>2</v>
      </c>
      <c r="J304" s="123">
        <f>VLOOKUP(E304,'C'!P:Q,2,FALSE)</f>
        <v>14</v>
      </c>
    </row>
    <row r="305" spans="1:10" hidden="1" x14ac:dyDescent="0.35">
      <c r="A305" s="202" t="s">
        <v>82</v>
      </c>
      <c r="B305" s="15" t="s">
        <v>78</v>
      </c>
      <c r="C305" s="1" t="s">
        <v>75</v>
      </c>
      <c r="D305" s="1">
        <v>5</v>
      </c>
      <c r="E305" s="1" t="s">
        <v>290</v>
      </c>
      <c r="F305" s="14"/>
      <c r="G305" s="14"/>
      <c r="H305" s="14">
        <v>1</v>
      </c>
      <c r="I305" s="14">
        <v>2</v>
      </c>
      <c r="J305" s="123">
        <f>VLOOKUP(E305,'C'!P:Q,2,FALSE)</f>
        <v>14</v>
      </c>
    </row>
    <row r="306" spans="1:10" hidden="1" x14ac:dyDescent="0.35">
      <c r="A306" s="202" t="s">
        <v>82</v>
      </c>
      <c r="B306" s="15" t="s">
        <v>79</v>
      </c>
      <c r="C306" s="1" t="s">
        <v>75</v>
      </c>
      <c r="D306" s="1">
        <v>5</v>
      </c>
      <c r="E306" s="1" t="s">
        <v>290</v>
      </c>
      <c r="F306" s="14"/>
      <c r="G306" s="14"/>
      <c r="H306" s="14">
        <v>2</v>
      </c>
      <c r="I306" s="14">
        <v>3</v>
      </c>
      <c r="J306" s="123">
        <f>VLOOKUP(E306,'C'!P:Q,2,FALSE)</f>
        <v>14</v>
      </c>
    </row>
    <row r="307" spans="1:10" hidden="1" x14ac:dyDescent="0.35">
      <c r="A307" s="202" t="s">
        <v>82</v>
      </c>
      <c r="B307" s="15" t="s">
        <v>80</v>
      </c>
      <c r="C307" s="1" t="s">
        <v>75</v>
      </c>
      <c r="D307" s="1">
        <v>5</v>
      </c>
      <c r="E307" s="1" t="s">
        <v>290</v>
      </c>
      <c r="F307" s="14"/>
      <c r="G307" s="14"/>
      <c r="H307" s="14">
        <v>2.5</v>
      </c>
      <c r="I307" s="14">
        <v>3.5</v>
      </c>
      <c r="J307" s="123">
        <f>VLOOKUP(E307,'C'!P:Q,2,FALSE)</f>
        <v>14</v>
      </c>
    </row>
    <row r="308" spans="1:10" hidden="1" x14ac:dyDescent="0.35">
      <c r="A308" s="202" t="s">
        <v>83</v>
      </c>
      <c r="B308" s="15" t="s">
        <v>74</v>
      </c>
      <c r="C308" s="91" t="s">
        <v>75</v>
      </c>
      <c r="D308" s="91" t="s">
        <v>84</v>
      </c>
      <c r="E308" s="1" t="s">
        <v>290</v>
      </c>
      <c r="F308" s="14"/>
      <c r="G308" s="14"/>
      <c r="H308" s="14">
        <v>30</v>
      </c>
      <c r="I308" s="14">
        <v>40</v>
      </c>
      <c r="J308" s="123">
        <f>VLOOKUP(E308,'C'!P:Q,2,FALSE)</f>
        <v>14</v>
      </c>
    </row>
    <row r="309" spans="1:10" hidden="1" x14ac:dyDescent="0.35">
      <c r="A309" s="202" t="s">
        <v>83</v>
      </c>
      <c r="B309" s="15" t="s">
        <v>76</v>
      </c>
      <c r="C309" s="1" t="s">
        <v>75</v>
      </c>
      <c r="D309" s="1" t="s">
        <v>84</v>
      </c>
      <c r="E309" s="1" t="s">
        <v>290</v>
      </c>
      <c r="F309" s="14"/>
      <c r="G309" s="14"/>
      <c r="H309" s="14">
        <v>30</v>
      </c>
      <c r="I309" s="14">
        <v>40</v>
      </c>
      <c r="J309" s="123">
        <f>VLOOKUP(E309,'C'!P:Q,2,FALSE)</f>
        <v>14</v>
      </c>
    </row>
    <row r="310" spans="1:10" hidden="1" x14ac:dyDescent="0.35">
      <c r="A310" s="202" t="s">
        <v>83</v>
      </c>
      <c r="B310" s="15" t="s">
        <v>77</v>
      </c>
      <c r="C310" s="1" t="s">
        <v>75</v>
      </c>
      <c r="D310" s="1" t="s">
        <v>84</v>
      </c>
      <c r="E310" s="1" t="s">
        <v>290</v>
      </c>
      <c r="F310" s="14"/>
      <c r="G310" s="14"/>
      <c r="H310" s="14">
        <v>1</v>
      </c>
      <c r="I310" s="14">
        <v>2</v>
      </c>
      <c r="J310" s="123">
        <f>VLOOKUP(E310,'C'!P:Q,2,FALSE)</f>
        <v>14</v>
      </c>
    </row>
    <row r="311" spans="1:10" hidden="1" x14ac:dyDescent="0.35">
      <c r="A311" s="202" t="s">
        <v>83</v>
      </c>
      <c r="B311" s="15" t="s">
        <v>78</v>
      </c>
      <c r="C311" s="1" t="s">
        <v>75</v>
      </c>
      <c r="D311" s="1" t="s">
        <v>84</v>
      </c>
      <c r="E311" s="1" t="s">
        <v>290</v>
      </c>
      <c r="F311" s="14"/>
      <c r="G311" s="14"/>
      <c r="H311" s="14">
        <v>1</v>
      </c>
      <c r="I311" s="14">
        <v>2</v>
      </c>
      <c r="J311" s="123">
        <f>VLOOKUP(E311,'C'!P:Q,2,FALSE)</f>
        <v>14</v>
      </c>
    </row>
    <row r="312" spans="1:10" hidden="1" x14ac:dyDescent="0.35">
      <c r="A312" s="202" t="s">
        <v>83</v>
      </c>
      <c r="B312" s="15" t="s">
        <v>79</v>
      </c>
      <c r="C312" s="1" t="s">
        <v>75</v>
      </c>
      <c r="D312" s="1" t="s">
        <v>84</v>
      </c>
      <c r="E312" s="1" t="s">
        <v>290</v>
      </c>
      <c r="F312" s="14"/>
      <c r="G312" s="14"/>
      <c r="H312" s="14"/>
      <c r="I312" s="14"/>
      <c r="J312" s="123">
        <f>VLOOKUP(E312,'C'!P:Q,2,FALSE)</f>
        <v>14</v>
      </c>
    </row>
    <row r="313" spans="1:10" hidden="1" x14ac:dyDescent="0.35">
      <c r="A313" s="202" t="s">
        <v>83</v>
      </c>
      <c r="B313" s="15" t="s">
        <v>80</v>
      </c>
      <c r="C313" s="1" t="s">
        <v>75</v>
      </c>
      <c r="D313" s="1" t="s">
        <v>84</v>
      </c>
      <c r="E313" s="1" t="s">
        <v>290</v>
      </c>
      <c r="F313" s="107"/>
      <c r="G313" s="107"/>
      <c r="H313" s="107">
        <v>3</v>
      </c>
      <c r="I313" s="107">
        <v>5</v>
      </c>
      <c r="J313" s="123">
        <f>VLOOKUP(E313,'C'!P:Q,2,FALSE)</f>
        <v>14</v>
      </c>
    </row>
    <row r="314" spans="1:10" x14ac:dyDescent="0.35">
      <c r="A314" s="218" t="s">
        <v>73</v>
      </c>
      <c r="B314" s="3" t="s">
        <v>74</v>
      </c>
      <c r="C314" s="1" t="s">
        <v>75</v>
      </c>
      <c r="D314" s="1">
        <v>5</v>
      </c>
      <c r="E314" s="1" t="s">
        <v>291</v>
      </c>
      <c r="F314" s="16"/>
      <c r="G314" s="16"/>
      <c r="H314" s="16">
        <v>3</v>
      </c>
      <c r="I314" s="16">
        <v>5</v>
      </c>
      <c r="J314" s="123">
        <f>VLOOKUP(E314,'C'!P:Q,2,FALSE)</f>
        <v>15</v>
      </c>
    </row>
    <row r="315" spans="1:10" x14ac:dyDescent="0.35">
      <c r="A315" s="218" t="s">
        <v>73</v>
      </c>
      <c r="B315" s="3" t="s">
        <v>76</v>
      </c>
      <c r="C315" s="1" t="s">
        <v>75</v>
      </c>
      <c r="D315" s="1">
        <v>5</v>
      </c>
      <c r="E315" s="1" t="s">
        <v>291</v>
      </c>
      <c r="F315" s="16"/>
      <c r="G315" s="16"/>
      <c r="H315" s="16">
        <v>3</v>
      </c>
      <c r="I315" s="16">
        <v>5</v>
      </c>
      <c r="J315" s="123">
        <f>VLOOKUP(E315,'C'!P:Q,2,FALSE)</f>
        <v>15</v>
      </c>
    </row>
    <row r="316" spans="1:10" x14ac:dyDescent="0.35">
      <c r="A316" s="218" t="s">
        <v>73</v>
      </c>
      <c r="B316" s="3" t="s">
        <v>77</v>
      </c>
      <c r="C316" s="1" t="s">
        <v>75</v>
      </c>
      <c r="D316" s="1">
        <v>5</v>
      </c>
      <c r="E316" s="1" t="s">
        <v>291</v>
      </c>
      <c r="F316" s="16"/>
      <c r="G316" s="16"/>
      <c r="H316" s="16">
        <v>2</v>
      </c>
      <c r="I316" s="16">
        <v>3</v>
      </c>
      <c r="J316" s="123">
        <f>VLOOKUP(E316,'C'!P:Q,2,FALSE)</f>
        <v>15</v>
      </c>
    </row>
    <row r="317" spans="1:10" x14ac:dyDescent="0.35">
      <c r="A317" s="218" t="s">
        <v>73</v>
      </c>
      <c r="B317" s="3" t="s">
        <v>78</v>
      </c>
      <c r="C317" s="1" t="s">
        <v>75</v>
      </c>
      <c r="D317" s="1">
        <v>5</v>
      </c>
      <c r="E317" s="1" t="s">
        <v>291</v>
      </c>
      <c r="F317" s="16"/>
      <c r="G317" s="16"/>
      <c r="H317" s="16">
        <v>2</v>
      </c>
      <c r="I317" s="16">
        <v>3</v>
      </c>
      <c r="J317" s="123">
        <f>VLOOKUP(E317,'C'!P:Q,2,FALSE)</f>
        <v>15</v>
      </c>
    </row>
    <row r="318" spans="1:10" x14ac:dyDescent="0.35">
      <c r="A318" s="218" t="s">
        <v>73</v>
      </c>
      <c r="B318" s="3" t="s">
        <v>79</v>
      </c>
      <c r="C318" s="1" t="s">
        <v>75</v>
      </c>
      <c r="D318" s="1">
        <v>5</v>
      </c>
      <c r="E318" s="1" t="s">
        <v>291</v>
      </c>
      <c r="F318" s="16"/>
      <c r="G318" s="16"/>
      <c r="H318" s="16">
        <v>3</v>
      </c>
      <c r="I318" s="16">
        <v>5</v>
      </c>
      <c r="J318" s="123">
        <f>VLOOKUP(E318,'C'!P:Q,2,FALSE)</f>
        <v>15</v>
      </c>
    </row>
    <row r="319" spans="1:10" x14ac:dyDescent="0.35">
      <c r="A319" s="218" t="s">
        <v>73</v>
      </c>
      <c r="B319" s="3" t="s">
        <v>80</v>
      </c>
      <c r="C319" s="1" t="s">
        <v>75</v>
      </c>
      <c r="D319" s="1">
        <v>5</v>
      </c>
      <c r="E319" s="1" t="s">
        <v>291</v>
      </c>
      <c r="F319" s="27"/>
      <c r="G319" s="27"/>
      <c r="H319" s="27">
        <v>2.9</v>
      </c>
      <c r="I319" s="27">
        <v>3.5</v>
      </c>
      <c r="J319" s="123">
        <f>VLOOKUP(E319,'C'!P:Q,2,FALSE)</f>
        <v>15</v>
      </c>
    </row>
    <row r="320" spans="1:10" hidden="1" x14ac:dyDescent="0.35">
      <c r="A320" s="218" t="s">
        <v>81</v>
      </c>
      <c r="B320" s="3" t="s">
        <v>76</v>
      </c>
      <c r="C320" s="91" t="s">
        <v>75</v>
      </c>
      <c r="D320" s="91">
        <v>5</v>
      </c>
      <c r="E320" s="1" t="s">
        <v>291</v>
      </c>
      <c r="F320" s="16"/>
      <c r="G320" s="16"/>
      <c r="H320" s="16">
        <v>2</v>
      </c>
      <c r="I320" s="16">
        <v>3</v>
      </c>
      <c r="J320" s="123">
        <f>VLOOKUP(E320,'C'!P:Q,2,FALSE)</f>
        <v>15</v>
      </c>
    </row>
    <row r="321" spans="1:10" hidden="1" x14ac:dyDescent="0.35">
      <c r="A321" s="218" t="s">
        <v>81</v>
      </c>
      <c r="B321" s="3" t="s">
        <v>74</v>
      </c>
      <c r="C321" s="1" t="s">
        <v>75</v>
      </c>
      <c r="D321" s="1">
        <v>5</v>
      </c>
      <c r="E321" s="1" t="s">
        <v>291</v>
      </c>
      <c r="F321" s="16"/>
      <c r="G321" s="16"/>
      <c r="H321" s="16">
        <v>2</v>
      </c>
      <c r="I321" s="16">
        <v>3</v>
      </c>
      <c r="J321" s="123">
        <f>VLOOKUP(E321,'C'!P:Q,2,FALSE)</f>
        <v>15</v>
      </c>
    </row>
    <row r="322" spans="1:10" hidden="1" x14ac:dyDescent="0.35">
      <c r="A322" s="218" t="s">
        <v>81</v>
      </c>
      <c r="B322" s="3" t="s">
        <v>78</v>
      </c>
      <c r="C322" s="1" t="s">
        <v>75</v>
      </c>
      <c r="D322" s="1">
        <v>5</v>
      </c>
      <c r="E322" s="1" t="s">
        <v>291</v>
      </c>
      <c r="F322" s="16"/>
      <c r="G322" s="16"/>
      <c r="H322" s="16">
        <v>2</v>
      </c>
      <c r="I322" s="16">
        <v>3</v>
      </c>
      <c r="J322" s="123">
        <f>VLOOKUP(E322,'C'!P:Q,2,FALSE)</f>
        <v>15</v>
      </c>
    </row>
    <row r="323" spans="1:10" hidden="1" x14ac:dyDescent="0.35">
      <c r="A323" s="218" t="s">
        <v>81</v>
      </c>
      <c r="B323" s="3" t="s">
        <v>77</v>
      </c>
      <c r="C323" s="1" t="s">
        <v>75</v>
      </c>
      <c r="D323" s="1">
        <v>5</v>
      </c>
      <c r="E323" s="1" t="s">
        <v>291</v>
      </c>
      <c r="F323" s="16"/>
      <c r="G323" s="16"/>
      <c r="H323" s="16">
        <v>2</v>
      </c>
      <c r="I323" s="16">
        <v>3</v>
      </c>
      <c r="J323" s="123">
        <f>VLOOKUP(E323,'C'!P:Q,2,FALSE)</f>
        <v>15</v>
      </c>
    </row>
    <row r="324" spans="1:10" hidden="1" x14ac:dyDescent="0.35">
      <c r="A324" s="218" t="s">
        <v>81</v>
      </c>
      <c r="B324" s="3" t="s">
        <v>79</v>
      </c>
      <c r="C324" s="1" t="s">
        <v>75</v>
      </c>
      <c r="D324" s="1">
        <v>5</v>
      </c>
      <c r="E324" s="1" t="s">
        <v>291</v>
      </c>
      <c r="F324" s="16"/>
      <c r="G324" s="16"/>
      <c r="H324" s="16">
        <v>3</v>
      </c>
      <c r="I324" s="16">
        <v>5</v>
      </c>
      <c r="J324" s="123">
        <f>VLOOKUP(E324,'C'!P:Q,2,FALSE)</f>
        <v>15</v>
      </c>
    </row>
    <row r="325" spans="1:10" hidden="1" x14ac:dyDescent="0.35">
      <c r="A325" s="218" t="s">
        <v>81</v>
      </c>
      <c r="B325" s="3" t="s">
        <v>80</v>
      </c>
      <c r="C325" s="1" t="s">
        <v>75</v>
      </c>
      <c r="D325" s="1">
        <v>5</v>
      </c>
      <c r="E325" s="1" t="s">
        <v>291</v>
      </c>
      <c r="F325" s="27"/>
      <c r="G325" s="27"/>
      <c r="H325" s="366">
        <v>2.2000000000000002</v>
      </c>
      <c r="I325" s="366">
        <v>2.9</v>
      </c>
      <c r="J325" s="123">
        <f>VLOOKUP(E325,'C'!P:Q,2,FALSE)</f>
        <v>15</v>
      </c>
    </row>
    <row r="326" spans="1:10" hidden="1" x14ac:dyDescent="0.35">
      <c r="A326" s="202" t="s">
        <v>82</v>
      </c>
      <c r="B326" s="15" t="s">
        <v>74</v>
      </c>
      <c r="C326" s="91" t="s">
        <v>75</v>
      </c>
      <c r="D326" s="91">
        <v>5</v>
      </c>
      <c r="E326" s="1" t="s">
        <v>291</v>
      </c>
      <c r="F326" s="14"/>
      <c r="G326" s="14"/>
      <c r="H326" s="14">
        <v>2</v>
      </c>
      <c r="I326" s="14">
        <v>3</v>
      </c>
      <c r="J326" s="123">
        <f>VLOOKUP(E326,'C'!P:Q,2,FALSE)</f>
        <v>15</v>
      </c>
    </row>
    <row r="327" spans="1:10" hidden="1" x14ac:dyDescent="0.35">
      <c r="A327" s="202" t="s">
        <v>82</v>
      </c>
      <c r="B327" s="15" t="s">
        <v>76</v>
      </c>
      <c r="C327" s="1" t="s">
        <v>75</v>
      </c>
      <c r="D327" s="1">
        <v>5</v>
      </c>
      <c r="E327" s="1" t="s">
        <v>291</v>
      </c>
      <c r="F327" s="14"/>
      <c r="G327" s="14"/>
      <c r="H327" s="14">
        <v>2</v>
      </c>
      <c r="I327" s="14">
        <v>3</v>
      </c>
      <c r="J327" s="123">
        <f>VLOOKUP(E327,'C'!P:Q,2,FALSE)</f>
        <v>15</v>
      </c>
    </row>
    <row r="328" spans="1:10" hidden="1" x14ac:dyDescent="0.35">
      <c r="A328" s="202" t="s">
        <v>82</v>
      </c>
      <c r="B328" s="15" t="s">
        <v>77</v>
      </c>
      <c r="C328" s="1" t="s">
        <v>75</v>
      </c>
      <c r="D328" s="1">
        <v>5</v>
      </c>
      <c r="E328" s="1" t="s">
        <v>291</v>
      </c>
      <c r="F328" s="14"/>
      <c r="G328" s="14"/>
      <c r="H328" s="14">
        <v>2</v>
      </c>
      <c r="I328" s="14">
        <v>3</v>
      </c>
      <c r="J328" s="123">
        <f>VLOOKUP(E328,'C'!P:Q,2,FALSE)</f>
        <v>15</v>
      </c>
    </row>
    <row r="329" spans="1:10" hidden="1" x14ac:dyDescent="0.35">
      <c r="A329" s="202" t="s">
        <v>82</v>
      </c>
      <c r="B329" s="15" t="s">
        <v>78</v>
      </c>
      <c r="C329" s="1" t="s">
        <v>75</v>
      </c>
      <c r="D329" s="1">
        <v>5</v>
      </c>
      <c r="E329" s="1" t="s">
        <v>291</v>
      </c>
      <c r="F329" s="14"/>
      <c r="G329" s="14"/>
      <c r="H329" s="14">
        <v>2</v>
      </c>
      <c r="I329" s="14">
        <v>3</v>
      </c>
      <c r="J329" s="123">
        <f>VLOOKUP(E329,'C'!P:Q,2,FALSE)</f>
        <v>15</v>
      </c>
    </row>
    <row r="330" spans="1:10" hidden="1" x14ac:dyDescent="0.35">
      <c r="A330" s="202" t="s">
        <v>82</v>
      </c>
      <c r="B330" s="15" t="s">
        <v>79</v>
      </c>
      <c r="C330" s="1" t="s">
        <v>75</v>
      </c>
      <c r="D330" s="1">
        <v>5</v>
      </c>
      <c r="E330" s="1" t="s">
        <v>291</v>
      </c>
      <c r="F330" s="14"/>
      <c r="G330" s="14"/>
      <c r="H330" s="14">
        <v>3</v>
      </c>
      <c r="I330" s="14">
        <v>5</v>
      </c>
      <c r="J330" s="123">
        <f>VLOOKUP(E330,'C'!P:Q,2,FALSE)</f>
        <v>15</v>
      </c>
    </row>
    <row r="331" spans="1:10" hidden="1" x14ac:dyDescent="0.35">
      <c r="A331" s="202" t="s">
        <v>82</v>
      </c>
      <c r="B331" s="15" t="s">
        <v>80</v>
      </c>
      <c r="C331" s="1" t="s">
        <v>75</v>
      </c>
      <c r="D331" s="1">
        <v>5</v>
      </c>
      <c r="E331" s="1" t="s">
        <v>291</v>
      </c>
      <c r="F331" s="14"/>
      <c r="G331" s="14"/>
      <c r="H331" s="14">
        <v>2.6</v>
      </c>
      <c r="I331" s="14">
        <v>3.2</v>
      </c>
      <c r="J331" s="123">
        <f>VLOOKUP(E331,'C'!P:Q,2,FALSE)</f>
        <v>15</v>
      </c>
    </row>
    <row r="332" spans="1:10" hidden="1" x14ac:dyDescent="0.35">
      <c r="A332" s="202" t="s">
        <v>83</v>
      </c>
      <c r="B332" s="15" t="s">
        <v>74</v>
      </c>
      <c r="C332" s="91" t="s">
        <v>75</v>
      </c>
      <c r="D332" s="91" t="s">
        <v>84</v>
      </c>
      <c r="E332" s="1" t="s">
        <v>291</v>
      </c>
      <c r="F332" s="14"/>
      <c r="G332" s="14"/>
      <c r="H332" s="14"/>
      <c r="I332" s="14"/>
      <c r="J332" s="123">
        <f>VLOOKUP(E332,'C'!P:Q,2,FALSE)</f>
        <v>15</v>
      </c>
    </row>
    <row r="333" spans="1:10" hidden="1" x14ac:dyDescent="0.35">
      <c r="A333" s="202" t="s">
        <v>83</v>
      </c>
      <c r="B333" s="15" t="s">
        <v>76</v>
      </c>
      <c r="C333" s="1" t="s">
        <v>75</v>
      </c>
      <c r="D333" s="1" t="s">
        <v>84</v>
      </c>
      <c r="E333" s="1" t="s">
        <v>291</v>
      </c>
      <c r="F333" s="14"/>
      <c r="G333" s="14"/>
      <c r="H333" s="14"/>
      <c r="I333" s="14"/>
      <c r="J333" s="123">
        <f>VLOOKUP(E333,'C'!P:Q,2,FALSE)</f>
        <v>15</v>
      </c>
    </row>
    <row r="334" spans="1:10" hidden="1" x14ac:dyDescent="0.35">
      <c r="A334" s="202" t="s">
        <v>83</v>
      </c>
      <c r="B334" s="15" t="s">
        <v>77</v>
      </c>
      <c r="C334" s="1" t="s">
        <v>75</v>
      </c>
      <c r="D334" s="1" t="s">
        <v>84</v>
      </c>
      <c r="E334" s="1" t="s">
        <v>291</v>
      </c>
      <c r="F334" s="14"/>
      <c r="G334" s="14"/>
      <c r="H334" s="14">
        <v>2</v>
      </c>
      <c r="I334" s="14">
        <v>3</v>
      </c>
      <c r="J334" s="123">
        <f>VLOOKUP(E334,'C'!P:Q,2,FALSE)</f>
        <v>15</v>
      </c>
    </row>
    <row r="335" spans="1:10" hidden="1" x14ac:dyDescent="0.35">
      <c r="A335" s="202" t="s">
        <v>83</v>
      </c>
      <c r="B335" s="15" t="s">
        <v>78</v>
      </c>
      <c r="C335" s="1" t="s">
        <v>75</v>
      </c>
      <c r="D335" s="1" t="s">
        <v>84</v>
      </c>
      <c r="E335" s="1" t="s">
        <v>291</v>
      </c>
      <c r="F335" s="14"/>
      <c r="G335" s="14"/>
      <c r="H335" s="14">
        <v>2</v>
      </c>
      <c r="I335" s="14">
        <v>3</v>
      </c>
      <c r="J335" s="123">
        <f>VLOOKUP(E335,'C'!P:Q,2,FALSE)</f>
        <v>15</v>
      </c>
    </row>
    <row r="336" spans="1:10" hidden="1" x14ac:dyDescent="0.35">
      <c r="A336" s="202" t="s">
        <v>83</v>
      </c>
      <c r="B336" s="15" t="s">
        <v>79</v>
      </c>
      <c r="C336" s="1" t="s">
        <v>75</v>
      </c>
      <c r="D336" s="1" t="s">
        <v>84</v>
      </c>
      <c r="E336" s="1" t="s">
        <v>291</v>
      </c>
      <c r="F336" s="14"/>
      <c r="G336" s="14"/>
      <c r="H336" s="14"/>
      <c r="I336" s="14"/>
      <c r="J336" s="123">
        <f>VLOOKUP(E336,'C'!P:Q,2,FALSE)</f>
        <v>15</v>
      </c>
    </row>
    <row r="337" spans="1:10" hidden="1" x14ac:dyDescent="0.35">
      <c r="A337" s="202" t="s">
        <v>83</v>
      </c>
      <c r="B337" s="15" t="s">
        <v>80</v>
      </c>
      <c r="C337" s="1" t="s">
        <v>75</v>
      </c>
      <c r="D337" s="1" t="s">
        <v>84</v>
      </c>
      <c r="E337" s="1" t="s">
        <v>291</v>
      </c>
      <c r="F337" s="107"/>
      <c r="G337" s="107"/>
      <c r="H337" s="107">
        <v>2</v>
      </c>
      <c r="I337" s="107">
        <v>3</v>
      </c>
      <c r="J337" s="123">
        <f>VLOOKUP(E337,'C'!P:Q,2,FALSE)</f>
        <v>15</v>
      </c>
    </row>
    <row r="338" spans="1:10" x14ac:dyDescent="0.35">
      <c r="A338" s="218" t="s">
        <v>73</v>
      </c>
      <c r="B338" s="3" t="s">
        <v>74</v>
      </c>
      <c r="C338" s="1" t="s">
        <v>75</v>
      </c>
      <c r="D338" s="1">
        <v>5</v>
      </c>
      <c r="E338" s="1" t="s">
        <v>292</v>
      </c>
      <c r="F338" s="108"/>
      <c r="G338" s="16"/>
      <c r="H338" s="16">
        <v>3</v>
      </c>
      <c r="I338" s="16">
        <v>5</v>
      </c>
      <c r="J338" s="123">
        <f>VLOOKUP(E338,'C'!P:Q,2,FALSE)</f>
        <v>16</v>
      </c>
    </row>
    <row r="339" spans="1:10" x14ac:dyDescent="0.35">
      <c r="A339" s="218" t="s">
        <v>73</v>
      </c>
      <c r="B339" s="3" t="s">
        <v>76</v>
      </c>
      <c r="C339" s="1" t="s">
        <v>75</v>
      </c>
      <c r="D339" s="1">
        <v>5</v>
      </c>
      <c r="E339" s="1" t="s">
        <v>292</v>
      </c>
      <c r="F339" s="16"/>
      <c r="G339" s="16"/>
      <c r="H339" s="16">
        <v>3</v>
      </c>
      <c r="I339" s="16">
        <v>5</v>
      </c>
      <c r="J339" s="123">
        <f>VLOOKUP(E339,'C'!P:Q,2,FALSE)</f>
        <v>16</v>
      </c>
    </row>
    <row r="340" spans="1:10" x14ac:dyDescent="0.35">
      <c r="A340" s="218" t="s">
        <v>73</v>
      </c>
      <c r="B340" s="3" t="s">
        <v>77</v>
      </c>
      <c r="C340" s="1" t="s">
        <v>75</v>
      </c>
      <c r="D340" s="1">
        <v>5</v>
      </c>
      <c r="E340" s="1" t="s">
        <v>292</v>
      </c>
      <c r="F340" s="16"/>
      <c r="G340" s="16"/>
      <c r="H340" s="106">
        <v>1</v>
      </c>
      <c r="I340" s="14">
        <v>2</v>
      </c>
      <c r="J340" s="123">
        <f>VLOOKUP(E340,'C'!P:Q,2,FALSE)</f>
        <v>16</v>
      </c>
    </row>
    <row r="341" spans="1:10" x14ac:dyDescent="0.35">
      <c r="A341" s="218" t="s">
        <v>73</v>
      </c>
      <c r="B341" s="3" t="s">
        <v>78</v>
      </c>
      <c r="C341" s="1" t="s">
        <v>75</v>
      </c>
      <c r="D341" s="1">
        <v>5</v>
      </c>
      <c r="E341" s="1" t="s">
        <v>292</v>
      </c>
      <c r="F341" s="16"/>
      <c r="G341" s="16"/>
      <c r="H341" s="106">
        <v>1</v>
      </c>
      <c r="I341" s="14">
        <v>2</v>
      </c>
      <c r="J341" s="123">
        <f>VLOOKUP(E341,'C'!P:Q,2,FALSE)</f>
        <v>16</v>
      </c>
    </row>
    <row r="342" spans="1:10" x14ac:dyDescent="0.35">
      <c r="A342" s="218" t="s">
        <v>73</v>
      </c>
      <c r="B342" s="3" t="s">
        <v>79</v>
      </c>
      <c r="C342" s="1" t="s">
        <v>75</v>
      </c>
      <c r="D342" s="1">
        <v>5</v>
      </c>
      <c r="E342" s="1" t="s">
        <v>292</v>
      </c>
      <c r="F342" s="16"/>
      <c r="G342" s="16"/>
      <c r="H342" s="106">
        <v>3</v>
      </c>
      <c r="I342" s="14">
        <v>5</v>
      </c>
      <c r="J342" s="123">
        <f>VLOOKUP(E342,'C'!P:Q,2,FALSE)</f>
        <v>16</v>
      </c>
    </row>
    <row r="343" spans="1:10" x14ac:dyDescent="0.35">
      <c r="A343" s="218" t="s">
        <v>73</v>
      </c>
      <c r="B343" s="3" t="s">
        <v>80</v>
      </c>
      <c r="C343" s="1" t="s">
        <v>75</v>
      </c>
      <c r="D343" s="1">
        <v>5</v>
      </c>
      <c r="E343" s="1" t="s">
        <v>292</v>
      </c>
      <c r="F343" s="27"/>
      <c r="G343" s="27"/>
      <c r="H343" s="106"/>
      <c r="I343" s="14"/>
      <c r="J343" s="123">
        <f>VLOOKUP(E343,'C'!P:Q,2,FALSE)</f>
        <v>16</v>
      </c>
    </row>
    <row r="344" spans="1:10" hidden="1" x14ac:dyDescent="0.35">
      <c r="A344" s="218" t="s">
        <v>81</v>
      </c>
      <c r="B344" s="3" t="s">
        <v>76</v>
      </c>
      <c r="C344" s="91" t="s">
        <v>75</v>
      </c>
      <c r="D344" s="91">
        <v>5</v>
      </c>
      <c r="E344" s="1" t="s">
        <v>292</v>
      </c>
      <c r="F344" s="16"/>
      <c r="G344" s="16"/>
      <c r="H344" s="106"/>
      <c r="I344" s="14"/>
      <c r="J344" s="123">
        <f>VLOOKUP(E344,'C'!P:Q,2,FALSE)</f>
        <v>16</v>
      </c>
    </row>
    <row r="345" spans="1:10" hidden="1" x14ac:dyDescent="0.35">
      <c r="A345" s="218" t="s">
        <v>81</v>
      </c>
      <c r="B345" s="3" t="s">
        <v>74</v>
      </c>
      <c r="C345" s="1" t="s">
        <v>75</v>
      </c>
      <c r="D345" s="1">
        <v>5</v>
      </c>
      <c r="E345" s="1" t="s">
        <v>292</v>
      </c>
      <c r="F345" s="16"/>
      <c r="G345" s="16"/>
      <c r="H345" s="106"/>
      <c r="I345" s="14"/>
      <c r="J345" s="123">
        <f>VLOOKUP(E345,'C'!P:Q,2,FALSE)</f>
        <v>16</v>
      </c>
    </row>
    <row r="346" spans="1:10" hidden="1" x14ac:dyDescent="0.35">
      <c r="A346" s="218" t="s">
        <v>81</v>
      </c>
      <c r="B346" s="3" t="s">
        <v>78</v>
      </c>
      <c r="C346" s="1" t="s">
        <v>75</v>
      </c>
      <c r="D346" s="1">
        <v>5</v>
      </c>
      <c r="E346" s="1" t="s">
        <v>292</v>
      </c>
      <c r="F346" s="16"/>
      <c r="G346" s="16"/>
      <c r="H346" s="106"/>
      <c r="I346" s="14"/>
      <c r="J346" s="123">
        <f>VLOOKUP(E346,'C'!P:Q,2,FALSE)</f>
        <v>16</v>
      </c>
    </row>
    <row r="347" spans="1:10" hidden="1" x14ac:dyDescent="0.35">
      <c r="A347" s="218" t="s">
        <v>81</v>
      </c>
      <c r="B347" s="3" t="s">
        <v>77</v>
      </c>
      <c r="C347" s="1" t="s">
        <v>75</v>
      </c>
      <c r="D347" s="1">
        <v>5</v>
      </c>
      <c r="E347" s="1" t="s">
        <v>292</v>
      </c>
      <c r="F347" s="16"/>
      <c r="G347" s="16"/>
      <c r="H347" s="106"/>
      <c r="I347" s="14"/>
      <c r="J347" s="123">
        <f>VLOOKUP(E347,'C'!P:Q,2,FALSE)</f>
        <v>16</v>
      </c>
    </row>
    <row r="348" spans="1:10" hidden="1" x14ac:dyDescent="0.35">
      <c r="A348" s="218" t="s">
        <v>81</v>
      </c>
      <c r="B348" s="3" t="s">
        <v>79</v>
      </c>
      <c r="C348" s="1" t="s">
        <v>75</v>
      </c>
      <c r="D348" s="1">
        <v>5</v>
      </c>
      <c r="E348" s="1" t="s">
        <v>292</v>
      </c>
      <c r="F348" s="16"/>
      <c r="G348" s="16"/>
      <c r="H348" s="106"/>
      <c r="I348" s="14"/>
      <c r="J348" s="123">
        <f>VLOOKUP(E348,'C'!P:Q,2,FALSE)</f>
        <v>16</v>
      </c>
    </row>
    <row r="349" spans="1:10" hidden="1" x14ac:dyDescent="0.35">
      <c r="A349" s="218" t="s">
        <v>81</v>
      </c>
      <c r="B349" s="3" t="s">
        <v>80</v>
      </c>
      <c r="C349" s="1" t="s">
        <v>75</v>
      </c>
      <c r="D349" s="1">
        <v>5</v>
      </c>
      <c r="E349" s="1" t="s">
        <v>292</v>
      </c>
      <c r="F349" s="27"/>
      <c r="G349" s="27"/>
      <c r="H349" s="106"/>
      <c r="I349" s="14"/>
      <c r="J349" s="123">
        <f>VLOOKUP(E349,'C'!P:Q,2,FALSE)</f>
        <v>16</v>
      </c>
    </row>
    <row r="350" spans="1:10" hidden="1" x14ac:dyDescent="0.35">
      <c r="A350" s="202" t="s">
        <v>82</v>
      </c>
      <c r="B350" s="15" t="s">
        <v>74</v>
      </c>
      <c r="C350" s="91" t="s">
        <v>75</v>
      </c>
      <c r="D350" s="91">
        <v>5</v>
      </c>
      <c r="E350" s="1" t="s">
        <v>292</v>
      </c>
      <c r="F350" s="14"/>
      <c r="G350" s="14"/>
      <c r="H350" s="106"/>
      <c r="I350" s="14"/>
      <c r="J350" s="123">
        <f>VLOOKUP(E350,'C'!P:Q,2,FALSE)</f>
        <v>16</v>
      </c>
    </row>
    <row r="351" spans="1:10" hidden="1" x14ac:dyDescent="0.35">
      <c r="A351" s="202" t="s">
        <v>82</v>
      </c>
      <c r="B351" s="15" t="s">
        <v>76</v>
      </c>
      <c r="C351" s="1" t="s">
        <v>75</v>
      </c>
      <c r="D351" s="1">
        <v>5</v>
      </c>
      <c r="E351" s="1" t="s">
        <v>292</v>
      </c>
      <c r="F351" s="14"/>
      <c r="G351" s="14"/>
      <c r="H351" s="106"/>
      <c r="I351" s="14"/>
      <c r="J351" s="123">
        <f>VLOOKUP(E351,'C'!P:Q,2,FALSE)</f>
        <v>16</v>
      </c>
    </row>
    <row r="352" spans="1:10" hidden="1" x14ac:dyDescent="0.35">
      <c r="A352" s="202" t="s">
        <v>82</v>
      </c>
      <c r="B352" s="15" t="s">
        <v>77</v>
      </c>
      <c r="C352" s="1" t="s">
        <v>75</v>
      </c>
      <c r="D352" s="1">
        <v>5</v>
      </c>
      <c r="E352" s="1" t="s">
        <v>292</v>
      </c>
      <c r="F352" s="14"/>
      <c r="G352" s="14"/>
      <c r="H352" s="106"/>
      <c r="I352" s="14"/>
      <c r="J352" s="123">
        <f>VLOOKUP(E352,'C'!P:Q,2,FALSE)</f>
        <v>16</v>
      </c>
    </row>
    <row r="353" spans="1:10" hidden="1" x14ac:dyDescent="0.35">
      <c r="A353" s="202" t="s">
        <v>82</v>
      </c>
      <c r="B353" s="15" t="s">
        <v>78</v>
      </c>
      <c r="C353" s="1" t="s">
        <v>75</v>
      </c>
      <c r="D353" s="1">
        <v>5</v>
      </c>
      <c r="E353" s="1" t="s">
        <v>292</v>
      </c>
      <c r="F353" s="14"/>
      <c r="G353" s="14"/>
      <c r="H353" s="106"/>
      <c r="I353" s="14"/>
      <c r="J353" s="123">
        <f>VLOOKUP(E353,'C'!P:Q,2,FALSE)</f>
        <v>16</v>
      </c>
    </row>
    <row r="354" spans="1:10" hidden="1" x14ac:dyDescent="0.35">
      <c r="A354" s="202" t="s">
        <v>82</v>
      </c>
      <c r="B354" s="15" t="s">
        <v>79</v>
      </c>
      <c r="C354" s="1" t="s">
        <v>75</v>
      </c>
      <c r="D354" s="1">
        <v>5</v>
      </c>
      <c r="E354" s="1" t="s">
        <v>292</v>
      </c>
      <c r="F354" s="14"/>
      <c r="G354" s="14"/>
      <c r="H354" s="106"/>
      <c r="I354" s="14"/>
      <c r="J354" s="123">
        <f>VLOOKUP(E354,'C'!P:Q,2,FALSE)</f>
        <v>16</v>
      </c>
    </row>
    <row r="355" spans="1:10" hidden="1" x14ac:dyDescent="0.35">
      <c r="A355" s="202" t="s">
        <v>82</v>
      </c>
      <c r="B355" s="15" t="s">
        <v>80</v>
      </c>
      <c r="C355" s="1" t="s">
        <v>75</v>
      </c>
      <c r="D355" s="1">
        <v>5</v>
      </c>
      <c r="E355" s="1" t="s">
        <v>292</v>
      </c>
      <c r="F355" s="14"/>
      <c r="G355" s="14"/>
      <c r="H355" s="14"/>
      <c r="I355" s="14"/>
      <c r="J355" s="123">
        <f>VLOOKUP(E355,'C'!P:Q,2,FALSE)</f>
        <v>16</v>
      </c>
    </row>
    <row r="356" spans="1:10" hidden="1" x14ac:dyDescent="0.35">
      <c r="A356" s="202" t="s">
        <v>83</v>
      </c>
      <c r="B356" s="15" t="s">
        <v>74</v>
      </c>
      <c r="C356" s="91" t="s">
        <v>75</v>
      </c>
      <c r="D356" s="91" t="s">
        <v>84</v>
      </c>
      <c r="E356" s="1" t="s">
        <v>292</v>
      </c>
      <c r="F356" s="14"/>
      <c r="G356" s="14"/>
      <c r="H356" s="106">
        <v>3</v>
      </c>
      <c r="I356" s="14">
        <v>5</v>
      </c>
      <c r="J356" s="123">
        <f>VLOOKUP(E356,'C'!P:Q,2,FALSE)</f>
        <v>16</v>
      </c>
    </row>
    <row r="357" spans="1:10" hidden="1" x14ac:dyDescent="0.35">
      <c r="A357" s="202" t="s">
        <v>83</v>
      </c>
      <c r="B357" s="15" t="s">
        <v>76</v>
      </c>
      <c r="C357" s="1" t="s">
        <v>75</v>
      </c>
      <c r="D357" s="1" t="s">
        <v>84</v>
      </c>
      <c r="E357" s="1" t="s">
        <v>292</v>
      </c>
      <c r="F357" s="14"/>
      <c r="G357" s="14"/>
      <c r="H357" s="106">
        <v>3</v>
      </c>
      <c r="I357" s="14">
        <v>5</v>
      </c>
      <c r="J357" s="123">
        <f>VLOOKUP(E357,'C'!P:Q,2,FALSE)</f>
        <v>16</v>
      </c>
    </row>
    <row r="358" spans="1:10" hidden="1" x14ac:dyDescent="0.35">
      <c r="A358" s="202" t="s">
        <v>83</v>
      </c>
      <c r="B358" s="15" t="s">
        <v>77</v>
      </c>
      <c r="C358" s="1" t="s">
        <v>75</v>
      </c>
      <c r="D358" s="1" t="s">
        <v>84</v>
      </c>
      <c r="E358" s="1" t="s">
        <v>292</v>
      </c>
      <c r="F358" s="14"/>
      <c r="G358" s="14"/>
      <c r="H358" s="106"/>
      <c r="I358" s="14"/>
      <c r="J358" s="123">
        <f>VLOOKUP(E358,'C'!P:Q,2,FALSE)</f>
        <v>16</v>
      </c>
    </row>
    <row r="359" spans="1:10" hidden="1" x14ac:dyDescent="0.35">
      <c r="A359" s="202" t="s">
        <v>83</v>
      </c>
      <c r="B359" s="15" t="s">
        <v>78</v>
      </c>
      <c r="C359" s="1" t="s">
        <v>75</v>
      </c>
      <c r="D359" s="1" t="s">
        <v>84</v>
      </c>
      <c r="E359" s="1" t="s">
        <v>292</v>
      </c>
      <c r="F359" s="14"/>
      <c r="G359" s="14"/>
      <c r="H359" s="106"/>
      <c r="I359" s="14"/>
      <c r="J359" s="123">
        <f>VLOOKUP(E359,'C'!P:Q,2,FALSE)</f>
        <v>16</v>
      </c>
    </row>
    <row r="360" spans="1:10" hidden="1" x14ac:dyDescent="0.35">
      <c r="A360" s="202" t="s">
        <v>83</v>
      </c>
      <c r="B360" s="15" t="s">
        <v>79</v>
      </c>
      <c r="C360" s="1" t="s">
        <v>75</v>
      </c>
      <c r="D360" s="1" t="s">
        <v>84</v>
      </c>
      <c r="E360" s="1" t="s">
        <v>292</v>
      </c>
      <c r="F360" s="14"/>
      <c r="G360" s="14"/>
      <c r="H360" s="106"/>
      <c r="I360" s="14"/>
      <c r="J360" s="123">
        <f>VLOOKUP(E360,'C'!P:Q,2,FALSE)</f>
        <v>16</v>
      </c>
    </row>
    <row r="361" spans="1:10" hidden="1" x14ac:dyDescent="0.35">
      <c r="A361" s="202" t="s">
        <v>83</v>
      </c>
      <c r="B361" s="15" t="s">
        <v>80</v>
      </c>
      <c r="C361" s="1" t="s">
        <v>75</v>
      </c>
      <c r="D361" s="1" t="s">
        <v>84</v>
      </c>
      <c r="E361" s="1" t="s">
        <v>292</v>
      </c>
      <c r="F361" s="14"/>
      <c r="G361" s="14"/>
      <c r="H361" s="106"/>
      <c r="I361" s="14"/>
      <c r="J361" s="123">
        <f>VLOOKUP(E361,'C'!P:Q,2,FALSE)</f>
        <v>16</v>
      </c>
    </row>
    <row r="362" spans="1:10" x14ac:dyDescent="0.35">
      <c r="A362" s="218" t="s">
        <v>73</v>
      </c>
      <c r="B362" s="3" t="s">
        <v>74</v>
      </c>
      <c r="C362" s="1" t="s">
        <v>75</v>
      </c>
      <c r="D362" s="1">
        <v>5</v>
      </c>
      <c r="E362" s="1" t="s">
        <v>289</v>
      </c>
      <c r="F362" s="16"/>
      <c r="G362" s="16"/>
      <c r="H362" s="16">
        <v>2</v>
      </c>
      <c r="I362" s="16">
        <v>3</v>
      </c>
      <c r="J362" s="123">
        <f>VLOOKUP(E362,'C'!P:Q,2,FALSE)</f>
        <v>17</v>
      </c>
    </row>
    <row r="363" spans="1:10" x14ac:dyDescent="0.35">
      <c r="A363" s="218" t="s">
        <v>73</v>
      </c>
      <c r="B363" s="3" t="s">
        <v>76</v>
      </c>
      <c r="C363" s="1" t="s">
        <v>75</v>
      </c>
      <c r="D363" s="1">
        <v>5</v>
      </c>
      <c r="E363" s="1" t="s">
        <v>289</v>
      </c>
      <c r="F363" s="16"/>
      <c r="G363" s="16"/>
      <c r="H363" s="16">
        <v>2</v>
      </c>
      <c r="I363" s="16">
        <v>3</v>
      </c>
      <c r="J363" s="123">
        <f>VLOOKUP(E363,'C'!P:Q,2,FALSE)</f>
        <v>17</v>
      </c>
    </row>
    <row r="364" spans="1:10" x14ac:dyDescent="0.35">
      <c r="A364" s="218" t="s">
        <v>73</v>
      </c>
      <c r="B364" s="3" t="s">
        <v>77</v>
      </c>
      <c r="C364" s="1" t="s">
        <v>75</v>
      </c>
      <c r="D364" s="1">
        <v>5</v>
      </c>
      <c r="E364" s="1" t="s">
        <v>289</v>
      </c>
      <c r="F364" s="16"/>
      <c r="G364" s="16"/>
      <c r="H364" s="16">
        <v>3</v>
      </c>
      <c r="I364" s="16">
        <v>4</v>
      </c>
      <c r="J364" s="123">
        <f>VLOOKUP(E364,'C'!P:Q,2,FALSE)</f>
        <v>17</v>
      </c>
    </row>
    <row r="365" spans="1:10" x14ac:dyDescent="0.35">
      <c r="A365" s="218" t="s">
        <v>73</v>
      </c>
      <c r="B365" s="3" t="s">
        <v>78</v>
      </c>
      <c r="C365" s="1" t="s">
        <v>75</v>
      </c>
      <c r="D365" s="1">
        <v>5</v>
      </c>
      <c r="E365" s="1" t="s">
        <v>289</v>
      </c>
      <c r="F365" s="16"/>
      <c r="G365" s="16"/>
      <c r="H365" s="16">
        <v>3</v>
      </c>
      <c r="I365" s="16">
        <v>4</v>
      </c>
      <c r="J365" s="123">
        <f>VLOOKUP(E365,'C'!P:Q,2,FALSE)</f>
        <v>17</v>
      </c>
    </row>
    <row r="366" spans="1:10" x14ac:dyDescent="0.35">
      <c r="A366" s="218" t="s">
        <v>73</v>
      </c>
      <c r="B366" s="3" t="s">
        <v>79</v>
      </c>
      <c r="C366" s="1" t="s">
        <v>75</v>
      </c>
      <c r="D366" s="1">
        <v>5</v>
      </c>
      <c r="E366" s="1" t="s">
        <v>289</v>
      </c>
      <c r="F366" s="16"/>
      <c r="G366" s="16"/>
      <c r="H366" s="16">
        <v>3</v>
      </c>
      <c r="I366" s="16">
        <v>4</v>
      </c>
      <c r="J366" s="123">
        <f>VLOOKUP(E366,'C'!P:Q,2,FALSE)</f>
        <v>17</v>
      </c>
    </row>
    <row r="367" spans="1:10" x14ac:dyDescent="0.35">
      <c r="A367" s="218" t="s">
        <v>73</v>
      </c>
      <c r="B367" s="3" t="s">
        <v>80</v>
      </c>
      <c r="C367" s="1" t="s">
        <v>75</v>
      </c>
      <c r="D367" s="1">
        <v>5</v>
      </c>
      <c r="E367" s="1" t="s">
        <v>289</v>
      </c>
      <c r="F367" s="27"/>
      <c r="G367" s="27"/>
      <c r="H367" s="27">
        <v>2</v>
      </c>
      <c r="I367" s="27">
        <v>3</v>
      </c>
      <c r="J367" s="123">
        <f>VLOOKUP(E367,'C'!P:Q,2,FALSE)</f>
        <v>17</v>
      </c>
    </row>
    <row r="368" spans="1:10" hidden="1" x14ac:dyDescent="0.35">
      <c r="A368" s="218" t="s">
        <v>81</v>
      </c>
      <c r="B368" s="3" t="s">
        <v>76</v>
      </c>
      <c r="C368" s="91" t="s">
        <v>75</v>
      </c>
      <c r="D368" s="91">
        <v>5</v>
      </c>
      <c r="E368" s="1" t="s">
        <v>289</v>
      </c>
      <c r="F368" s="16"/>
      <c r="G368" s="16"/>
      <c r="H368" s="16">
        <v>1</v>
      </c>
      <c r="I368" s="16">
        <v>2</v>
      </c>
      <c r="J368" s="123">
        <f>VLOOKUP(E368,'C'!P:Q,2,FALSE)</f>
        <v>17</v>
      </c>
    </row>
    <row r="369" spans="1:10" hidden="1" x14ac:dyDescent="0.35">
      <c r="A369" s="218" t="s">
        <v>81</v>
      </c>
      <c r="B369" s="3" t="s">
        <v>74</v>
      </c>
      <c r="C369" s="1" t="s">
        <v>75</v>
      </c>
      <c r="D369" s="1">
        <v>5</v>
      </c>
      <c r="E369" s="1" t="s">
        <v>289</v>
      </c>
      <c r="F369" s="16"/>
      <c r="G369" s="16"/>
      <c r="H369" s="16">
        <v>1</v>
      </c>
      <c r="I369" s="16">
        <v>2</v>
      </c>
      <c r="J369" s="123">
        <f>VLOOKUP(E369,'C'!P:Q,2,FALSE)</f>
        <v>17</v>
      </c>
    </row>
    <row r="370" spans="1:10" hidden="1" x14ac:dyDescent="0.35">
      <c r="A370" s="218" t="s">
        <v>81</v>
      </c>
      <c r="B370" s="3" t="s">
        <v>78</v>
      </c>
      <c r="C370" s="1" t="s">
        <v>75</v>
      </c>
      <c r="D370" s="1">
        <v>5</v>
      </c>
      <c r="E370" s="1" t="s">
        <v>289</v>
      </c>
      <c r="F370" s="16"/>
      <c r="G370" s="16"/>
      <c r="H370" s="16">
        <v>2</v>
      </c>
      <c r="I370" s="16">
        <v>3</v>
      </c>
      <c r="J370" s="123">
        <f>VLOOKUP(E370,'C'!P:Q,2,FALSE)</f>
        <v>17</v>
      </c>
    </row>
    <row r="371" spans="1:10" hidden="1" x14ac:dyDescent="0.35">
      <c r="A371" s="218" t="s">
        <v>81</v>
      </c>
      <c r="B371" s="3" t="s">
        <v>77</v>
      </c>
      <c r="C371" s="1" t="s">
        <v>75</v>
      </c>
      <c r="D371" s="1">
        <v>5</v>
      </c>
      <c r="E371" s="1" t="s">
        <v>289</v>
      </c>
      <c r="F371" s="16"/>
      <c r="G371" s="16"/>
      <c r="H371" s="16">
        <v>2</v>
      </c>
      <c r="I371" s="16">
        <v>3</v>
      </c>
      <c r="J371" s="123">
        <f>VLOOKUP(E371,'C'!P:Q,2,FALSE)</f>
        <v>17</v>
      </c>
    </row>
    <row r="372" spans="1:10" hidden="1" x14ac:dyDescent="0.35">
      <c r="A372" s="218" t="s">
        <v>81</v>
      </c>
      <c r="B372" s="3" t="s">
        <v>79</v>
      </c>
      <c r="C372" s="1" t="s">
        <v>75</v>
      </c>
      <c r="D372" s="1">
        <v>5</v>
      </c>
      <c r="E372" s="1" t="s">
        <v>289</v>
      </c>
      <c r="F372" s="16"/>
      <c r="G372" s="16"/>
      <c r="H372" s="16">
        <v>5</v>
      </c>
      <c r="I372" s="16">
        <v>7</v>
      </c>
      <c r="J372" s="123">
        <f>VLOOKUP(E372,'C'!P:Q,2,FALSE)</f>
        <v>17</v>
      </c>
    </row>
    <row r="373" spans="1:10" hidden="1" x14ac:dyDescent="0.35">
      <c r="A373" s="218" t="s">
        <v>81</v>
      </c>
      <c r="B373" s="3" t="s">
        <v>80</v>
      </c>
      <c r="C373" s="1" t="s">
        <v>75</v>
      </c>
      <c r="D373" s="1">
        <v>5</v>
      </c>
      <c r="E373" s="1" t="s">
        <v>289</v>
      </c>
      <c r="F373" s="27"/>
      <c r="G373" s="27"/>
      <c r="H373" s="366">
        <v>1.5</v>
      </c>
      <c r="I373" s="366">
        <v>1.9</v>
      </c>
      <c r="J373" s="123">
        <f>VLOOKUP(E373,'C'!P:Q,2,FALSE)</f>
        <v>17</v>
      </c>
    </row>
    <row r="374" spans="1:10" hidden="1" x14ac:dyDescent="0.35">
      <c r="A374" s="202" t="s">
        <v>82</v>
      </c>
      <c r="B374" s="15" t="s">
        <v>74</v>
      </c>
      <c r="C374" s="91" t="s">
        <v>75</v>
      </c>
      <c r="D374" s="91">
        <v>5</v>
      </c>
      <c r="E374" s="1" t="s">
        <v>289</v>
      </c>
      <c r="F374" s="14"/>
      <c r="G374" s="14"/>
      <c r="H374" s="14">
        <v>1</v>
      </c>
      <c r="I374" s="14">
        <v>2</v>
      </c>
      <c r="J374" s="123">
        <f>VLOOKUP(E374,'C'!P:Q,2,FALSE)</f>
        <v>17</v>
      </c>
    </row>
    <row r="375" spans="1:10" hidden="1" x14ac:dyDescent="0.35">
      <c r="A375" s="202" t="s">
        <v>82</v>
      </c>
      <c r="B375" s="15" t="s">
        <v>76</v>
      </c>
      <c r="C375" s="1" t="s">
        <v>75</v>
      </c>
      <c r="D375" s="1">
        <v>5</v>
      </c>
      <c r="E375" s="1" t="s">
        <v>289</v>
      </c>
      <c r="F375" s="14"/>
      <c r="G375" s="14"/>
      <c r="H375" s="14">
        <v>1</v>
      </c>
      <c r="I375" s="14">
        <v>2</v>
      </c>
      <c r="J375" s="123">
        <f>VLOOKUP(E375,'C'!P:Q,2,FALSE)</f>
        <v>17</v>
      </c>
    </row>
    <row r="376" spans="1:10" hidden="1" x14ac:dyDescent="0.35">
      <c r="A376" s="202" t="s">
        <v>82</v>
      </c>
      <c r="B376" s="15" t="s">
        <v>77</v>
      </c>
      <c r="C376" s="1" t="s">
        <v>75</v>
      </c>
      <c r="D376" s="1">
        <v>5</v>
      </c>
      <c r="E376" s="1" t="s">
        <v>289</v>
      </c>
      <c r="F376" s="14"/>
      <c r="G376" s="14"/>
      <c r="H376" s="14">
        <v>2</v>
      </c>
      <c r="I376" s="14">
        <v>3</v>
      </c>
      <c r="J376" s="123">
        <f>VLOOKUP(E376,'C'!P:Q,2,FALSE)</f>
        <v>17</v>
      </c>
    </row>
    <row r="377" spans="1:10" hidden="1" x14ac:dyDescent="0.35">
      <c r="A377" s="202" t="s">
        <v>82</v>
      </c>
      <c r="B377" s="15" t="s">
        <v>78</v>
      </c>
      <c r="C377" s="1" t="s">
        <v>75</v>
      </c>
      <c r="D377" s="1">
        <v>5</v>
      </c>
      <c r="E377" s="1" t="s">
        <v>289</v>
      </c>
      <c r="F377" s="14"/>
      <c r="G377" s="14"/>
      <c r="H377" s="14">
        <v>2</v>
      </c>
      <c r="I377" s="14">
        <v>3</v>
      </c>
      <c r="J377" s="123">
        <f>VLOOKUP(E377,'C'!P:Q,2,FALSE)</f>
        <v>17</v>
      </c>
    </row>
    <row r="378" spans="1:10" hidden="1" x14ac:dyDescent="0.35">
      <c r="A378" s="202" t="s">
        <v>82</v>
      </c>
      <c r="B378" s="15" t="s">
        <v>79</v>
      </c>
      <c r="C378" s="1" t="s">
        <v>75</v>
      </c>
      <c r="D378" s="1">
        <v>5</v>
      </c>
      <c r="E378" s="1" t="s">
        <v>289</v>
      </c>
      <c r="F378" s="14"/>
      <c r="G378" s="14"/>
      <c r="H378" s="14">
        <v>5</v>
      </c>
      <c r="I378" s="14">
        <v>7</v>
      </c>
      <c r="J378" s="123">
        <f>VLOOKUP(E378,'C'!P:Q,2,FALSE)</f>
        <v>17</v>
      </c>
    </row>
    <row r="379" spans="1:10" hidden="1" x14ac:dyDescent="0.35">
      <c r="A379" s="202" t="s">
        <v>82</v>
      </c>
      <c r="B379" s="15" t="s">
        <v>80</v>
      </c>
      <c r="C379" s="1" t="s">
        <v>75</v>
      </c>
      <c r="D379" s="1">
        <v>5</v>
      </c>
      <c r="E379" s="1" t="s">
        <v>289</v>
      </c>
      <c r="F379" s="14"/>
      <c r="G379" s="14"/>
      <c r="H379" s="14">
        <v>2.5</v>
      </c>
      <c r="I379" s="14">
        <v>3.5</v>
      </c>
      <c r="J379" s="123">
        <f>VLOOKUP(E379,'C'!P:Q,2,FALSE)</f>
        <v>17</v>
      </c>
    </row>
    <row r="380" spans="1:10" hidden="1" x14ac:dyDescent="0.35">
      <c r="A380" s="202" t="s">
        <v>83</v>
      </c>
      <c r="B380" s="15" t="s">
        <v>74</v>
      </c>
      <c r="C380" s="91" t="s">
        <v>75</v>
      </c>
      <c r="D380" s="91" t="s">
        <v>84</v>
      </c>
      <c r="E380" s="1" t="s">
        <v>289</v>
      </c>
      <c r="F380" s="14"/>
      <c r="G380" s="14"/>
      <c r="H380" s="14"/>
      <c r="I380" s="14"/>
      <c r="J380" s="123">
        <f>VLOOKUP(E380,'C'!P:Q,2,FALSE)</f>
        <v>17</v>
      </c>
    </row>
    <row r="381" spans="1:10" hidden="1" x14ac:dyDescent="0.35">
      <c r="A381" s="202" t="s">
        <v>83</v>
      </c>
      <c r="B381" s="15" t="s">
        <v>76</v>
      </c>
      <c r="C381" s="1" t="s">
        <v>75</v>
      </c>
      <c r="D381" s="1" t="s">
        <v>84</v>
      </c>
      <c r="E381" s="1" t="s">
        <v>289</v>
      </c>
      <c r="F381" s="14"/>
      <c r="G381" s="14"/>
      <c r="H381" s="14"/>
      <c r="I381" s="14"/>
      <c r="J381" s="123">
        <f>VLOOKUP(E381,'C'!P:Q,2,FALSE)</f>
        <v>17</v>
      </c>
    </row>
    <row r="382" spans="1:10" hidden="1" x14ac:dyDescent="0.35">
      <c r="A382" s="202" t="s">
        <v>83</v>
      </c>
      <c r="B382" s="15" t="s">
        <v>77</v>
      </c>
      <c r="C382" s="1" t="s">
        <v>75</v>
      </c>
      <c r="D382" s="1" t="s">
        <v>84</v>
      </c>
      <c r="E382" s="1" t="s">
        <v>289</v>
      </c>
      <c r="F382" s="14"/>
      <c r="G382" s="14"/>
      <c r="H382" s="16">
        <v>2</v>
      </c>
      <c r="I382" s="16">
        <v>3</v>
      </c>
      <c r="J382" s="123">
        <f>VLOOKUP(E382,'C'!P:Q,2,FALSE)</f>
        <v>17</v>
      </c>
    </row>
    <row r="383" spans="1:10" hidden="1" x14ac:dyDescent="0.35">
      <c r="A383" s="202" t="s">
        <v>83</v>
      </c>
      <c r="B383" s="15" t="s">
        <v>78</v>
      </c>
      <c r="C383" s="1" t="s">
        <v>75</v>
      </c>
      <c r="D383" s="1" t="s">
        <v>84</v>
      </c>
      <c r="E383" s="1" t="s">
        <v>289</v>
      </c>
      <c r="F383" s="14"/>
      <c r="G383" s="14"/>
      <c r="H383" s="16">
        <v>2</v>
      </c>
      <c r="I383" s="16">
        <v>3</v>
      </c>
      <c r="J383" s="123">
        <f>VLOOKUP(E383,'C'!P:Q,2,FALSE)</f>
        <v>17</v>
      </c>
    </row>
    <row r="384" spans="1:10" hidden="1" x14ac:dyDescent="0.35">
      <c r="A384" s="202" t="s">
        <v>83</v>
      </c>
      <c r="B384" s="15" t="s">
        <v>79</v>
      </c>
      <c r="C384" s="1" t="s">
        <v>75</v>
      </c>
      <c r="D384" s="1" t="s">
        <v>84</v>
      </c>
      <c r="E384" s="1" t="s">
        <v>289</v>
      </c>
      <c r="F384" s="14"/>
      <c r="G384" s="14"/>
      <c r="H384" s="14"/>
      <c r="I384" s="14"/>
      <c r="J384" s="123">
        <f>VLOOKUP(E384,'C'!P:Q,2,FALSE)</f>
        <v>17</v>
      </c>
    </row>
    <row r="385" spans="1:10" hidden="1" x14ac:dyDescent="0.35">
      <c r="A385" s="202" t="s">
        <v>83</v>
      </c>
      <c r="B385" s="15" t="s">
        <v>80</v>
      </c>
      <c r="C385" s="1" t="s">
        <v>75</v>
      </c>
      <c r="D385" s="1" t="s">
        <v>84</v>
      </c>
      <c r="E385" s="1" t="s">
        <v>289</v>
      </c>
      <c r="F385" s="107"/>
      <c r="G385" s="107"/>
      <c r="H385" s="107">
        <v>1.9</v>
      </c>
      <c r="I385" s="107">
        <v>2.1</v>
      </c>
      <c r="J385" s="123">
        <f>VLOOKUP(E385,'C'!P:Q,2,FALSE)</f>
        <v>17</v>
      </c>
    </row>
    <row r="386" spans="1:10" x14ac:dyDescent="0.35">
      <c r="A386" s="218" t="s">
        <v>73</v>
      </c>
      <c r="B386" s="3" t="s">
        <v>74</v>
      </c>
      <c r="C386" s="1" t="s">
        <v>75</v>
      </c>
      <c r="D386" s="1">
        <v>5</v>
      </c>
      <c r="E386" s="1" t="s">
        <v>293</v>
      </c>
      <c r="F386" s="16"/>
      <c r="G386" s="16"/>
      <c r="H386" s="16">
        <v>2</v>
      </c>
      <c r="I386" s="16">
        <v>3</v>
      </c>
      <c r="J386" s="123">
        <f>VLOOKUP(E386,'C'!P:Q,2,FALSE)</f>
        <v>18</v>
      </c>
    </row>
    <row r="387" spans="1:10" x14ac:dyDescent="0.35">
      <c r="A387" s="218" t="s">
        <v>73</v>
      </c>
      <c r="B387" s="3" t="s">
        <v>76</v>
      </c>
      <c r="C387" s="1" t="s">
        <v>75</v>
      </c>
      <c r="D387" s="1">
        <v>5</v>
      </c>
      <c r="E387" s="1" t="s">
        <v>293</v>
      </c>
      <c r="F387" s="16"/>
      <c r="G387" s="16"/>
      <c r="H387" s="16">
        <v>2</v>
      </c>
      <c r="I387" s="16">
        <v>3</v>
      </c>
      <c r="J387" s="123">
        <f>VLOOKUP(E387,'C'!P:Q,2,FALSE)</f>
        <v>18</v>
      </c>
    </row>
    <row r="388" spans="1:10" x14ac:dyDescent="0.35">
      <c r="A388" s="218" t="s">
        <v>73</v>
      </c>
      <c r="B388" s="3" t="s">
        <v>77</v>
      </c>
      <c r="C388" s="1" t="s">
        <v>75</v>
      </c>
      <c r="D388" s="1">
        <v>5</v>
      </c>
      <c r="E388" s="1" t="s">
        <v>293</v>
      </c>
      <c r="F388" s="16"/>
      <c r="G388" s="16"/>
      <c r="H388" s="16">
        <v>1</v>
      </c>
      <c r="I388" s="16">
        <v>2</v>
      </c>
      <c r="J388" s="123">
        <f>VLOOKUP(E388,'C'!P:Q,2,FALSE)</f>
        <v>18</v>
      </c>
    </row>
    <row r="389" spans="1:10" x14ac:dyDescent="0.35">
      <c r="A389" s="218" t="s">
        <v>73</v>
      </c>
      <c r="B389" s="3" t="s">
        <v>78</v>
      </c>
      <c r="C389" s="1" t="s">
        <v>75</v>
      </c>
      <c r="D389" s="1">
        <v>5</v>
      </c>
      <c r="E389" s="1" t="s">
        <v>293</v>
      </c>
      <c r="F389" s="16"/>
      <c r="G389" s="16"/>
      <c r="H389" s="16">
        <v>1</v>
      </c>
      <c r="I389" s="16">
        <v>2</v>
      </c>
      <c r="J389" s="123">
        <f>VLOOKUP(E389,'C'!P:Q,2,FALSE)</f>
        <v>18</v>
      </c>
    </row>
    <row r="390" spans="1:10" x14ac:dyDescent="0.35">
      <c r="A390" s="218" t="s">
        <v>73</v>
      </c>
      <c r="B390" s="3" t="s">
        <v>79</v>
      </c>
      <c r="C390" s="1" t="s">
        <v>75</v>
      </c>
      <c r="D390" s="1">
        <v>5</v>
      </c>
      <c r="E390" s="1" t="s">
        <v>293</v>
      </c>
      <c r="F390" s="16"/>
      <c r="G390" s="16"/>
      <c r="H390" s="16">
        <v>1</v>
      </c>
      <c r="I390" s="16">
        <v>2</v>
      </c>
      <c r="J390" s="123">
        <f>VLOOKUP(E390,'C'!P:Q,2,FALSE)</f>
        <v>18</v>
      </c>
    </row>
    <row r="391" spans="1:10" x14ac:dyDescent="0.35">
      <c r="A391" s="218" t="s">
        <v>73</v>
      </c>
      <c r="B391" s="3" t="s">
        <v>80</v>
      </c>
      <c r="C391" s="1" t="s">
        <v>75</v>
      </c>
      <c r="D391" s="1">
        <v>5</v>
      </c>
      <c r="E391" s="1" t="s">
        <v>293</v>
      </c>
      <c r="F391" s="27"/>
      <c r="G391" s="27"/>
      <c r="H391" s="27">
        <v>0.7</v>
      </c>
      <c r="I391" s="27">
        <v>1</v>
      </c>
      <c r="J391" s="123">
        <f>VLOOKUP(E391,'C'!P:Q,2,FALSE)</f>
        <v>18</v>
      </c>
    </row>
    <row r="392" spans="1:10" hidden="1" x14ac:dyDescent="0.35">
      <c r="A392" s="218" t="s">
        <v>81</v>
      </c>
      <c r="B392" s="3" t="s">
        <v>76</v>
      </c>
      <c r="C392" s="91" t="s">
        <v>75</v>
      </c>
      <c r="D392" s="91">
        <v>5</v>
      </c>
      <c r="E392" s="1" t="s">
        <v>293</v>
      </c>
      <c r="F392" s="16"/>
      <c r="G392" s="16"/>
      <c r="H392" s="16">
        <v>1</v>
      </c>
      <c r="I392" s="16">
        <v>2</v>
      </c>
      <c r="J392" s="123">
        <f>VLOOKUP(E392,'C'!P:Q,2,FALSE)</f>
        <v>18</v>
      </c>
    </row>
    <row r="393" spans="1:10" hidden="1" x14ac:dyDescent="0.35">
      <c r="A393" s="218" t="s">
        <v>81</v>
      </c>
      <c r="B393" s="3" t="s">
        <v>74</v>
      </c>
      <c r="C393" s="1" t="s">
        <v>75</v>
      </c>
      <c r="D393" s="1">
        <v>5</v>
      </c>
      <c r="E393" s="1" t="s">
        <v>293</v>
      </c>
      <c r="F393" s="16"/>
      <c r="G393" s="16"/>
      <c r="H393" s="16">
        <v>1</v>
      </c>
      <c r="I393" s="16">
        <v>2</v>
      </c>
      <c r="J393" s="123">
        <f>VLOOKUP(E393,'C'!P:Q,2,FALSE)</f>
        <v>18</v>
      </c>
    </row>
    <row r="394" spans="1:10" hidden="1" x14ac:dyDescent="0.35">
      <c r="A394" s="218" t="s">
        <v>81</v>
      </c>
      <c r="B394" s="3" t="s">
        <v>78</v>
      </c>
      <c r="C394" s="1" t="s">
        <v>75</v>
      </c>
      <c r="D394" s="1">
        <v>5</v>
      </c>
      <c r="E394" s="1" t="s">
        <v>293</v>
      </c>
      <c r="F394" s="16"/>
      <c r="G394" s="16"/>
      <c r="H394" s="16">
        <v>1</v>
      </c>
      <c r="I394" s="16">
        <v>2</v>
      </c>
      <c r="J394" s="123">
        <f>VLOOKUP(E394,'C'!P:Q,2,FALSE)</f>
        <v>18</v>
      </c>
    </row>
    <row r="395" spans="1:10" hidden="1" x14ac:dyDescent="0.35">
      <c r="A395" s="218" t="s">
        <v>81</v>
      </c>
      <c r="B395" s="3" t="s">
        <v>77</v>
      </c>
      <c r="C395" s="1" t="s">
        <v>75</v>
      </c>
      <c r="D395" s="1">
        <v>5</v>
      </c>
      <c r="E395" s="1" t="s">
        <v>293</v>
      </c>
      <c r="F395" s="16"/>
      <c r="G395" s="16"/>
      <c r="H395" s="16">
        <v>1</v>
      </c>
      <c r="I395" s="16">
        <v>2</v>
      </c>
      <c r="J395" s="123">
        <f>VLOOKUP(E395,'C'!P:Q,2,FALSE)</f>
        <v>18</v>
      </c>
    </row>
    <row r="396" spans="1:10" hidden="1" x14ac:dyDescent="0.35">
      <c r="A396" s="218" t="s">
        <v>81</v>
      </c>
      <c r="B396" s="3" t="s">
        <v>79</v>
      </c>
      <c r="C396" s="1" t="s">
        <v>75</v>
      </c>
      <c r="D396" s="1">
        <v>5</v>
      </c>
      <c r="E396" s="1" t="s">
        <v>293</v>
      </c>
      <c r="F396" s="16"/>
      <c r="G396" s="16"/>
      <c r="H396" s="16">
        <v>1</v>
      </c>
      <c r="I396" s="16">
        <v>2</v>
      </c>
      <c r="J396" s="123">
        <f>VLOOKUP(E396,'C'!P:Q,2,FALSE)</f>
        <v>18</v>
      </c>
    </row>
    <row r="397" spans="1:10" hidden="1" x14ac:dyDescent="0.35">
      <c r="A397" s="218" t="s">
        <v>81</v>
      </c>
      <c r="B397" s="3" t="s">
        <v>80</v>
      </c>
      <c r="C397" s="1" t="s">
        <v>75</v>
      </c>
      <c r="D397" s="1">
        <v>5</v>
      </c>
      <c r="E397" s="1" t="s">
        <v>293</v>
      </c>
      <c r="F397" s="27"/>
      <c r="G397" s="27"/>
      <c r="H397" s="366">
        <v>0.2</v>
      </c>
      <c r="I397" s="366">
        <v>0.3</v>
      </c>
      <c r="J397" s="123">
        <f>VLOOKUP(E397,'C'!P:Q,2,FALSE)</f>
        <v>18</v>
      </c>
    </row>
    <row r="398" spans="1:10" hidden="1" x14ac:dyDescent="0.35">
      <c r="A398" s="202" t="s">
        <v>82</v>
      </c>
      <c r="B398" s="15" t="s">
        <v>74</v>
      </c>
      <c r="C398" s="91" t="s">
        <v>75</v>
      </c>
      <c r="D398" s="91">
        <v>5</v>
      </c>
      <c r="E398" s="1" t="s">
        <v>293</v>
      </c>
      <c r="F398" s="14"/>
      <c r="G398" s="14"/>
      <c r="H398" s="14">
        <v>1</v>
      </c>
      <c r="I398" s="14">
        <v>2</v>
      </c>
      <c r="J398" s="123">
        <f>VLOOKUP(E398,'C'!P:Q,2,FALSE)</f>
        <v>18</v>
      </c>
    </row>
    <row r="399" spans="1:10" hidden="1" x14ac:dyDescent="0.35">
      <c r="A399" s="202" t="s">
        <v>82</v>
      </c>
      <c r="B399" s="15" t="s">
        <v>76</v>
      </c>
      <c r="C399" s="1" t="s">
        <v>75</v>
      </c>
      <c r="D399" s="1">
        <v>5</v>
      </c>
      <c r="E399" s="1" t="s">
        <v>293</v>
      </c>
      <c r="F399" s="14"/>
      <c r="G399" s="14"/>
      <c r="H399" s="14">
        <v>1</v>
      </c>
      <c r="I399" s="14">
        <v>2</v>
      </c>
      <c r="J399" s="123">
        <f>VLOOKUP(E399,'C'!P:Q,2,FALSE)</f>
        <v>18</v>
      </c>
    </row>
    <row r="400" spans="1:10" hidden="1" x14ac:dyDescent="0.35">
      <c r="A400" s="202" t="s">
        <v>82</v>
      </c>
      <c r="B400" s="15" t="s">
        <v>77</v>
      </c>
      <c r="C400" s="1" t="s">
        <v>75</v>
      </c>
      <c r="D400" s="1">
        <v>5</v>
      </c>
      <c r="E400" s="1" t="s">
        <v>293</v>
      </c>
      <c r="F400" s="14"/>
      <c r="G400" s="14"/>
      <c r="H400" s="14">
        <v>1</v>
      </c>
      <c r="I400" s="14">
        <v>2</v>
      </c>
      <c r="J400" s="123">
        <f>VLOOKUP(E400,'C'!P:Q,2,FALSE)</f>
        <v>18</v>
      </c>
    </row>
    <row r="401" spans="1:10" hidden="1" x14ac:dyDescent="0.35">
      <c r="A401" s="202" t="s">
        <v>82</v>
      </c>
      <c r="B401" s="15" t="s">
        <v>78</v>
      </c>
      <c r="C401" s="1" t="s">
        <v>75</v>
      </c>
      <c r="D401" s="1">
        <v>5</v>
      </c>
      <c r="E401" s="1" t="s">
        <v>293</v>
      </c>
      <c r="F401" s="14"/>
      <c r="G401" s="14"/>
      <c r="H401" s="14">
        <v>1</v>
      </c>
      <c r="I401" s="14">
        <v>2</v>
      </c>
      <c r="J401" s="123">
        <f>VLOOKUP(E401,'C'!P:Q,2,FALSE)</f>
        <v>18</v>
      </c>
    </row>
    <row r="402" spans="1:10" hidden="1" x14ac:dyDescent="0.35">
      <c r="A402" s="202" t="s">
        <v>82</v>
      </c>
      <c r="B402" s="15" t="s">
        <v>79</v>
      </c>
      <c r="C402" s="1" t="s">
        <v>75</v>
      </c>
      <c r="D402" s="1">
        <v>5</v>
      </c>
      <c r="E402" s="1" t="s">
        <v>293</v>
      </c>
      <c r="F402" s="14"/>
      <c r="G402" s="14"/>
      <c r="H402" s="14">
        <v>1</v>
      </c>
      <c r="I402" s="14">
        <v>2</v>
      </c>
      <c r="J402" s="123">
        <f>VLOOKUP(E402,'C'!P:Q,2,FALSE)</f>
        <v>18</v>
      </c>
    </row>
    <row r="403" spans="1:10" hidden="1" x14ac:dyDescent="0.35">
      <c r="A403" s="202" t="s">
        <v>82</v>
      </c>
      <c r="B403" s="15" t="s">
        <v>80</v>
      </c>
      <c r="C403" s="1" t="s">
        <v>75</v>
      </c>
      <c r="D403" s="1">
        <v>5</v>
      </c>
      <c r="E403" s="1" t="s">
        <v>293</v>
      </c>
      <c r="F403" s="14"/>
      <c r="G403" s="14"/>
      <c r="H403" s="14"/>
      <c r="I403" s="14"/>
      <c r="J403" s="123">
        <f>VLOOKUP(E403,'C'!P:Q,2,FALSE)</f>
        <v>18</v>
      </c>
    </row>
    <row r="404" spans="1:10" hidden="1" x14ac:dyDescent="0.35">
      <c r="A404" s="202" t="s">
        <v>83</v>
      </c>
      <c r="B404" s="15" t="s">
        <v>74</v>
      </c>
      <c r="C404" s="91" t="s">
        <v>75</v>
      </c>
      <c r="D404" s="91" t="s">
        <v>84</v>
      </c>
      <c r="E404" s="1" t="s">
        <v>293</v>
      </c>
      <c r="F404" s="14"/>
      <c r="G404" s="14"/>
      <c r="H404" s="14">
        <v>1</v>
      </c>
      <c r="I404" s="14">
        <v>2</v>
      </c>
      <c r="J404" s="123">
        <f>VLOOKUP(E404,'C'!P:Q,2,FALSE)</f>
        <v>18</v>
      </c>
    </row>
    <row r="405" spans="1:10" hidden="1" x14ac:dyDescent="0.35">
      <c r="A405" s="202" t="s">
        <v>83</v>
      </c>
      <c r="B405" s="15" t="s">
        <v>76</v>
      </c>
      <c r="C405" s="1" t="s">
        <v>75</v>
      </c>
      <c r="D405" s="1" t="s">
        <v>84</v>
      </c>
      <c r="E405" s="1" t="s">
        <v>293</v>
      </c>
      <c r="F405" s="14"/>
      <c r="G405" s="14"/>
      <c r="H405" s="14">
        <v>1</v>
      </c>
      <c r="I405" s="14">
        <v>2</v>
      </c>
      <c r="J405" s="123">
        <f>VLOOKUP(E405,'C'!P:Q,2,FALSE)</f>
        <v>18</v>
      </c>
    </row>
    <row r="406" spans="1:10" hidden="1" x14ac:dyDescent="0.35">
      <c r="A406" s="202" t="s">
        <v>83</v>
      </c>
      <c r="B406" s="15" t="s">
        <v>77</v>
      </c>
      <c r="C406" s="1" t="s">
        <v>75</v>
      </c>
      <c r="D406" s="1" t="s">
        <v>84</v>
      </c>
      <c r="E406" s="1" t="s">
        <v>293</v>
      </c>
      <c r="F406" s="14"/>
      <c r="G406" s="14"/>
      <c r="H406" s="16">
        <v>1</v>
      </c>
      <c r="I406" s="16">
        <v>2</v>
      </c>
      <c r="J406" s="123">
        <f>VLOOKUP(E406,'C'!P:Q,2,FALSE)</f>
        <v>18</v>
      </c>
    </row>
    <row r="407" spans="1:10" hidden="1" x14ac:dyDescent="0.35">
      <c r="A407" s="202" t="s">
        <v>83</v>
      </c>
      <c r="B407" s="15" t="s">
        <v>78</v>
      </c>
      <c r="C407" s="1" t="s">
        <v>75</v>
      </c>
      <c r="D407" s="1" t="s">
        <v>84</v>
      </c>
      <c r="E407" s="1" t="s">
        <v>293</v>
      </c>
      <c r="F407" s="14"/>
      <c r="G407" s="14"/>
      <c r="H407" s="16">
        <v>1</v>
      </c>
      <c r="I407" s="16">
        <v>2</v>
      </c>
      <c r="J407" s="123">
        <f>VLOOKUP(E407,'C'!P:Q,2,FALSE)</f>
        <v>18</v>
      </c>
    </row>
    <row r="408" spans="1:10" hidden="1" x14ac:dyDescent="0.35">
      <c r="A408" s="202" t="s">
        <v>83</v>
      </c>
      <c r="B408" s="15" t="s">
        <v>79</v>
      </c>
      <c r="C408" s="1" t="s">
        <v>75</v>
      </c>
      <c r="D408" s="1" t="s">
        <v>84</v>
      </c>
      <c r="E408" s="1" t="s">
        <v>293</v>
      </c>
      <c r="F408" s="14"/>
      <c r="G408" s="14"/>
      <c r="H408" s="14"/>
      <c r="I408" s="14"/>
      <c r="J408" s="123">
        <f>VLOOKUP(E408,'C'!P:Q,2,FALSE)</f>
        <v>18</v>
      </c>
    </row>
    <row r="409" spans="1:10" hidden="1" x14ac:dyDescent="0.35">
      <c r="A409" s="202" t="s">
        <v>83</v>
      </c>
      <c r="B409" s="15" t="s">
        <v>80</v>
      </c>
      <c r="C409" s="1" t="s">
        <v>75</v>
      </c>
      <c r="D409" s="1" t="s">
        <v>84</v>
      </c>
      <c r="E409" s="1" t="s">
        <v>293</v>
      </c>
      <c r="F409" s="107"/>
      <c r="G409" s="107"/>
      <c r="H409" s="107">
        <v>0.3</v>
      </c>
      <c r="I409" s="107">
        <v>0.4</v>
      </c>
      <c r="J409" s="123">
        <f>VLOOKUP(E409,'C'!P:Q,2,FALSE)</f>
        <v>18</v>
      </c>
    </row>
    <row r="410" spans="1:10" x14ac:dyDescent="0.35">
      <c r="A410" s="218" t="s">
        <v>73</v>
      </c>
      <c r="B410" s="3" t="s">
        <v>74</v>
      </c>
      <c r="C410" s="1" t="s">
        <v>75</v>
      </c>
      <c r="D410" s="1">
        <v>5</v>
      </c>
      <c r="E410" s="1" t="s">
        <v>294</v>
      </c>
      <c r="F410" s="16"/>
      <c r="G410" s="16"/>
      <c r="H410" s="16">
        <v>2</v>
      </c>
      <c r="I410" s="16">
        <v>3</v>
      </c>
      <c r="J410" s="123">
        <f>VLOOKUP(E410,'C'!P:Q,2,FALSE)</f>
        <v>19</v>
      </c>
    </row>
    <row r="411" spans="1:10" x14ac:dyDescent="0.35">
      <c r="A411" s="218" t="s">
        <v>73</v>
      </c>
      <c r="B411" s="3" t="s">
        <v>76</v>
      </c>
      <c r="C411" s="1" t="s">
        <v>75</v>
      </c>
      <c r="D411" s="1">
        <v>5</v>
      </c>
      <c r="E411" s="1" t="s">
        <v>294</v>
      </c>
      <c r="F411" s="16"/>
      <c r="G411" s="16"/>
      <c r="H411" s="16">
        <v>2</v>
      </c>
      <c r="I411" s="16">
        <v>3</v>
      </c>
      <c r="J411" s="123">
        <f>VLOOKUP(E411,'C'!P:Q,2,FALSE)</f>
        <v>19</v>
      </c>
    </row>
    <row r="412" spans="1:10" x14ac:dyDescent="0.35">
      <c r="A412" s="218" t="s">
        <v>73</v>
      </c>
      <c r="B412" s="3" t="s">
        <v>77</v>
      </c>
      <c r="C412" s="1" t="s">
        <v>75</v>
      </c>
      <c r="D412" s="1">
        <v>5</v>
      </c>
      <c r="E412" s="1" t="s">
        <v>294</v>
      </c>
      <c r="F412" s="16"/>
      <c r="G412" s="16"/>
      <c r="H412" s="106">
        <v>2</v>
      </c>
      <c r="I412" s="14">
        <v>3</v>
      </c>
      <c r="J412" s="123">
        <f>VLOOKUP(E412,'C'!P:Q,2,FALSE)</f>
        <v>19</v>
      </c>
    </row>
    <row r="413" spans="1:10" x14ac:dyDescent="0.35">
      <c r="A413" s="218" t="s">
        <v>73</v>
      </c>
      <c r="B413" s="3" t="s">
        <v>78</v>
      </c>
      <c r="C413" s="1" t="s">
        <v>75</v>
      </c>
      <c r="D413" s="1">
        <v>5</v>
      </c>
      <c r="E413" s="1" t="s">
        <v>294</v>
      </c>
      <c r="F413" s="16"/>
      <c r="G413" s="16"/>
      <c r="H413" s="106">
        <v>2</v>
      </c>
      <c r="I413" s="14">
        <v>3</v>
      </c>
      <c r="J413" s="123">
        <f>VLOOKUP(E413,'C'!P:Q,2,FALSE)</f>
        <v>19</v>
      </c>
    </row>
    <row r="414" spans="1:10" x14ac:dyDescent="0.35">
      <c r="A414" s="218" t="s">
        <v>73</v>
      </c>
      <c r="B414" s="3" t="s">
        <v>79</v>
      </c>
      <c r="C414" s="1" t="s">
        <v>75</v>
      </c>
      <c r="D414" s="1">
        <v>5</v>
      </c>
      <c r="E414" s="1" t="s">
        <v>294</v>
      </c>
      <c r="F414" s="16"/>
      <c r="G414" s="16"/>
      <c r="H414" s="106">
        <v>2</v>
      </c>
      <c r="I414" s="14">
        <v>3</v>
      </c>
      <c r="J414" s="123">
        <f>VLOOKUP(E414,'C'!P:Q,2,FALSE)</f>
        <v>19</v>
      </c>
    </row>
    <row r="415" spans="1:10" x14ac:dyDescent="0.35">
      <c r="A415" s="218" t="s">
        <v>73</v>
      </c>
      <c r="B415" s="3" t="s">
        <v>80</v>
      </c>
      <c r="C415" s="1" t="s">
        <v>75</v>
      </c>
      <c r="D415" s="1">
        <v>5</v>
      </c>
      <c r="E415" s="1" t="s">
        <v>294</v>
      </c>
      <c r="F415" s="27"/>
      <c r="G415" s="27"/>
      <c r="H415" s="106"/>
      <c r="I415" s="14"/>
      <c r="J415" s="123">
        <f>VLOOKUP(E415,'C'!P:Q,2,FALSE)</f>
        <v>19</v>
      </c>
    </row>
    <row r="416" spans="1:10" hidden="1" x14ac:dyDescent="0.35">
      <c r="A416" s="218" t="s">
        <v>81</v>
      </c>
      <c r="B416" s="3" t="s">
        <v>76</v>
      </c>
      <c r="C416" s="91" t="s">
        <v>75</v>
      </c>
      <c r="D416" s="91">
        <v>5</v>
      </c>
      <c r="E416" s="1" t="s">
        <v>294</v>
      </c>
      <c r="F416" s="16"/>
      <c r="G416" s="16"/>
      <c r="H416" s="106"/>
      <c r="I416" s="14"/>
      <c r="J416" s="123">
        <f>VLOOKUP(E416,'C'!P:Q,2,FALSE)</f>
        <v>19</v>
      </c>
    </row>
    <row r="417" spans="1:10" hidden="1" x14ac:dyDescent="0.35">
      <c r="A417" s="218" t="s">
        <v>81</v>
      </c>
      <c r="B417" s="3" t="s">
        <v>74</v>
      </c>
      <c r="C417" s="1" t="s">
        <v>75</v>
      </c>
      <c r="D417" s="1">
        <v>5</v>
      </c>
      <c r="E417" s="1" t="s">
        <v>294</v>
      </c>
      <c r="F417" s="16"/>
      <c r="G417" s="16"/>
      <c r="H417" s="106"/>
      <c r="I417" s="14"/>
      <c r="J417" s="123">
        <f>VLOOKUP(E417,'C'!P:Q,2,FALSE)</f>
        <v>19</v>
      </c>
    </row>
    <row r="418" spans="1:10" hidden="1" x14ac:dyDescent="0.35">
      <c r="A418" s="218" t="s">
        <v>81</v>
      </c>
      <c r="B418" s="3" t="s">
        <v>78</v>
      </c>
      <c r="C418" s="1" t="s">
        <v>75</v>
      </c>
      <c r="D418" s="1">
        <v>5</v>
      </c>
      <c r="E418" s="1" t="s">
        <v>294</v>
      </c>
      <c r="F418" s="16"/>
      <c r="G418" s="16"/>
      <c r="H418" s="106"/>
      <c r="I418" s="14"/>
      <c r="J418" s="123">
        <f>VLOOKUP(E418,'C'!P:Q,2,FALSE)</f>
        <v>19</v>
      </c>
    </row>
    <row r="419" spans="1:10" hidden="1" x14ac:dyDescent="0.35">
      <c r="A419" s="218" t="s">
        <v>81</v>
      </c>
      <c r="B419" s="3" t="s">
        <v>77</v>
      </c>
      <c r="C419" s="1" t="s">
        <v>75</v>
      </c>
      <c r="D419" s="1">
        <v>5</v>
      </c>
      <c r="E419" s="1" t="s">
        <v>294</v>
      </c>
      <c r="F419" s="16"/>
      <c r="G419" s="16"/>
      <c r="H419" s="106"/>
      <c r="I419" s="14"/>
      <c r="J419" s="123">
        <f>VLOOKUP(E419,'C'!P:Q,2,FALSE)</f>
        <v>19</v>
      </c>
    </row>
    <row r="420" spans="1:10" hidden="1" x14ac:dyDescent="0.35">
      <c r="A420" s="218" t="s">
        <v>81</v>
      </c>
      <c r="B420" s="3" t="s">
        <v>79</v>
      </c>
      <c r="C420" s="1" t="s">
        <v>75</v>
      </c>
      <c r="D420" s="1">
        <v>5</v>
      </c>
      <c r="E420" s="1" t="s">
        <v>294</v>
      </c>
      <c r="F420" s="16"/>
      <c r="G420" s="16"/>
      <c r="H420" s="106"/>
      <c r="I420" s="14"/>
      <c r="J420" s="123">
        <f>VLOOKUP(E420,'C'!P:Q,2,FALSE)</f>
        <v>19</v>
      </c>
    </row>
    <row r="421" spans="1:10" hidden="1" x14ac:dyDescent="0.35">
      <c r="A421" s="218" t="s">
        <v>81</v>
      </c>
      <c r="B421" s="3" t="s">
        <v>80</v>
      </c>
      <c r="C421" s="1" t="s">
        <v>75</v>
      </c>
      <c r="D421" s="1">
        <v>5</v>
      </c>
      <c r="E421" s="1" t="s">
        <v>294</v>
      </c>
      <c r="F421" s="27"/>
      <c r="G421" s="27"/>
      <c r="H421" s="106"/>
      <c r="I421" s="14"/>
      <c r="J421" s="123">
        <f>VLOOKUP(E421,'C'!P:Q,2,FALSE)</f>
        <v>19</v>
      </c>
    </row>
    <row r="422" spans="1:10" hidden="1" x14ac:dyDescent="0.35">
      <c r="A422" s="202" t="s">
        <v>82</v>
      </c>
      <c r="B422" s="15" t="s">
        <v>74</v>
      </c>
      <c r="C422" s="91" t="s">
        <v>75</v>
      </c>
      <c r="D422" s="91">
        <v>5</v>
      </c>
      <c r="E422" s="1" t="s">
        <v>294</v>
      </c>
      <c r="F422" s="14"/>
      <c r="G422" s="14"/>
      <c r="H422" s="106"/>
      <c r="I422" s="14"/>
      <c r="J422" s="123">
        <f>VLOOKUP(E422,'C'!P:Q,2,FALSE)</f>
        <v>19</v>
      </c>
    </row>
    <row r="423" spans="1:10" hidden="1" x14ac:dyDescent="0.35">
      <c r="A423" s="202" t="s">
        <v>82</v>
      </c>
      <c r="B423" s="15" t="s">
        <v>76</v>
      </c>
      <c r="C423" s="1" t="s">
        <v>75</v>
      </c>
      <c r="D423" s="1">
        <v>5</v>
      </c>
      <c r="E423" s="1" t="s">
        <v>294</v>
      </c>
      <c r="F423" s="14"/>
      <c r="G423" s="14"/>
      <c r="H423" s="106"/>
      <c r="I423" s="14"/>
      <c r="J423" s="123">
        <f>VLOOKUP(E423,'C'!P:Q,2,FALSE)</f>
        <v>19</v>
      </c>
    </row>
    <row r="424" spans="1:10" hidden="1" x14ac:dyDescent="0.35">
      <c r="A424" s="202" t="s">
        <v>82</v>
      </c>
      <c r="B424" s="15" t="s">
        <v>77</v>
      </c>
      <c r="C424" s="1" t="s">
        <v>75</v>
      </c>
      <c r="D424" s="1">
        <v>5</v>
      </c>
      <c r="E424" s="1" t="s">
        <v>294</v>
      </c>
      <c r="F424" s="14"/>
      <c r="G424" s="14"/>
      <c r="H424" s="106"/>
      <c r="I424" s="14"/>
      <c r="J424" s="123">
        <f>VLOOKUP(E424,'C'!P:Q,2,FALSE)</f>
        <v>19</v>
      </c>
    </row>
    <row r="425" spans="1:10" hidden="1" x14ac:dyDescent="0.35">
      <c r="A425" s="202" t="s">
        <v>82</v>
      </c>
      <c r="B425" s="15" t="s">
        <v>78</v>
      </c>
      <c r="C425" s="1" t="s">
        <v>75</v>
      </c>
      <c r="D425" s="1">
        <v>5</v>
      </c>
      <c r="E425" s="1" t="s">
        <v>294</v>
      </c>
      <c r="F425" s="14"/>
      <c r="G425" s="14"/>
      <c r="H425" s="106"/>
      <c r="I425" s="14"/>
      <c r="J425" s="123">
        <f>VLOOKUP(E425,'C'!P:Q,2,FALSE)</f>
        <v>19</v>
      </c>
    </row>
    <row r="426" spans="1:10" hidden="1" x14ac:dyDescent="0.35">
      <c r="A426" s="202" t="s">
        <v>82</v>
      </c>
      <c r="B426" s="15" t="s">
        <v>79</v>
      </c>
      <c r="C426" s="1" t="s">
        <v>75</v>
      </c>
      <c r="D426" s="1">
        <v>5</v>
      </c>
      <c r="E426" s="1" t="s">
        <v>294</v>
      </c>
      <c r="F426" s="14"/>
      <c r="G426" s="14"/>
      <c r="H426" s="106"/>
      <c r="I426" s="14"/>
      <c r="J426" s="123">
        <f>VLOOKUP(E426,'C'!P:Q,2,FALSE)</f>
        <v>19</v>
      </c>
    </row>
    <row r="427" spans="1:10" hidden="1" x14ac:dyDescent="0.35">
      <c r="A427" s="202" t="s">
        <v>82</v>
      </c>
      <c r="B427" s="15" t="s">
        <v>80</v>
      </c>
      <c r="C427" s="1" t="s">
        <v>75</v>
      </c>
      <c r="D427" s="1">
        <v>5</v>
      </c>
      <c r="E427" s="1" t="s">
        <v>294</v>
      </c>
      <c r="F427" s="14"/>
      <c r="G427" s="14"/>
      <c r="H427" s="106"/>
      <c r="I427" s="14"/>
      <c r="J427" s="123">
        <f>VLOOKUP(E427,'C'!P:Q,2,FALSE)</f>
        <v>19</v>
      </c>
    </row>
    <row r="428" spans="1:10" hidden="1" x14ac:dyDescent="0.35">
      <c r="A428" s="202" t="s">
        <v>83</v>
      </c>
      <c r="B428" s="15" t="s">
        <v>74</v>
      </c>
      <c r="C428" s="91" t="s">
        <v>75</v>
      </c>
      <c r="D428" s="91" t="s">
        <v>84</v>
      </c>
      <c r="E428" s="1" t="s">
        <v>294</v>
      </c>
      <c r="F428" s="14"/>
      <c r="G428" s="14"/>
      <c r="H428" s="106">
        <v>1</v>
      </c>
      <c r="I428" s="14">
        <v>3</v>
      </c>
      <c r="J428" s="123">
        <f>VLOOKUP(E428,'C'!P:Q,2,FALSE)</f>
        <v>19</v>
      </c>
    </row>
    <row r="429" spans="1:10" hidden="1" x14ac:dyDescent="0.35">
      <c r="A429" s="202" t="s">
        <v>83</v>
      </c>
      <c r="B429" s="15" t="s">
        <v>76</v>
      </c>
      <c r="C429" s="1" t="s">
        <v>75</v>
      </c>
      <c r="D429" s="1" t="s">
        <v>84</v>
      </c>
      <c r="E429" s="1" t="s">
        <v>294</v>
      </c>
      <c r="F429" s="14"/>
      <c r="G429" s="14"/>
      <c r="H429" s="106">
        <v>1</v>
      </c>
      <c r="I429" s="14">
        <v>3</v>
      </c>
      <c r="J429" s="123">
        <f>VLOOKUP(E429,'C'!P:Q,2,FALSE)</f>
        <v>19</v>
      </c>
    </row>
    <row r="430" spans="1:10" hidden="1" x14ac:dyDescent="0.35">
      <c r="A430" s="202" t="s">
        <v>83</v>
      </c>
      <c r="B430" s="15" t="s">
        <v>77</v>
      </c>
      <c r="C430" s="1" t="s">
        <v>75</v>
      </c>
      <c r="D430" s="1" t="s">
        <v>84</v>
      </c>
      <c r="E430" s="1" t="s">
        <v>294</v>
      </c>
      <c r="F430" s="14"/>
      <c r="G430" s="14"/>
      <c r="H430" s="106"/>
      <c r="I430" s="14"/>
      <c r="J430" s="123">
        <f>VLOOKUP(E430,'C'!P:Q,2,FALSE)</f>
        <v>19</v>
      </c>
    </row>
    <row r="431" spans="1:10" hidden="1" x14ac:dyDescent="0.35">
      <c r="A431" s="202" t="s">
        <v>83</v>
      </c>
      <c r="B431" s="15" t="s">
        <v>78</v>
      </c>
      <c r="C431" s="1" t="s">
        <v>75</v>
      </c>
      <c r="D431" s="1" t="s">
        <v>84</v>
      </c>
      <c r="E431" s="1" t="s">
        <v>294</v>
      </c>
      <c r="F431" s="14"/>
      <c r="G431" s="14"/>
      <c r="H431" s="106"/>
      <c r="I431" s="14"/>
      <c r="J431" s="123">
        <f>VLOOKUP(E431,'C'!P:Q,2,FALSE)</f>
        <v>19</v>
      </c>
    </row>
    <row r="432" spans="1:10" hidden="1" x14ac:dyDescent="0.35">
      <c r="A432" s="202" t="s">
        <v>83</v>
      </c>
      <c r="B432" s="15" t="s">
        <v>79</v>
      </c>
      <c r="C432" s="1" t="s">
        <v>75</v>
      </c>
      <c r="D432" s="1" t="s">
        <v>84</v>
      </c>
      <c r="E432" s="1" t="s">
        <v>294</v>
      </c>
      <c r="F432" s="14"/>
      <c r="G432" s="14"/>
      <c r="H432" s="106"/>
      <c r="I432" s="14"/>
      <c r="J432" s="123">
        <f>VLOOKUP(E432,'C'!P:Q,2,FALSE)</f>
        <v>19</v>
      </c>
    </row>
    <row r="433" spans="1:10" hidden="1" x14ac:dyDescent="0.35">
      <c r="A433" s="202" t="s">
        <v>83</v>
      </c>
      <c r="B433" s="15" t="s">
        <v>80</v>
      </c>
      <c r="C433" s="1" t="s">
        <v>75</v>
      </c>
      <c r="D433" s="1" t="s">
        <v>84</v>
      </c>
      <c r="E433" s="1" t="s">
        <v>294</v>
      </c>
      <c r="F433" s="14"/>
      <c r="G433" s="14"/>
      <c r="H433" s="106"/>
      <c r="I433" s="14"/>
      <c r="J433" s="123">
        <f>VLOOKUP(E433,'C'!P:Q,2,FALSE)</f>
        <v>19</v>
      </c>
    </row>
    <row r="434" spans="1:10" x14ac:dyDescent="0.35">
      <c r="A434" s="218" t="s">
        <v>73</v>
      </c>
      <c r="B434" s="3" t="s">
        <v>74</v>
      </c>
      <c r="C434" s="1" t="s">
        <v>75</v>
      </c>
      <c r="D434" s="1">
        <v>5</v>
      </c>
      <c r="E434" s="1" t="s">
        <v>295</v>
      </c>
      <c r="F434" s="16"/>
      <c r="G434" s="16"/>
      <c r="H434" s="16">
        <v>75</v>
      </c>
      <c r="I434" s="16">
        <v>80</v>
      </c>
      <c r="J434" s="123">
        <f>VLOOKUP(E434,'C'!P:Q,2,FALSE)</f>
        <v>20</v>
      </c>
    </row>
    <row r="435" spans="1:10" x14ac:dyDescent="0.35">
      <c r="A435" s="218" t="s">
        <v>73</v>
      </c>
      <c r="B435" s="3" t="s">
        <v>76</v>
      </c>
      <c r="C435" s="1" t="s">
        <v>75</v>
      </c>
      <c r="D435" s="1">
        <v>5</v>
      </c>
      <c r="E435" s="1" t="s">
        <v>295</v>
      </c>
      <c r="F435" s="16"/>
      <c r="G435" s="16"/>
      <c r="H435" s="16">
        <v>75</v>
      </c>
      <c r="I435" s="16">
        <v>80</v>
      </c>
      <c r="J435" s="123">
        <f>VLOOKUP(E435,'C'!P:Q,2,FALSE)</f>
        <v>20</v>
      </c>
    </row>
    <row r="436" spans="1:10" x14ac:dyDescent="0.35">
      <c r="A436" s="218" t="s">
        <v>73</v>
      </c>
      <c r="B436" s="3" t="s">
        <v>77</v>
      </c>
      <c r="C436" s="1" t="s">
        <v>75</v>
      </c>
      <c r="D436" s="1">
        <v>5</v>
      </c>
      <c r="E436" s="1" t="s">
        <v>295</v>
      </c>
      <c r="F436" s="16"/>
      <c r="G436" s="16"/>
      <c r="H436" s="16">
        <v>25</v>
      </c>
      <c r="I436" s="16">
        <v>27</v>
      </c>
      <c r="J436" s="123">
        <f>VLOOKUP(E436,'C'!P:Q,2,FALSE)</f>
        <v>20</v>
      </c>
    </row>
    <row r="437" spans="1:10" x14ac:dyDescent="0.35">
      <c r="A437" s="218" t="s">
        <v>73</v>
      </c>
      <c r="B437" s="3" t="s">
        <v>78</v>
      </c>
      <c r="C437" s="1" t="s">
        <v>75</v>
      </c>
      <c r="D437" s="1">
        <v>5</v>
      </c>
      <c r="E437" s="1" t="s">
        <v>295</v>
      </c>
      <c r="F437" s="16"/>
      <c r="G437" s="16"/>
      <c r="H437" s="16">
        <v>25</v>
      </c>
      <c r="I437" s="16">
        <v>27</v>
      </c>
      <c r="J437" s="123">
        <f>VLOOKUP(E437,'C'!P:Q,2,FALSE)</f>
        <v>20</v>
      </c>
    </row>
    <row r="438" spans="1:10" x14ac:dyDescent="0.35">
      <c r="A438" s="218" t="s">
        <v>73</v>
      </c>
      <c r="B438" s="3" t="s">
        <v>79</v>
      </c>
      <c r="C438" s="1" t="s">
        <v>75</v>
      </c>
      <c r="D438" s="1">
        <v>5</v>
      </c>
      <c r="E438" s="1" t="s">
        <v>295</v>
      </c>
      <c r="F438" s="16"/>
      <c r="G438" s="16"/>
      <c r="H438" s="16">
        <v>9</v>
      </c>
      <c r="I438" s="16">
        <v>10</v>
      </c>
      <c r="J438" s="123">
        <f>VLOOKUP(E438,'C'!P:Q,2,FALSE)</f>
        <v>20</v>
      </c>
    </row>
    <row r="439" spans="1:10" x14ac:dyDescent="0.35">
      <c r="A439" s="218" t="s">
        <v>73</v>
      </c>
      <c r="B439" s="3" t="s">
        <v>80</v>
      </c>
      <c r="C439" s="1" t="s">
        <v>75</v>
      </c>
      <c r="D439" s="1">
        <v>5</v>
      </c>
      <c r="E439" s="1" t="s">
        <v>295</v>
      </c>
      <c r="F439" s="27"/>
      <c r="G439" s="27"/>
      <c r="H439" s="27">
        <v>5</v>
      </c>
      <c r="I439" s="27">
        <v>6</v>
      </c>
      <c r="J439" s="123">
        <f>VLOOKUP(E439,'C'!P:Q,2,FALSE)</f>
        <v>20</v>
      </c>
    </row>
    <row r="440" spans="1:10" hidden="1" x14ac:dyDescent="0.35">
      <c r="A440" s="218" t="s">
        <v>81</v>
      </c>
      <c r="B440" s="3" t="s">
        <v>76</v>
      </c>
      <c r="C440" s="91" t="s">
        <v>75</v>
      </c>
      <c r="D440" s="91">
        <v>5</v>
      </c>
      <c r="E440" s="1" t="s">
        <v>295</v>
      </c>
      <c r="F440" s="16"/>
      <c r="G440" s="16"/>
      <c r="H440" s="16">
        <v>21</v>
      </c>
      <c r="I440" s="16">
        <v>26</v>
      </c>
      <c r="J440" s="123">
        <f>VLOOKUP(E440,'C'!P:Q,2,FALSE)</f>
        <v>20</v>
      </c>
    </row>
    <row r="441" spans="1:10" hidden="1" x14ac:dyDescent="0.35">
      <c r="A441" s="218" t="s">
        <v>81</v>
      </c>
      <c r="B441" s="3" t="s">
        <v>74</v>
      </c>
      <c r="C441" s="1" t="s">
        <v>75</v>
      </c>
      <c r="D441" s="1">
        <v>5</v>
      </c>
      <c r="E441" s="1" t="s">
        <v>295</v>
      </c>
      <c r="F441" s="16"/>
      <c r="G441" s="16"/>
      <c r="H441" s="16">
        <v>21</v>
      </c>
      <c r="I441" s="16">
        <v>26</v>
      </c>
      <c r="J441" s="123">
        <f>VLOOKUP(E441,'C'!P:Q,2,FALSE)</f>
        <v>20</v>
      </c>
    </row>
    <row r="442" spans="1:10" hidden="1" x14ac:dyDescent="0.35">
      <c r="A442" s="218" t="s">
        <v>81</v>
      </c>
      <c r="B442" s="3" t="s">
        <v>78</v>
      </c>
      <c r="C442" s="1" t="s">
        <v>75</v>
      </c>
      <c r="D442" s="1">
        <v>5</v>
      </c>
      <c r="E442" s="1" t="s">
        <v>295</v>
      </c>
      <c r="F442" s="16"/>
      <c r="G442" s="16"/>
      <c r="H442" s="16">
        <v>9</v>
      </c>
      <c r="I442" s="16">
        <v>11</v>
      </c>
      <c r="J442" s="123">
        <f>VLOOKUP(E442,'C'!P:Q,2,FALSE)</f>
        <v>20</v>
      </c>
    </row>
    <row r="443" spans="1:10" hidden="1" x14ac:dyDescent="0.35">
      <c r="A443" s="218" t="s">
        <v>81</v>
      </c>
      <c r="B443" s="3" t="s">
        <v>77</v>
      </c>
      <c r="C443" s="1" t="s">
        <v>75</v>
      </c>
      <c r="D443" s="1">
        <v>5</v>
      </c>
      <c r="E443" s="1" t="s">
        <v>295</v>
      </c>
      <c r="F443" s="16"/>
      <c r="G443" s="16"/>
      <c r="H443" s="16">
        <v>9</v>
      </c>
      <c r="I443" s="16">
        <v>11</v>
      </c>
      <c r="J443" s="123">
        <f>VLOOKUP(E443,'C'!P:Q,2,FALSE)</f>
        <v>20</v>
      </c>
    </row>
    <row r="444" spans="1:10" hidden="1" x14ac:dyDescent="0.35">
      <c r="A444" s="218" t="s">
        <v>81</v>
      </c>
      <c r="B444" s="3" t="s">
        <v>79</v>
      </c>
      <c r="C444" s="1" t="s">
        <v>75</v>
      </c>
      <c r="D444" s="1">
        <v>5</v>
      </c>
      <c r="E444" s="1" t="s">
        <v>295</v>
      </c>
      <c r="F444" s="16"/>
      <c r="G444" s="16"/>
      <c r="H444" s="16">
        <v>11</v>
      </c>
      <c r="I444" s="16">
        <v>13</v>
      </c>
      <c r="J444" s="123">
        <f>VLOOKUP(E444,'C'!P:Q,2,FALSE)</f>
        <v>20</v>
      </c>
    </row>
    <row r="445" spans="1:10" hidden="1" x14ac:dyDescent="0.35">
      <c r="A445" s="218" t="s">
        <v>81</v>
      </c>
      <c r="B445" s="3" t="s">
        <v>80</v>
      </c>
      <c r="C445" s="1" t="s">
        <v>75</v>
      </c>
      <c r="D445" s="1">
        <v>5</v>
      </c>
      <c r="E445" s="1" t="s">
        <v>295</v>
      </c>
      <c r="F445" s="27"/>
      <c r="G445" s="27"/>
      <c r="H445" s="366">
        <v>6</v>
      </c>
      <c r="I445" s="366">
        <v>8</v>
      </c>
      <c r="J445" s="123">
        <f>VLOOKUP(E445,'C'!P:Q,2,FALSE)</f>
        <v>20</v>
      </c>
    </row>
    <row r="446" spans="1:10" hidden="1" x14ac:dyDescent="0.35">
      <c r="A446" s="202" t="s">
        <v>82</v>
      </c>
      <c r="B446" s="15" t="s">
        <v>74</v>
      </c>
      <c r="C446" s="91" t="s">
        <v>75</v>
      </c>
      <c r="D446" s="91">
        <v>5</v>
      </c>
      <c r="E446" s="1" t="s">
        <v>295</v>
      </c>
      <c r="F446" s="14"/>
      <c r="G446" s="14"/>
      <c r="H446" s="14">
        <v>21</v>
      </c>
      <c r="I446" s="14">
        <v>26</v>
      </c>
      <c r="J446" s="123">
        <f>VLOOKUP(E446,'C'!P:Q,2,FALSE)</f>
        <v>20</v>
      </c>
    </row>
    <row r="447" spans="1:10" hidden="1" x14ac:dyDescent="0.35">
      <c r="A447" s="202" t="s">
        <v>82</v>
      </c>
      <c r="B447" s="15" t="s">
        <v>76</v>
      </c>
      <c r="C447" s="1" t="s">
        <v>75</v>
      </c>
      <c r="D447" s="1">
        <v>5</v>
      </c>
      <c r="E447" s="1" t="s">
        <v>295</v>
      </c>
      <c r="F447" s="14"/>
      <c r="G447" s="14"/>
      <c r="H447" s="14">
        <v>21</v>
      </c>
      <c r="I447" s="14">
        <v>26</v>
      </c>
      <c r="J447" s="123">
        <f>VLOOKUP(E447,'C'!P:Q,2,FALSE)</f>
        <v>20</v>
      </c>
    </row>
    <row r="448" spans="1:10" hidden="1" x14ac:dyDescent="0.35">
      <c r="A448" s="202" t="s">
        <v>82</v>
      </c>
      <c r="B448" s="15" t="s">
        <v>77</v>
      </c>
      <c r="C448" s="1" t="s">
        <v>75</v>
      </c>
      <c r="D448" s="1">
        <v>5</v>
      </c>
      <c r="E448" s="1" t="s">
        <v>295</v>
      </c>
      <c r="F448" s="14"/>
      <c r="G448" s="14"/>
      <c r="H448" s="16">
        <v>9</v>
      </c>
      <c r="I448" s="16">
        <v>11</v>
      </c>
      <c r="J448" s="123">
        <f>VLOOKUP(E448,'C'!P:Q,2,FALSE)</f>
        <v>20</v>
      </c>
    </row>
    <row r="449" spans="1:10" hidden="1" x14ac:dyDescent="0.35">
      <c r="A449" s="202" t="s">
        <v>82</v>
      </c>
      <c r="B449" s="15" t="s">
        <v>78</v>
      </c>
      <c r="C449" s="1" t="s">
        <v>75</v>
      </c>
      <c r="D449" s="1">
        <v>5</v>
      </c>
      <c r="E449" s="1" t="s">
        <v>295</v>
      </c>
      <c r="F449" s="14"/>
      <c r="G449" s="14"/>
      <c r="H449" s="16">
        <v>9</v>
      </c>
      <c r="I449" s="16">
        <v>11</v>
      </c>
      <c r="J449" s="123">
        <f>VLOOKUP(E449,'C'!P:Q,2,FALSE)</f>
        <v>20</v>
      </c>
    </row>
    <row r="450" spans="1:10" hidden="1" x14ac:dyDescent="0.35">
      <c r="A450" s="202" t="s">
        <v>82</v>
      </c>
      <c r="B450" s="15" t="s">
        <v>79</v>
      </c>
      <c r="C450" s="1" t="s">
        <v>75</v>
      </c>
      <c r="D450" s="1">
        <v>5</v>
      </c>
      <c r="E450" s="1" t="s">
        <v>295</v>
      </c>
      <c r="F450" s="14"/>
      <c r="G450" s="14"/>
      <c r="H450" s="14">
        <v>11</v>
      </c>
      <c r="I450" s="14">
        <v>13</v>
      </c>
      <c r="J450" s="123">
        <f>VLOOKUP(E450,'C'!P:Q,2,FALSE)</f>
        <v>20</v>
      </c>
    </row>
    <row r="451" spans="1:10" hidden="1" x14ac:dyDescent="0.35">
      <c r="A451" s="202" t="s">
        <v>82</v>
      </c>
      <c r="B451" s="15" t="s">
        <v>80</v>
      </c>
      <c r="C451" s="1" t="s">
        <v>75</v>
      </c>
      <c r="D451" s="1">
        <v>5</v>
      </c>
      <c r="E451" s="1" t="s">
        <v>295</v>
      </c>
      <c r="F451" s="14"/>
      <c r="G451" s="14"/>
      <c r="H451" s="14">
        <v>10.5</v>
      </c>
      <c r="I451" s="14">
        <v>12.5</v>
      </c>
      <c r="J451" s="123">
        <f>VLOOKUP(E451,'C'!P:Q,2,FALSE)</f>
        <v>20</v>
      </c>
    </row>
    <row r="452" spans="1:10" hidden="1" x14ac:dyDescent="0.35">
      <c r="A452" s="202" t="s">
        <v>83</v>
      </c>
      <c r="B452" s="15" t="s">
        <v>74</v>
      </c>
      <c r="C452" s="91" t="s">
        <v>75</v>
      </c>
      <c r="D452" s="91" t="s">
        <v>84</v>
      </c>
      <c r="E452" s="1" t="s">
        <v>295</v>
      </c>
      <c r="F452" s="14"/>
      <c r="G452" s="14"/>
      <c r="H452" s="14">
        <v>40</v>
      </c>
      <c r="I452" s="14">
        <v>80</v>
      </c>
      <c r="J452" s="123">
        <f>VLOOKUP(E452,'C'!P:Q,2,FALSE)</f>
        <v>20</v>
      </c>
    </row>
    <row r="453" spans="1:10" hidden="1" x14ac:dyDescent="0.35">
      <c r="A453" s="202" t="s">
        <v>83</v>
      </c>
      <c r="B453" s="15" t="s">
        <v>76</v>
      </c>
      <c r="C453" s="1" t="s">
        <v>75</v>
      </c>
      <c r="D453" s="1" t="s">
        <v>84</v>
      </c>
      <c r="E453" s="1" t="s">
        <v>295</v>
      </c>
      <c r="F453" s="14"/>
      <c r="G453" s="14"/>
      <c r="H453" s="14">
        <v>40</v>
      </c>
      <c r="I453" s="14">
        <v>80</v>
      </c>
      <c r="J453" s="123">
        <f>VLOOKUP(E453,'C'!P:Q,2,FALSE)</f>
        <v>20</v>
      </c>
    </row>
    <row r="454" spans="1:10" hidden="1" x14ac:dyDescent="0.35">
      <c r="A454" s="202" t="s">
        <v>83</v>
      </c>
      <c r="B454" s="15" t="s">
        <v>77</v>
      </c>
      <c r="C454" s="1" t="s">
        <v>75</v>
      </c>
      <c r="D454" s="1" t="s">
        <v>84</v>
      </c>
      <c r="E454" s="1" t="s">
        <v>295</v>
      </c>
      <c r="F454" s="14"/>
      <c r="G454" s="14"/>
      <c r="H454" s="14">
        <v>26</v>
      </c>
      <c r="I454" s="14">
        <v>28</v>
      </c>
      <c r="J454" s="123">
        <f>VLOOKUP(E454,'C'!P:Q,2,FALSE)</f>
        <v>20</v>
      </c>
    </row>
    <row r="455" spans="1:10" hidden="1" x14ac:dyDescent="0.35">
      <c r="A455" s="202" t="s">
        <v>83</v>
      </c>
      <c r="B455" s="15" t="s">
        <v>78</v>
      </c>
      <c r="C455" s="1" t="s">
        <v>75</v>
      </c>
      <c r="D455" s="1" t="s">
        <v>84</v>
      </c>
      <c r="E455" s="1" t="s">
        <v>295</v>
      </c>
      <c r="F455" s="14"/>
      <c r="G455" s="14"/>
      <c r="H455" s="14">
        <v>26</v>
      </c>
      <c r="I455" s="14">
        <v>28</v>
      </c>
      <c r="J455" s="123">
        <f>VLOOKUP(E455,'C'!P:Q,2,FALSE)</f>
        <v>20</v>
      </c>
    </row>
    <row r="456" spans="1:10" hidden="1" x14ac:dyDescent="0.35">
      <c r="A456" s="202" t="s">
        <v>83</v>
      </c>
      <c r="B456" s="15" t="s">
        <v>79</v>
      </c>
      <c r="C456" s="1" t="s">
        <v>75</v>
      </c>
      <c r="D456" s="1" t="s">
        <v>84</v>
      </c>
      <c r="E456" s="1" t="s">
        <v>295</v>
      </c>
      <c r="F456" s="14"/>
      <c r="G456" s="14"/>
      <c r="H456" s="14"/>
      <c r="I456" s="14"/>
      <c r="J456" s="123">
        <f>VLOOKUP(E456,'C'!P:Q,2,FALSE)</f>
        <v>20</v>
      </c>
    </row>
    <row r="457" spans="1:10" hidden="1" x14ac:dyDescent="0.35">
      <c r="A457" s="202" t="s">
        <v>83</v>
      </c>
      <c r="B457" s="15" t="s">
        <v>80</v>
      </c>
      <c r="C457" s="1" t="s">
        <v>75</v>
      </c>
      <c r="D457" s="1" t="s">
        <v>84</v>
      </c>
      <c r="E457" s="1" t="s">
        <v>295</v>
      </c>
      <c r="F457" s="105"/>
      <c r="G457" s="105"/>
      <c r="H457" s="105">
        <v>6</v>
      </c>
      <c r="I457" s="105">
        <v>7</v>
      </c>
      <c r="J457" s="123">
        <f>VLOOKUP(E457,'C'!P:Q,2,FALSE)</f>
        <v>20</v>
      </c>
    </row>
    <row r="458" spans="1:10" x14ac:dyDescent="0.35">
      <c r="A458" s="218" t="s">
        <v>73</v>
      </c>
      <c r="B458" s="3" t="s">
        <v>74</v>
      </c>
      <c r="C458" s="1" t="s">
        <v>75</v>
      </c>
      <c r="D458" s="1">
        <v>5</v>
      </c>
      <c r="E458" s="1" t="s">
        <v>296</v>
      </c>
      <c r="F458" s="16"/>
      <c r="G458" s="16"/>
      <c r="H458" s="16">
        <v>3</v>
      </c>
      <c r="I458" s="16">
        <v>4</v>
      </c>
      <c r="J458" s="123">
        <f>VLOOKUP(E458,'C'!P:Q,2,FALSE)</f>
        <v>21</v>
      </c>
    </row>
    <row r="459" spans="1:10" x14ac:dyDescent="0.35">
      <c r="A459" s="218" t="s">
        <v>73</v>
      </c>
      <c r="B459" s="3" t="s">
        <v>76</v>
      </c>
      <c r="C459" s="1" t="s">
        <v>75</v>
      </c>
      <c r="D459" s="1">
        <v>5</v>
      </c>
      <c r="E459" s="1" t="s">
        <v>296</v>
      </c>
      <c r="F459" s="16"/>
      <c r="G459" s="16"/>
      <c r="H459" s="16">
        <v>3</v>
      </c>
      <c r="I459" s="16">
        <v>4</v>
      </c>
      <c r="J459" s="123">
        <f>VLOOKUP(E459,'C'!P:Q,2,FALSE)</f>
        <v>21</v>
      </c>
    </row>
    <row r="460" spans="1:10" x14ac:dyDescent="0.35">
      <c r="A460" s="218" t="s">
        <v>73</v>
      </c>
      <c r="B460" s="3" t="s">
        <v>77</v>
      </c>
      <c r="C460" s="1" t="s">
        <v>75</v>
      </c>
      <c r="D460" s="1">
        <v>5</v>
      </c>
      <c r="E460" s="1" t="s">
        <v>296</v>
      </c>
      <c r="F460" s="16"/>
      <c r="G460" s="16"/>
      <c r="H460" s="16">
        <v>4</v>
      </c>
      <c r="I460" s="16">
        <v>5</v>
      </c>
      <c r="J460" s="123">
        <f>VLOOKUP(E460,'C'!P:Q,2,FALSE)</f>
        <v>21</v>
      </c>
    </row>
    <row r="461" spans="1:10" x14ac:dyDescent="0.35">
      <c r="A461" s="218" t="s">
        <v>73</v>
      </c>
      <c r="B461" s="3" t="s">
        <v>78</v>
      </c>
      <c r="C461" s="1" t="s">
        <v>75</v>
      </c>
      <c r="D461" s="1">
        <v>5</v>
      </c>
      <c r="E461" s="1" t="s">
        <v>296</v>
      </c>
      <c r="F461" s="16"/>
      <c r="G461" s="16"/>
      <c r="H461" s="16">
        <v>4</v>
      </c>
      <c r="I461" s="16">
        <v>5</v>
      </c>
      <c r="J461" s="123">
        <f>VLOOKUP(E461,'C'!P:Q,2,FALSE)</f>
        <v>21</v>
      </c>
    </row>
    <row r="462" spans="1:10" x14ac:dyDescent="0.35">
      <c r="A462" s="218" t="s">
        <v>73</v>
      </c>
      <c r="B462" s="3" t="s">
        <v>79</v>
      </c>
      <c r="C462" s="1" t="s">
        <v>75</v>
      </c>
      <c r="D462" s="1">
        <v>5</v>
      </c>
      <c r="E462" s="1" t="s">
        <v>296</v>
      </c>
      <c r="F462" s="16"/>
      <c r="G462" s="16"/>
      <c r="H462" s="16">
        <v>2</v>
      </c>
      <c r="I462" s="16">
        <v>3</v>
      </c>
      <c r="J462" s="123">
        <f>VLOOKUP(E462,'C'!P:Q,2,FALSE)</f>
        <v>21</v>
      </c>
    </row>
    <row r="463" spans="1:10" x14ac:dyDescent="0.35">
      <c r="A463" s="218" t="s">
        <v>73</v>
      </c>
      <c r="B463" s="3" t="s">
        <v>80</v>
      </c>
      <c r="C463" s="1" t="s">
        <v>75</v>
      </c>
      <c r="D463" s="1">
        <v>5</v>
      </c>
      <c r="E463" s="1" t="s">
        <v>296</v>
      </c>
      <c r="F463" s="27"/>
      <c r="G463" s="27"/>
      <c r="H463" s="27">
        <v>5</v>
      </c>
      <c r="I463" s="27">
        <v>6</v>
      </c>
      <c r="J463" s="123">
        <f>VLOOKUP(E463,'C'!P:Q,2,FALSE)</f>
        <v>21</v>
      </c>
    </row>
    <row r="464" spans="1:10" hidden="1" x14ac:dyDescent="0.35">
      <c r="A464" s="218" t="s">
        <v>81</v>
      </c>
      <c r="B464" s="3" t="s">
        <v>76</v>
      </c>
      <c r="C464" s="91" t="s">
        <v>75</v>
      </c>
      <c r="D464" s="91">
        <v>5</v>
      </c>
      <c r="E464" s="1" t="s">
        <v>296</v>
      </c>
      <c r="F464" s="16"/>
      <c r="G464" s="16"/>
      <c r="H464" s="16">
        <v>1</v>
      </c>
      <c r="I464" s="16">
        <v>2</v>
      </c>
      <c r="J464" s="123">
        <f>VLOOKUP(E464,'C'!P:Q,2,FALSE)</f>
        <v>21</v>
      </c>
    </row>
    <row r="465" spans="1:10" hidden="1" x14ac:dyDescent="0.35">
      <c r="A465" s="218" t="s">
        <v>81</v>
      </c>
      <c r="B465" s="3" t="s">
        <v>74</v>
      </c>
      <c r="C465" s="1" t="s">
        <v>75</v>
      </c>
      <c r="D465" s="1">
        <v>5</v>
      </c>
      <c r="E465" s="1" t="s">
        <v>296</v>
      </c>
      <c r="F465" s="16"/>
      <c r="G465" s="16"/>
      <c r="H465" s="16">
        <v>1</v>
      </c>
      <c r="I465" s="16">
        <v>2</v>
      </c>
      <c r="J465" s="123">
        <f>VLOOKUP(E465,'C'!P:Q,2,FALSE)</f>
        <v>21</v>
      </c>
    </row>
    <row r="466" spans="1:10" hidden="1" x14ac:dyDescent="0.35">
      <c r="A466" s="218" t="s">
        <v>81</v>
      </c>
      <c r="B466" s="3" t="s">
        <v>78</v>
      </c>
      <c r="C466" s="1" t="s">
        <v>75</v>
      </c>
      <c r="D466" s="1">
        <v>5</v>
      </c>
      <c r="E466" s="1" t="s">
        <v>296</v>
      </c>
      <c r="F466" s="16"/>
      <c r="G466" s="16"/>
      <c r="H466" s="16">
        <v>4</v>
      </c>
      <c r="I466" s="16">
        <v>5</v>
      </c>
      <c r="J466" s="123">
        <f>VLOOKUP(E466,'C'!P:Q,2,FALSE)</f>
        <v>21</v>
      </c>
    </row>
    <row r="467" spans="1:10" hidden="1" x14ac:dyDescent="0.35">
      <c r="A467" s="218" t="s">
        <v>81</v>
      </c>
      <c r="B467" s="3" t="s">
        <v>77</v>
      </c>
      <c r="C467" s="1" t="s">
        <v>75</v>
      </c>
      <c r="D467" s="1">
        <v>5</v>
      </c>
      <c r="E467" s="1" t="s">
        <v>296</v>
      </c>
      <c r="F467" s="16"/>
      <c r="G467" s="16"/>
      <c r="H467" s="16">
        <v>4</v>
      </c>
      <c r="I467" s="16">
        <v>5</v>
      </c>
      <c r="J467" s="123">
        <f>VLOOKUP(E467,'C'!P:Q,2,FALSE)</f>
        <v>21</v>
      </c>
    </row>
    <row r="468" spans="1:10" hidden="1" x14ac:dyDescent="0.35">
      <c r="A468" s="218" t="s">
        <v>81</v>
      </c>
      <c r="B468" s="3" t="s">
        <v>79</v>
      </c>
      <c r="C468" s="1" t="s">
        <v>75</v>
      </c>
      <c r="D468" s="1">
        <v>5</v>
      </c>
      <c r="E468" s="1" t="s">
        <v>296</v>
      </c>
      <c r="F468" s="16"/>
      <c r="G468" s="16"/>
      <c r="H468" s="16">
        <v>5</v>
      </c>
      <c r="I468" s="16">
        <v>6</v>
      </c>
      <c r="J468" s="123">
        <f>VLOOKUP(E468,'C'!P:Q,2,FALSE)</f>
        <v>21</v>
      </c>
    </row>
    <row r="469" spans="1:10" hidden="1" x14ac:dyDescent="0.35">
      <c r="A469" s="218" t="s">
        <v>81</v>
      </c>
      <c r="B469" s="3" t="s">
        <v>80</v>
      </c>
      <c r="C469" s="1" t="s">
        <v>75</v>
      </c>
      <c r="D469" s="1">
        <v>5</v>
      </c>
      <c r="E469" s="1" t="s">
        <v>296</v>
      </c>
      <c r="F469" s="27"/>
      <c r="G469" s="27"/>
      <c r="H469" s="366">
        <v>4</v>
      </c>
      <c r="I469" s="366">
        <v>5</v>
      </c>
      <c r="J469" s="123">
        <f>VLOOKUP(E469,'C'!P:Q,2,FALSE)</f>
        <v>21</v>
      </c>
    </row>
    <row r="470" spans="1:10" hidden="1" x14ac:dyDescent="0.35">
      <c r="A470" s="202" t="s">
        <v>82</v>
      </c>
      <c r="B470" s="15" t="s">
        <v>74</v>
      </c>
      <c r="C470" s="91" t="s">
        <v>75</v>
      </c>
      <c r="D470" s="91">
        <v>5</v>
      </c>
      <c r="E470" s="1" t="s">
        <v>296</v>
      </c>
      <c r="F470" s="14"/>
      <c r="G470" s="14"/>
      <c r="H470" s="14">
        <v>1</v>
      </c>
      <c r="I470" s="14">
        <v>2</v>
      </c>
      <c r="J470" s="123">
        <f>VLOOKUP(E470,'C'!P:Q,2,FALSE)</f>
        <v>21</v>
      </c>
    </row>
    <row r="471" spans="1:10" hidden="1" x14ac:dyDescent="0.35">
      <c r="A471" s="202" t="s">
        <v>82</v>
      </c>
      <c r="B471" s="15" t="s">
        <v>76</v>
      </c>
      <c r="C471" s="1" t="s">
        <v>75</v>
      </c>
      <c r="D471" s="1">
        <v>5</v>
      </c>
      <c r="E471" s="1" t="s">
        <v>296</v>
      </c>
      <c r="F471" s="14"/>
      <c r="G471" s="14"/>
      <c r="H471" s="14">
        <v>1</v>
      </c>
      <c r="I471" s="14">
        <v>2</v>
      </c>
      <c r="J471" s="123">
        <f>VLOOKUP(E471,'C'!P:Q,2,FALSE)</f>
        <v>21</v>
      </c>
    </row>
    <row r="472" spans="1:10" hidden="1" x14ac:dyDescent="0.35">
      <c r="A472" s="202" t="s">
        <v>82</v>
      </c>
      <c r="B472" s="15" t="s">
        <v>77</v>
      </c>
      <c r="C472" s="1" t="s">
        <v>75</v>
      </c>
      <c r="D472" s="1">
        <v>5</v>
      </c>
      <c r="E472" s="1" t="s">
        <v>296</v>
      </c>
      <c r="F472" s="14"/>
      <c r="G472" s="14"/>
      <c r="H472" s="14">
        <v>4</v>
      </c>
      <c r="I472" s="14">
        <v>5</v>
      </c>
      <c r="J472" s="123">
        <f>VLOOKUP(E472,'C'!P:Q,2,FALSE)</f>
        <v>21</v>
      </c>
    </row>
    <row r="473" spans="1:10" hidden="1" x14ac:dyDescent="0.35">
      <c r="A473" s="202" t="s">
        <v>82</v>
      </c>
      <c r="B473" s="15" t="s">
        <v>78</v>
      </c>
      <c r="C473" s="1" t="s">
        <v>75</v>
      </c>
      <c r="D473" s="1">
        <v>5</v>
      </c>
      <c r="E473" s="1" t="s">
        <v>296</v>
      </c>
      <c r="F473" s="14"/>
      <c r="G473" s="14"/>
      <c r="H473" s="14">
        <v>4</v>
      </c>
      <c r="I473" s="14">
        <v>5</v>
      </c>
      <c r="J473" s="123">
        <f>VLOOKUP(E473,'C'!P:Q,2,FALSE)</f>
        <v>21</v>
      </c>
    </row>
    <row r="474" spans="1:10" hidden="1" x14ac:dyDescent="0.35">
      <c r="A474" s="202" t="s">
        <v>82</v>
      </c>
      <c r="B474" s="15" t="s">
        <v>79</v>
      </c>
      <c r="C474" s="1" t="s">
        <v>75</v>
      </c>
      <c r="D474" s="1">
        <v>5</v>
      </c>
      <c r="E474" s="1" t="s">
        <v>296</v>
      </c>
      <c r="F474" s="14"/>
      <c r="G474" s="14"/>
      <c r="H474" s="14">
        <v>5</v>
      </c>
      <c r="I474" s="14">
        <v>6</v>
      </c>
      <c r="J474" s="123">
        <f>VLOOKUP(E474,'C'!P:Q,2,FALSE)</f>
        <v>21</v>
      </c>
    </row>
    <row r="475" spans="1:10" hidden="1" x14ac:dyDescent="0.35">
      <c r="A475" s="202" t="s">
        <v>82</v>
      </c>
      <c r="B475" s="15" t="s">
        <v>80</v>
      </c>
      <c r="C475" s="1" t="s">
        <v>75</v>
      </c>
      <c r="D475" s="1">
        <v>5</v>
      </c>
      <c r="E475" s="1" t="s">
        <v>296</v>
      </c>
      <c r="F475" s="14"/>
      <c r="G475" s="14"/>
      <c r="H475" s="14">
        <v>7.5</v>
      </c>
      <c r="I475" s="14">
        <v>8.5</v>
      </c>
      <c r="J475" s="123">
        <f>VLOOKUP(E475,'C'!P:Q,2,FALSE)</f>
        <v>21</v>
      </c>
    </row>
    <row r="476" spans="1:10" hidden="1" x14ac:dyDescent="0.35">
      <c r="A476" s="202" t="s">
        <v>83</v>
      </c>
      <c r="B476" s="15" t="s">
        <v>74</v>
      </c>
      <c r="C476" s="91" t="s">
        <v>75</v>
      </c>
      <c r="D476" s="91" t="s">
        <v>84</v>
      </c>
      <c r="E476" s="1" t="s">
        <v>296</v>
      </c>
      <c r="F476" s="14"/>
      <c r="G476" s="14"/>
      <c r="H476" s="14"/>
      <c r="I476" s="14"/>
      <c r="J476" s="123">
        <f>VLOOKUP(E476,'C'!P:Q,2,FALSE)</f>
        <v>21</v>
      </c>
    </row>
    <row r="477" spans="1:10" hidden="1" x14ac:dyDescent="0.35">
      <c r="A477" s="202" t="s">
        <v>83</v>
      </c>
      <c r="B477" s="15" t="s">
        <v>76</v>
      </c>
      <c r="C477" s="1" t="s">
        <v>75</v>
      </c>
      <c r="D477" s="1" t="s">
        <v>84</v>
      </c>
      <c r="E477" s="1" t="s">
        <v>296</v>
      </c>
      <c r="F477" s="14"/>
      <c r="G477" s="14"/>
      <c r="H477" s="14"/>
      <c r="I477" s="14"/>
      <c r="J477" s="123">
        <f>VLOOKUP(E477,'C'!P:Q,2,FALSE)</f>
        <v>21</v>
      </c>
    </row>
    <row r="478" spans="1:10" hidden="1" x14ac:dyDescent="0.35">
      <c r="A478" s="202" t="s">
        <v>83</v>
      </c>
      <c r="B478" s="15" t="s">
        <v>77</v>
      </c>
      <c r="C478" s="1" t="s">
        <v>75</v>
      </c>
      <c r="D478" s="1" t="s">
        <v>84</v>
      </c>
      <c r="E478" s="1" t="s">
        <v>296</v>
      </c>
      <c r="F478" s="14"/>
      <c r="G478" s="14"/>
      <c r="H478" s="14"/>
      <c r="I478" s="14"/>
      <c r="J478" s="123">
        <f>VLOOKUP(E478,'C'!P:Q,2,FALSE)</f>
        <v>21</v>
      </c>
    </row>
    <row r="479" spans="1:10" hidden="1" x14ac:dyDescent="0.35">
      <c r="A479" s="202" t="s">
        <v>83</v>
      </c>
      <c r="B479" s="15" t="s">
        <v>78</v>
      </c>
      <c r="C479" s="1" t="s">
        <v>75</v>
      </c>
      <c r="D479" s="1" t="s">
        <v>84</v>
      </c>
      <c r="E479" s="1" t="s">
        <v>296</v>
      </c>
      <c r="F479" s="14"/>
      <c r="G479" s="14"/>
      <c r="H479" s="14"/>
      <c r="I479" s="14"/>
      <c r="J479" s="123">
        <f>VLOOKUP(E479,'C'!P:Q,2,FALSE)</f>
        <v>21</v>
      </c>
    </row>
    <row r="480" spans="1:10" hidden="1" x14ac:dyDescent="0.35">
      <c r="A480" s="202" t="s">
        <v>83</v>
      </c>
      <c r="B480" s="15" t="s">
        <v>79</v>
      </c>
      <c r="C480" s="1" t="s">
        <v>75</v>
      </c>
      <c r="D480" s="1" t="s">
        <v>84</v>
      </c>
      <c r="E480" s="1" t="s">
        <v>296</v>
      </c>
      <c r="F480" s="14"/>
      <c r="G480" s="14"/>
      <c r="H480" s="14"/>
      <c r="I480" s="14"/>
      <c r="J480" s="123">
        <f>VLOOKUP(E480,'C'!P:Q,2,FALSE)</f>
        <v>21</v>
      </c>
    </row>
    <row r="481" spans="1:10" hidden="1" x14ac:dyDescent="0.35">
      <c r="A481" s="202" t="s">
        <v>83</v>
      </c>
      <c r="B481" s="15" t="s">
        <v>80</v>
      </c>
      <c r="C481" s="1" t="s">
        <v>75</v>
      </c>
      <c r="D481" s="1" t="s">
        <v>84</v>
      </c>
      <c r="E481" s="1" t="s">
        <v>296</v>
      </c>
      <c r="F481" s="105"/>
      <c r="G481" s="105"/>
      <c r="H481" s="105">
        <v>5</v>
      </c>
      <c r="I481" s="105">
        <v>15</v>
      </c>
      <c r="J481" s="123">
        <f>VLOOKUP(E481,'C'!P:Q,2,FALSE)</f>
        <v>21</v>
      </c>
    </row>
    <row r="482" spans="1:10" x14ac:dyDescent="0.35">
      <c r="A482" s="218" t="s">
        <v>73</v>
      </c>
      <c r="B482" s="3" t="s">
        <v>74</v>
      </c>
      <c r="C482" s="1" t="s">
        <v>75</v>
      </c>
      <c r="D482" s="1">
        <v>5</v>
      </c>
      <c r="E482" s="1" t="s">
        <v>297</v>
      </c>
      <c r="F482" s="16"/>
      <c r="G482" s="16"/>
      <c r="H482" s="16">
        <v>2</v>
      </c>
      <c r="I482" s="16">
        <v>3</v>
      </c>
      <c r="J482" s="123">
        <f>VLOOKUP(E482,'C'!P:Q,2,FALSE)</f>
        <v>22</v>
      </c>
    </row>
    <row r="483" spans="1:10" x14ac:dyDescent="0.35">
      <c r="A483" s="218" t="s">
        <v>73</v>
      </c>
      <c r="B483" s="3" t="s">
        <v>76</v>
      </c>
      <c r="C483" s="1" t="s">
        <v>75</v>
      </c>
      <c r="D483" s="1">
        <v>5</v>
      </c>
      <c r="E483" s="1" t="s">
        <v>297</v>
      </c>
      <c r="F483" s="16"/>
      <c r="G483" s="16"/>
      <c r="H483" s="16">
        <v>2</v>
      </c>
      <c r="I483" s="16">
        <v>3</v>
      </c>
      <c r="J483" s="123">
        <f>VLOOKUP(E483,'C'!P:Q,2,FALSE)</f>
        <v>22</v>
      </c>
    </row>
    <row r="484" spans="1:10" x14ac:dyDescent="0.35">
      <c r="A484" s="218" t="s">
        <v>73</v>
      </c>
      <c r="B484" s="3" t="s">
        <v>77</v>
      </c>
      <c r="C484" s="1" t="s">
        <v>75</v>
      </c>
      <c r="D484" s="1">
        <v>5</v>
      </c>
      <c r="E484" s="1" t="s">
        <v>297</v>
      </c>
      <c r="F484" s="16"/>
      <c r="G484" s="16"/>
      <c r="H484" s="16">
        <v>2</v>
      </c>
      <c r="I484" s="16">
        <v>3</v>
      </c>
      <c r="J484" s="123">
        <f>VLOOKUP(E484,'C'!P:Q,2,FALSE)</f>
        <v>22</v>
      </c>
    </row>
    <row r="485" spans="1:10" x14ac:dyDescent="0.35">
      <c r="A485" s="218" t="s">
        <v>73</v>
      </c>
      <c r="B485" s="3" t="s">
        <v>78</v>
      </c>
      <c r="C485" s="1" t="s">
        <v>75</v>
      </c>
      <c r="D485" s="1">
        <v>5</v>
      </c>
      <c r="E485" s="1" t="s">
        <v>297</v>
      </c>
      <c r="F485" s="16"/>
      <c r="G485" s="16"/>
      <c r="H485" s="16">
        <v>2</v>
      </c>
      <c r="I485" s="16">
        <v>3</v>
      </c>
      <c r="J485" s="123">
        <f>VLOOKUP(E485,'C'!P:Q,2,FALSE)</f>
        <v>22</v>
      </c>
    </row>
    <row r="486" spans="1:10" x14ac:dyDescent="0.35">
      <c r="A486" s="218" t="s">
        <v>73</v>
      </c>
      <c r="B486" s="3" t="s">
        <v>79</v>
      </c>
      <c r="C486" s="1" t="s">
        <v>75</v>
      </c>
      <c r="D486" s="1">
        <v>5</v>
      </c>
      <c r="E486" s="1" t="s">
        <v>297</v>
      </c>
      <c r="F486" s="16"/>
      <c r="G486" s="16"/>
      <c r="H486" s="16">
        <v>2</v>
      </c>
      <c r="I486" s="16">
        <v>3</v>
      </c>
      <c r="J486" s="123">
        <f>VLOOKUP(E486,'C'!P:Q,2,FALSE)</f>
        <v>22</v>
      </c>
    </row>
    <row r="487" spans="1:10" x14ac:dyDescent="0.35">
      <c r="A487" s="218" t="s">
        <v>73</v>
      </c>
      <c r="B487" s="3" t="s">
        <v>80</v>
      </c>
      <c r="C487" s="1" t="s">
        <v>75</v>
      </c>
      <c r="D487" s="1">
        <v>5</v>
      </c>
      <c r="E487" s="1" t="s">
        <v>297</v>
      </c>
      <c r="F487" s="27"/>
      <c r="G487" s="27"/>
      <c r="H487" s="27">
        <v>1.6</v>
      </c>
      <c r="I487" s="27">
        <v>3</v>
      </c>
      <c r="J487" s="123">
        <f>VLOOKUP(E487,'C'!P:Q,2,FALSE)</f>
        <v>22</v>
      </c>
    </row>
    <row r="488" spans="1:10" hidden="1" x14ac:dyDescent="0.35">
      <c r="A488" s="218" t="s">
        <v>81</v>
      </c>
      <c r="B488" s="3" t="s">
        <v>76</v>
      </c>
      <c r="C488" s="91" t="s">
        <v>75</v>
      </c>
      <c r="D488" s="91">
        <v>5</v>
      </c>
      <c r="E488" s="1" t="s">
        <v>297</v>
      </c>
      <c r="F488" s="16"/>
      <c r="G488" s="16"/>
      <c r="H488" s="16"/>
      <c r="I488" s="16"/>
      <c r="J488" s="123">
        <f>VLOOKUP(E488,'C'!P:Q,2,FALSE)</f>
        <v>22</v>
      </c>
    </row>
    <row r="489" spans="1:10" hidden="1" x14ac:dyDescent="0.35">
      <c r="A489" s="218" t="s">
        <v>81</v>
      </c>
      <c r="B489" s="3" t="s">
        <v>74</v>
      </c>
      <c r="C489" s="1" t="s">
        <v>75</v>
      </c>
      <c r="D489" s="1">
        <v>5</v>
      </c>
      <c r="E489" s="1" t="s">
        <v>297</v>
      </c>
      <c r="F489" s="16"/>
      <c r="G489" s="16"/>
      <c r="H489" s="16"/>
      <c r="I489" s="16"/>
      <c r="J489" s="123">
        <f>VLOOKUP(E489,'C'!P:Q,2,FALSE)</f>
        <v>22</v>
      </c>
    </row>
    <row r="490" spans="1:10" hidden="1" x14ac:dyDescent="0.35">
      <c r="A490" s="218" t="s">
        <v>81</v>
      </c>
      <c r="B490" s="3" t="s">
        <v>78</v>
      </c>
      <c r="C490" s="1" t="s">
        <v>75</v>
      </c>
      <c r="D490" s="1">
        <v>5</v>
      </c>
      <c r="E490" s="1" t="s">
        <v>297</v>
      </c>
      <c r="F490" s="16"/>
      <c r="G490" s="16"/>
      <c r="H490" s="16"/>
      <c r="I490" s="16"/>
      <c r="J490" s="123">
        <f>VLOOKUP(E490,'C'!P:Q,2,FALSE)</f>
        <v>22</v>
      </c>
    </row>
    <row r="491" spans="1:10" hidden="1" x14ac:dyDescent="0.35">
      <c r="A491" s="218" t="s">
        <v>81</v>
      </c>
      <c r="B491" s="3" t="s">
        <v>77</v>
      </c>
      <c r="C491" s="1" t="s">
        <v>75</v>
      </c>
      <c r="D491" s="1">
        <v>5</v>
      </c>
      <c r="E491" s="1" t="s">
        <v>297</v>
      </c>
      <c r="F491" s="16"/>
      <c r="G491" s="16"/>
      <c r="H491" s="16"/>
      <c r="I491" s="16"/>
      <c r="J491" s="123">
        <f>VLOOKUP(E491,'C'!P:Q,2,FALSE)</f>
        <v>22</v>
      </c>
    </row>
    <row r="492" spans="1:10" hidden="1" x14ac:dyDescent="0.35">
      <c r="A492" s="218" t="s">
        <v>81</v>
      </c>
      <c r="B492" s="3" t="s">
        <v>79</v>
      </c>
      <c r="C492" s="1" t="s">
        <v>75</v>
      </c>
      <c r="D492" s="1">
        <v>5</v>
      </c>
      <c r="E492" s="1" t="s">
        <v>297</v>
      </c>
      <c r="F492" s="16"/>
      <c r="G492" s="16"/>
      <c r="H492" s="16"/>
      <c r="I492" s="16"/>
      <c r="J492" s="123">
        <f>VLOOKUP(E492,'C'!P:Q,2,FALSE)</f>
        <v>22</v>
      </c>
    </row>
    <row r="493" spans="1:10" hidden="1" x14ac:dyDescent="0.35">
      <c r="A493" s="218" t="s">
        <v>81</v>
      </c>
      <c r="B493" s="3" t="s">
        <v>80</v>
      </c>
      <c r="C493" s="1" t="s">
        <v>75</v>
      </c>
      <c r="D493" s="1">
        <v>5</v>
      </c>
      <c r="E493" s="1" t="s">
        <v>297</v>
      </c>
      <c r="F493" s="27"/>
      <c r="G493" s="27"/>
      <c r="H493" s="366">
        <v>1.5</v>
      </c>
      <c r="I493" s="366">
        <v>2</v>
      </c>
      <c r="J493" s="123">
        <f>VLOOKUP(E493,'C'!P:Q,2,FALSE)</f>
        <v>22</v>
      </c>
    </row>
    <row r="494" spans="1:10" hidden="1" x14ac:dyDescent="0.35">
      <c r="A494" s="202" t="s">
        <v>82</v>
      </c>
      <c r="B494" s="15" t="s">
        <v>74</v>
      </c>
      <c r="C494" s="91" t="s">
        <v>75</v>
      </c>
      <c r="D494" s="91">
        <v>5</v>
      </c>
      <c r="E494" s="1" t="s">
        <v>297</v>
      </c>
      <c r="F494" s="14"/>
      <c r="G494" s="14"/>
      <c r="H494" s="14"/>
      <c r="I494" s="14"/>
      <c r="J494" s="123">
        <f>VLOOKUP(E494,'C'!P:Q,2,FALSE)</f>
        <v>22</v>
      </c>
    </row>
    <row r="495" spans="1:10" hidden="1" x14ac:dyDescent="0.35">
      <c r="A495" s="202" t="s">
        <v>82</v>
      </c>
      <c r="B495" s="15" t="s">
        <v>76</v>
      </c>
      <c r="C495" s="1" t="s">
        <v>75</v>
      </c>
      <c r="D495" s="1">
        <v>5</v>
      </c>
      <c r="E495" s="1" t="s">
        <v>297</v>
      </c>
      <c r="F495" s="14"/>
      <c r="G495" s="14"/>
      <c r="H495" s="14"/>
      <c r="I495" s="14"/>
      <c r="J495" s="123">
        <f>VLOOKUP(E495,'C'!P:Q,2,FALSE)</f>
        <v>22</v>
      </c>
    </row>
    <row r="496" spans="1:10" hidden="1" x14ac:dyDescent="0.35">
      <c r="A496" s="202" t="s">
        <v>82</v>
      </c>
      <c r="B496" s="15" t="s">
        <v>77</v>
      </c>
      <c r="C496" s="1" t="s">
        <v>75</v>
      </c>
      <c r="D496" s="1">
        <v>5</v>
      </c>
      <c r="E496" s="1" t="s">
        <v>297</v>
      </c>
      <c r="F496" s="14"/>
      <c r="G496" s="14"/>
      <c r="H496" s="14"/>
      <c r="I496" s="14"/>
      <c r="J496" s="123">
        <f>VLOOKUP(E496,'C'!P:Q,2,FALSE)</f>
        <v>22</v>
      </c>
    </row>
    <row r="497" spans="1:10" hidden="1" x14ac:dyDescent="0.35">
      <c r="A497" s="202" t="s">
        <v>82</v>
      </c>
      <c r="B497" s="15" t="s">
        <v>78</v>
      </c>
      <c r="C497" s="1" t="s">
        <v>75</v>
      </c>
      <c r="D497" s="1">
        <v>5</v>
      </c>
      <c r="E497" s="1" t="s">
        <v>297</v>
      </c>
      <c r="F497" s="14"/>
      <c r="G497" s="14"/>
      <c r="H497" s="14"/>
      <c r="I497" s="14"/>
      <c r="J497" s="123">
        <f>VLOOKUP(E497,'C'!P:Q,2,FALSE)</f>
        <v>22</v>
      </c>
    </row>
    <row r="498" spans="1:10" hidden="1" x14ac:dyDescent="0.35">
      <c r="A498" s="202" t="s">
        <v>82</v>
      </c>
      <c r="B498" s="15" t="s">
        <v>79</v>
      </c>
      <c r="C498" s="1" t="s">
        <v>75</v>
      </c>
      <c r="D498" s="1">
        <v>5</v>
      </c>
      <c r="E498" s="1" t="s">
        <v>297</v>
      </c>
      <c r="F498" s="14"/>
      <c r="G498" s="14"/>
      <c r="H498" s="14"/>
      <c r="I498" s="14"/>
      <c r="J498" s="123">
        <f>VLOOKUP(E498,'C'!P:Q,2,FALSE)</f>
        <v>22</v>
      </c>
    </row>
    <row r="499" spans="1:10" hidden="1" x14ac:dyDescent="0.35">
      <c r="A499" s="202" t="s">
        <v>82</v>
      </c>
      <c r="B499" s="15" t="s">
        <v>80</v>
      </c>
      <c r="C499" s="1" t="s">
        <v>75</v>
      </c>
      <c r="D499" s="1">
        <v>5</v>
      </c>
      <c r="E499" s="1" t="s">
        <v>297</v>
      </c>
      <c r="F499" s="14"/>
      <c r="G499" s="14"/>
      <c r="H499" s="14">
        <v>2.5</v>
      </c>
      <c r="I499" s="14">
        <v>3.5</v>
      </c>
      <c r="J499" s="123">
        <f>VLOOKUP(E499,'C'!P:Q,2,FALSE)</f>
        <v>22</v>
      </c>
    </row>
    <row r="500" spans="1:10" hidden="1" x14ac:dyDescent="0.35">
      <c r="A500" s="202" t="s">
        <v>83</v>
      </c>
      <c r="B500" s="15" t="s">
        <v>74</v>
      </c>
      <c r="C500" s="91" t="s">
        <v>75</v>
      </c>
      <c r="D500" s="91" t="s">
        <v>84</v>
      </c>
      <c r="E500" s="1" t="s">
        <v>297</v>
      </c>
      <c r="F500" s="14"/>
      <c r="G500" s="14"/>
      <c r="H500" s="14"/>
      <c r="I500" s="14"/>
      <c r="J500" s="123">
        <f>VLOOKUP(E500,'C'!P:Q,2,FALSE)</f>
        <v>22</v>
      </c>
    </row>
    <row r="501" spans="1:10" hidden="1" x14ac:dyDescent="0.35">
      <c r="A501" s="202" t="s">
        <v>83</v>
      </c>
      <c r="B501" s="15" t="s">
        <v>76</v>
      </c>
      <c r="C501" s="1" t="s">
        <v>75</v>
      </c>
      <c r="D501" s="1" t="s">
        <v>84</v>
      </c>
      <c r="E501" s="1" t="s">
        <v>297</v>
      </c>
      <c r="F501" s="14"/>
      <c r="G501" s="14"/>
      <c r="H501" s="14"/>
      <c r="I501" s="14"/>
      <c r="J501" s="123">
        <f>VLOOKUP(E501,'C'!P:Q,2,FALSE)</f>
        <v>22</v>
      </c>
    </row>
    <row r="502" spans="1:10" hidden="1" x14ac:dyDescent="0.35">
      <c r="A502" s="202" t="s">
        <v>83</v>
      </c>
      <c r="B502" s="15" t="s">
        <v>77</v>
      </c>
      <c r="C502" s="1" t="s">
        <v>75</v>
      </c>
      <c r="D502" s="1" t="s">
        <v>84</v>
      </c>
      <c r="E502" s="1" t="s">
        <v>297</v>
      </c>
      <c r="F502" s="14"/>
      <c r="G502" s="14"/>
      <c r="H502" s="14"/>
      <c r="I502" s="14"/>
      <c r="J502" s="123">
        <f>VLOOKUP(E502,'C'!P:Q,2,FALSE)</f>
        <v>22</v>
      </c>
    </row>
    <row r="503" spans="1:10" hidden="1" x14ac:dyDescent="0.35">
      <c r="A503" s="202" t="s">
        <v>83</v>
      </c>
      <c r="B503" s="15" t="s">
        <v>78</v>
      </c>
      <c r="C503" s="1" t="s">
        <v>75</v>
      </c>
      <c r="D503" s="1" t="s">
        <v>84</v>
      </c>
      <c r="E503" s="1" t="s">
        <v>297</v>
      </c>
      <c r="F503" s="14"/>
      <c r="G503" s="14"/>
      <c r="H503" s="14"/>
      <c r="I503" s="14"/>
      <c r="J503" s="123">
        <f>VLOOKUP(E503,'C'!P:Q,2,FALSE)</f>
        <v>22</v>
      </c>
    </row>
    <row r="504" spans="1:10" hidden="1" x14ac:dyDescent="0.35">
      <c r="A504" s="202" t="s">
        <v>83</v>
      </c>
      <c r="B504" s="15" t="s">
        <v>79</v>
      </c>
      <c r="C504" s="1" t="s">
        <v>75</v>
      </c>
      <c r="D504" s="1" t="s">
        <v>84</v>
      </c>
      <c r="E504" s="1" t="s">
        <v>297</v>
      </c>
      <c r="F504" s="14"/>
      <c r="G504" s="14"/>
      <c r="H504" s="14"/>
      <c r="I504" s="14"/>
      <c r="J504" s="123">
        <f>VLOOKUP(E504,'C'!P:Q,2,FALSE)</f>
        <v>22</v>
      </c>
    </row>
    <row r="505" spans="1:10" hidden="1" x14ac:dyDescent="0.35">
      <c r="A505" s="202" t="s">
        <v>83</v>
      </c>
      <c r="B505" s="15" t="s">
        <v>80</v>
      </c>
      <c r="C505" s="1" t="s">
        <v>75</v>
      </c>
      <c r="D505" s="1" t="s">
        <v>84</v>
      </c>
      <c r="E505" s="1" t="s">
        <v>297</v>
      </c>
      <c r="F505" s="105"/>
      <c r="G505" s="105"/>
      <c r="H505" s="105">
        <v>3</v>
      </c>
      <c r="I505" s="105">
        <v>5</v>
      </c>
      <c r="J505" s="123">
        <f>VLOOKUP(E505,'C'!P:Q,2,FALSE)</f>
        <v>22</v>
      </c>
    </row>
    <row r="506" spans="1:10" x14ac:dyDescent="0.35">
      <c r="A506" s="218" t="s">
        <v>73</v>
      </c>
      <c r="B506" s="3" t="s">
        <v>74</v>
      </c>
      <c r="C506" s="1" t="s">
        <v>75</v>
      </c>
      <c r="D506" s="1">
        <v>5</v>
      </c>
      <c r="E506" s="1" t="s">
        <v>300</v>
      </c>
      <c r="F506" s="16"/>
      <c r="G506" s="16"/>
      <c r="H506" s="109"/>
      <c r="I506" s="14"/>
      <c r="J506" s="123">
        <f>VLOOKUP(E506,'C'!P:Q,2,FALSE)</f>
        <v>23</v>
      </c>
    </row>
    <row r="507" spans="1:10" x14ac:dyDescent="0.35">
      <c r="A507" s="218" t="s">
        <v>73</v>
      </c>
      <c r="B507" s="3" t="s">
        <v>76</v>
      </c>
      <c r="C507" s="1" t="s">
        <v>75</v>
      </c>
      <c r="D507" s="1">
        <v>5</v>
      </c>
      <c r="E507" s="1" t="s">
        <v>300</v>
      </c>
      <c r="F507" s="16"/>
      <c r="G507" s="16"/>
      <c r="H507" s="109"/>
      <c r="I507" s="14"/>
      <c r="J507" s="123">
        <f>VLOOKUP(E507,'C'!P:Q,2,FALSE)</f>
        <v>23</v>
      </c>
    </row>
    <row r="508" spans="1:10" x14ac:dyDescent="0.35">
      <c r="A508" s="218" t="s">
        <v>73</v>
      </c>
      <c r="B508" s="3" t="s">
        <v>77</v>
      </c>
      <c r="C508" s="1" t="s">
        <v>75</v>
      </c>
      <c r="D508" s="1">
        <v>5</v>
      </c>
      <c r="E508" s="1" t="s">
        <v>300</v>
      </c>
      <c r="F508" s="14"/>
      <c r="G508" s="14"/>
      <c r="H508" s="109"/>
      <c r="I508" s="14"/>
      <c r="J508" s="123">
        <f>VLOOKUP(E508,'C'!P:Q,2,FALSE)</f>
        <v>23</v>
      </c>
    </row>
    <row r="509" spans="1:10" x14ac:dyDescent="0.35">
      <c r="A509" s="218" t="s">
        <v>73</v>
      </c>
      <c r="B509" s="3" t="s">
        <v>78</v>
      </c>
      <c r="C509" s="1" t="s">
        <v>75</v>
      </c>
      <c r="D509" s="1">
        <v>5</v>
      </c>
      <c r="E509" s="1" t="s">
        <v>300</v>
      </c>
      <c r="F509" s="14"/>
      <c r="G509" s="14"/>
      <c r="H509" s="109"/>
      <c r="I509" s="14"/>
      <c r="J509" s="123">
        <f>VLOOKUP(E509,'C'!P:Q,2,FALSE)</f>
        <v>23</v>
      </c>
    </row>
    <row r="510" spans="1:10" x14ac:dyDescent="0.35">
      <c r="A510" s="218" t="s">
        <v>73</v>
      </c>
      <c r="B510" s="3" t="s">
        <v>79</v>
      </c>
      <c r="C510" s="1" t="s">
        <v>75</v>
      </c>
      <c r="D510" s="1">
        <v>5</v>
      </c>
      <c r="E510" s="1" t="s">
        <v>300</v>
      </c>
      <c r="F510" s="16"/>
      <c r="G510" s="16"/>
      <c r="H510" s="109"/>
      <c r="I510" s="14"/>
      <c r="J510" s="123">
        <f>VLOOKUP(E510,'C'!P:Q,2,FALSE)</f>
        <v>23</v>
      </c>
    </row>
    <row r="511" spans="1:10" x14ac:dyDescent="0.35">
      <c r="A511" s="218" t="s">
        <v>73</v>
      </c>
      <c r="B511" s="3" t="s">
        <v>80</v>
      </c>
      <c r="C511" s="1" t="s">
        <v>75</v>
      </c>
      <c r="D511" s="1">
        <v>5</v>
      </c>
      <c r="E511" s="1" t="s">
        <v>300</v>
      </c>
      <c r="F511" s="27"/>
      <c r="G511" s="27"/>
      <c r="H511" s="109"/>
      <c r="I511" s="14"/>
      <c r="J511" s="123">
        <f>VLOOKUP(E511,'C'!P:Q,2,FALSE)</f>
        <v>23</v>
      </c>
    </row>
    <row r="512" spans="1:10" hidden="1" x14ac:dyDescent="0.35">
      <c r="A512" s="218" t="s">
        <v>81</v>
      </c>
      <c r="B512" s="3" t="s">
        <v>76</v>
      </c>
      <c r="C512" s="91" t="s">
        <v>75</v>
      </c>
      <c r="D512" s="91">
        <v>5</v>
      </c>
      <c r="E512" s="1" t="s">
        <v>300</v>
      </c>
      <c r="F512" s="16"/>
      <c r="G512" s="16"/>
      <c r="H512" s="109"/>
      <c r="I512" s="14"/>
      <c r="J512" s="123">
        <f>VLOOKUP(E512,'C'!P:Q,2,FALSE)</f>
        <v>23</v>
      </c>
    </row>
    <row r="513" spans="1:10" hidden="1" x14ac:dyDescent="0.35">
      <c r="A513" s="218" t="s">
        <v>81</v>
      </c>
      <c r="B513" s="3" t="s">
        <v>74</v>
      </c>
      <c r="C513" s="1" t="s">
        <v>75</v>
      </c>
      <c r="D513" s="1">
        <v>5</v>
      </c>
      <c r="E513" s="1" t="s">
        <v>300</v>
      </c>
      <c r="F513" s="16"/>
      <c r="G513" s="16"/>
      <c r="H513" s="109"/>
      <c r="I513" s="14"/>
      <c r="J513" s="123">
        <f>VLOOKUP(E513,'C'!P:Q,2,FALSE)</f>
        <v>23</v>
      </c>
    </row>
    <row r="514" spans="1:10" hidden="1" x14ac:dyDescent="0.35">
      <c r="A514" s="218" t="s">
        <v>81</v>
      </c>
      <c r="B514" s="3" t="s">
        <v>78</v>
      </c>
      <c r="C514" s="1" t="s">
        <v>75</v>
      </c>
      <c r="D514" s="1">
        <v>5</v>
      </c>
      <c r="E514" s="1" t="s">
        <v>300</v>
      </c>
      <c r="F514" s="16"/>
      <c r="G514" s="16"/>
      <c r="H514" s="109"/>
      <c r="I514" s="14"/>
      <c r="J514" s="123">
        <f>VLOOKUP(E514,'C'!P:Q,2,FALSE)</f>
        <v>23</v>
      </c>
    </row>
    <row r="515" spans="1:10" hidden="1" x14ac:dyDescent="0.35">
      <c r="A515" s="218" t="s">
        <v>81</v>
      </c>
      <c r="B515" s="3" t="s">
        <v>77</v>
      </c>
      <c r="C515" s="1" t="s">
        <v>75</v>
      </c>
      <c r="D515" s="1">
        <v>5</v>
      </c>
      <c r="E515" s="1" t="s">
        <v>300</v>
      </c>
      <c r="F515" s="16"/>
      <c r="G515" s="16"/>
      <c r="H515" s="109"/>
      <c r="I515" s="14"/>
      <c r="J515" s="123">
        <f>VLOOKUP(E515,'C'!P:Q,2,FALSE)</f>
        <v>23</v>
      </c>
    </row>
    <row r="516" spans="1:10" hidden="1" x14ac:dyDescent="0.35">
      <c r="A516" s="218" t="s">
        <v>81</v>
      </c>
      <c r="B516" s="3" t="s">
        <v>79</v>
      </c>
      <c r="C516" s="1" t="s">
        <v>75</v>
      </c>
      <c r="D516" s="1">
        <v>5</v>
      </c>
      <c r="E516" s="1" t="s">
        <v>300</v>
      </c>
      <c r="F516" s="16"/>
      <c r="G516" s="16"/>
      <c r="H516" s="109"/>
      <c r="I516" s="14"/>
      <c r="J516" s="123">
        <f>VLOOKUP(E516,'C'!P:Q,2,FALSE)</f>
        <v>23</v>
      </c>
    </row>
    <row r="517" spans="1:10" hidden="1" x14ac:dyDescent="0.35">
      <c r="A517" s="218" t="s">
        <v>81</v>
      </c>
      <c r="B517" s="3" t="s">
        <v>80</v>
      </c>
      <c r="C517" s="1" t="s">
        <v>75</v>
      </c>
      <c r="D517" s="1">
        <v>5</v>
      </c>
      <c r="E517" s="1" t="s">
        <v>300</v>
      </c>
      <c r="F517" s="27"/>
      <c r="G517" s="27"/>
      <c r="H517" s="109"/>
      <c r="I517" s="14"/>
      <c r="J517" s="123">
        <f>VLOOKUP(E517,'C'!P:Q,2,FALSE)</f>
        <v>23</v>
      </c>
    </row>
    <row r="518" spans="1:10" hidden="1" x14ac:dyDescent="0.35">
      <c r="A518" s="202" t="s">
        <v>82</v>
      </c>
      <c r="B518" s="15" t="s">
        <v>74</v>
      </c>
      <c r="C518" s="91" t="s">
        <v>75</v>
      </c>
      <c r="D518" s="91">
        <v>5</v>
      </c>
      <c r="E518" s="1" t="s">
        <v>300</v>
      </c>
      <c r="F518" s="14"/>
      <c r="G518" s="14"/>
      <c r="H518" s="109"/>
      <c r="I518" s="14"/>
      <c r="J518" s="123">
        <f>VLOOKUP(E518,'C'!P:Q,2,FALSE)</f>
        <v>23</v>
      </c>
    </row>
    <row r="519" spans="1:10" hidden="1" x14ac:dyDescent="0.35">
      <c r="A519" s="202" t="s">
        <v>82</v>
      </c>
      <c r="B519" s="15" t="s">
        <v>76</v>
      </c>
      <c r="C519" s="1" t="s">
        <v>75</v>
      </c>
      <c r="D519" s="1">
        <v>5</v>
      </c>
      <c r="E519" s="1" t="s">
        <v>300</v>
      </c>
      <c r="F519" s="14"/>
      <c r="G519" s="14"/>
      <c r="H519" s="109"/>
      <c r="I519" s="14"/>
      <c r="J519" s="123">
        <f>VLOOKUP(E519,'C'!P:Q,2,FALSE)</f>
        <v>23</v>
      </c>
    </row>
    <row r="520" spans="1:10" hidden="1" x14ac:dyDescent="0.35">
      <c r="A520" s="202" t="s">
        <v>82</v>
      </c>
      <c r="B520" s="15" t="s">
        <v>77</v>
      </c>
      <c r="C520" s="1" t="s">
        <v>75</v>
      </c>
      <c r="D520" s="1">
        <v>5</v>
      </c>
      <c r="E520" s="1" t="s">
        <v>300</v>
      </c>
      <c r="F520" s="14"/>
      <c r="G520" s="14"/>
      <c r="H520" s="109"/>
      <c r="I520" s="14"/>
      <c r="J520" s="123">
        <f>VLOOKUP(E520,'C'!P:Q,2,FALSE)</f>
        <v>23</v>
      </c>
    </row>
    <row r="521" spans="1:10" hidden="1" x14ac:dyDescent="0.35">
      <c r="A521" s="202" t="s">
        <v>82</v>
      </c>
      <c r="B521" s="15" t="s">
        <v>78</v>
      </c>
      <c r="C521" s="1" t="s">
        <v>75</v>
      </c>
      <c r="D521" s="1">
        <v>5</v>
      </c>
      <c r="E521" s="1" t="s">
        <v>300</v>
      </c>
      <c r="F521" s="14"/>
      <c r="G521" s="14"/>
      <c r="H521" s="109"/>
      <c r="I521" s="14"/>
      <c r="J521" s="123">
        <f>VLOOKUP(E521,'C'!P:Q,2,FALSE)</f>
        <v>23</v>
      </c>
    </row>
    <row r="522" spans="1:10" hidden="1" x14ac:dyDescent="0.35">
      <c r="A522" s="202" t="s">
        <v>82</v>
      </c>
      <c r="B522" s="15" t="s">
        <v>79</v>
      </c>
      <c r="C522" s="1" t="s">
        <v>75</v>
      </c>
      <c r="D522" s="1">
        <v>5</v>
      </c>
      <c r="E522" s="1" t="s">
        <v>300</v>
      </c>
      <c r="F522" s="14"/>
      <c r="G522" s="14"/>
      <c r="H522" s="109"/>
      <c r="I522" s="14"/>
      <c r="J522" s="123">
        <f>VLOOKUP(E522,'C'!P:Q,2,FALSE)</f>
        <v>23</v>
      </c>
    </row>
    <row r="523" spans="1:10" hidden="1" x14ac:dyDescent="0.35">
      <c r="A523" s="202" t="s">
        <v>82</v>
      </c>
      <c r="B523" s="15" t="s">
        <v>80</v>
      </c>
      <c r="C523" s="1" t="s">
        <v>75</v>
      </c>
      <c r="D523" s="1">
        <v>5</v>
      </c>
      <c r="E523" s="1" t="s">
        <v>300</v>
      </c>
      <c r="F523" s="14">
        <v>57</v>
      </c>
      <c r="G523" s="14">
        <v>51.5</v>
      </c>
      <c r="H523" s="109"/>
      <c r="I523" s="14"/>
      <c r="J523" s="123">
        <f>VLOOKUP(E523,'C'!P:Q,2,FALSE)</f>
        <v>23</v>
      </c>
    </row>
    <row r="524" spans="1:10" hidden="1" x14ac:dyDescent="0.35">
      <c r="A524" s="202" t="s">
        <v>83</v>
      </c>
      <c r="B524" s="15" t="s">
        <v>74</v>
      </c>
      <c r="C524" s="91" t="s">
        <v>75</v>
      </c>
      <c r="D524" s="91" t="s">
        <v>84</v>
      </c>
      <c r="E524" s="1" t="s">
        <v>300</v>
      </c>
      <c r="F524" s="14"/>
      <c r="G524" s="14"/>
      <c r="H524" s="109"/>
      <c r="I524" s="14"/>
      <c r="J524" s="123">
        <f>VLOOKUP(E524,'C'!P:Q,2,FALSE)</f>
        <v>23</v>
      </c>
    </row>
    <row r="525" spans="1:10" hidden="1" x14ac:dyDescent="0.35">
      <c r="A525" s="202" t="s">
        <v>83</v>
      </c>
      <c r="B525" s="15" t="s">
        <v>76</v>
      </c>
      <c r="C525" s="1" t="s">
        <v>75</v>
      </c>
      <c r="D525" s="1" t="s">
        <v>84</v>
      </c>
      <c r="E525" s="1" t="s">
        <v>300</v>
      </c>
      <c r="F525" s="14"/>
      <c r="G525" s="14"/>
      <c r="H525" s="109"/>
      <c r="I525" s="14"/>
      <c r="J525" s="123">
        <f>VLOOKUP(E525,'C'!P:Q,2,FALSE)</f>
        <v>23</v>
      </c>
    </row>
    <row r="526" spans="1:10" hidden="1" x14ac:dyDescent="0.35">
      <c r="A526" s="202" t="s">
        <v>83</v>
      </c>
      <c r="B526" s="15" t="s">
        <v>77</v>
      </c>
      <c r="C526" s="1" t="s">
        <v>75</v>
      </c>
      <c r="D526" s="1" t="s">
        <v>84</v>
      </c>
      <c r="E526" s="1" t="s">
        <v>300</v>
      </c>
      <c r="F526" s="14"/>
      <c r="G526" s="14"/>
      <c r="H526" s="109"/>
      <c r="I526" s="14"/>
      <c r="J526" s="123">
        <f>VLOOKUP(E526,'C'!P:Q,2,FALSE)</f>
        <v>23</v>
      </c>
    </row>
    <row r="527" spans="1:10" hidden="1" x14ac:dyDescent="0.35">
      <c r="A527" s="202" t="s">
        <v>83</v>
      </c>
      <c r="B527" s="15" t="s">
        <v>78</v>
      </c>
      <c r="C527" s="1" t="s">
        <v>75</v>
      </c>
      <c r="D527" s="1" t="s">
        <v>84</v>
      </c>
      <c r="E527" s="1" t="s">
        <v>300</v>
      </c>
      <c r="F527" s="14"/>
      <c r="G527" s="14"/>
      <c r="H527" s="109"/>
      <c r="I527" s="14"/>
      <c r="J527" s="123">
        <f>VLOOKUP(E527,'C'!P:Q,2,FALSE)</f>
        <v>23</v>
      </c>
    </row>
    <row r="528" spans="1:10" hidden="1" x14ac:dyDescent="0.35">
      <c r="A528" s="202" t="s">
        <v>83</v>
      </c>
      <c r="B528" s="15" t="s">
        <v>79</v>
      </c>
      <c r="C528" s="1" t="s">
        <v>75</v>
      </c>
      <c r="D528" s="1" t="s">
        <v>84</v>
      </c>
      <c r="E528" s="1" t="s">
        <v>300</v>
      </c>
      <c r="F528" s="14"/>
      <c r="G528" s="14"/>
      <c r="H528" s="109"/>
      <c r="I528" s="14"/>
      <c r="J528" s="123">
        <f>VLOOKUP(E528,'C'!P:Q,2,FALSE)</f>
        <v>23</v>
      </c>
    </row>
    <row r="529" spans="1:10" hidden="1" x14ac:dyDescent="0.35">
      <c r="A529" s="202" t="s">
        <v>83</v>
      </c>
      <c r="B529" s="15" t="s">
        <v>80</v>
      </c>
      <c r="C529" s="1" t="s">
        <v>75</v>
      </c>
      <c r="D529" s="1" t="s">
        <v>84</v>
      </c>
      <c r="E529" s="1" t="s">
        <v>300</v>
      </c>
      <c r="F529" s="14"/>
      <c r="G529" s="14"/>
      <c r="H529" s="109"/>
      <c r="I529" s="14"/>
      <c r="J529" s="123">
        <f>VLOOKUP(E529,'C'!P:Q,2,FALSE)</f>
        <v>23</v>
      </c>
    </row>
    <row r="530" spans="1:10" x14ac:dyDescent="0.35">
      <c r="A530" s="218" t="s">
        <v>73</v>
      </c>
      <c r="B530" s="3" t="s">
        <v>74</v>
      </c>
      <c r="C530" s="1" t="s">
        <v>75</v>
      </c>
      <c r="D530" s="1">
        <v>5</v>
      </c>
      <c r="E530" s="1" t="s">
        <v>302</v>
      </c>
      <c r="F530" s="16"/>
      <c r="G530" s="16"/>
      <c r="H530" s="16">
        <v>18</v>
      </c>
      <c r="I530" s="14">
        <v>25</v>
      </c>
      <c r="J530" s="123">
        <f>VLOOKUP(E530,'C'!P:Q,2,FALSE)</f>
        <v>24</v>
      </c>
    </row>
    <row r="531" spans="1:10" x14ac:dyDescent="0.35">
      <c r="A531" s="218" t="s">
        <v>73</v>
      </c>
      <c r="B531" s="3" t="s">
        <v>76</v>
      </c>
      <c r="C531" s="1" t="s">
        <v>75</v>
      </c>
      <c r="D531" s="1">
        <v>5</v>
      </c>
      <c r="E531" s="1" t="s">
        <v>302</v>
      </c>
      <c r="F531" s="16"/>
      <c r="G531" s="16"/>
      <c r="H531" s="16">
        <v>18</v>
      </c>
      <c r="I531" s="14">
        <v>25</v>
      </c>
      <c r="J531" s="123">
        <f>VLOOKUP(E531,'C'!P:Q,2,FALSE)</f>
        <v>24</v>
      </c>
    </row>
    <row r="532" spans="1:10" x14ac:dyDescent="0.35">
      <c r="A532" s="218" t="s">
        <v>73</v>
      </c>
      <c r="B532" s="3" t="s">
        <v>77</v>
      </c>
      <c r="C532" s="1" t="s">
        <v>75</v>
      </c>
      <c r="D532" s="1">
        <v>5</v>
      </c>
      <c r="E532" s="1" t="s">
        <v>302</v>
      </c>
      <c r="F532" s="14"/>
      <c r="G532" s="14"/>
      <c r="H532" s="109"/>
      <c r="I532" s="14"/>
      <c r="J532" s="123">
        <f>VLOOKUP(E532,'C'!P:Q,2,FALSE)</f>
        <v>24</v>
      </c>
    </row>
    <row r="533" spans="1:10" x14ac:dyDescent="0.35">
      <c r="A533" s="218" t="s">
        <v>73</v>
      </c>
      <c r="B533" s="3" t="s">
        <v>78</v>
      </c>
      <c r="C533" s="1" t="s">
        <v>75</v>
      </c>
      <c r="D533" s="1">
        <v>5</v>
      </c>
      <c r="E533" s="1" t="s">
        <v>302</v>
      </c>
      <c r="F533" s="14"/>
      <c r="G533" s="14"/>
      <c r="H533" s="109"/>
      <c r="I533" s="14"/>
      <c r="J533" s="123">
        <f>VLOOKUP(E533,'C'!P:Q,2,FALSE)</f>
        <v>24</v>
      </c>
    </row>
    <row r="534" spans="1:10" x14ac:dyDescent="0.35">
      <c r="A534" s="218" t="s">
        <v>73</v>
      </c>
      <c r="B534" s="3" t="s">
        <v>79</v>
      </c>
      <c r="C534" s="1" t="s">
        <v>75</v>
      </c>
      <c r="D534" s="1">
        <v>5</v>
      </c>
      <c r="E534" s="1" t="s">
        <v>302</v>
      </c>
      <c r="F534" s="16"/>
      <c r="G534" s="16"/>
      <c r="H534" s="109"/>
      <c r="I534" s="14"/>
      <c r="J534" s="123">
        <f>VLOOKUP(E534,'C'!P:Q,2,FALSE)</f>
        <v>24</v>
      </c>
    </row>
    <row r="535" spans="1:10" x14ac:dyDescent="0.35">
      <c r="A535" s="218" t="s">
        <v>73</v>
      </c>
      <c r="B535" s="3" t="s">
        <v>80</v>
      </c>
      <c r="C535" s="1" t="s">
        <v>75</v>
      </c>
      <c r="D535" s="1">
        <v>5</v>
      </c>
      <c r="E535" s="1" t="s">
        <v>302</v>
      </c>
      <c r="F535" s="27"/>
      <c r="G535" s="27"/>
      <c r="H535" s="109"/>
      <c r="I535" s="14"/>
      <c r="J535" s="123">
        <f>VLOOKUP(E535,'C'!P:Q,2,FALSE)</f>
        <v>24</v>
      </c>
    </row>
    <row r="536" spans="1:10" hidden="1" x14ac:dyDescent="0.35">
      <c r="A536" s="218" t="s">
        <v>81</v>
      </c>
      <c r="B536" s="3" t="s">
        <v>76</v>
      </c>
      <c r="C536" s="91" t="s">
        <v>75</v>
      </c>
      <c r="D536" s="91">
        <v>5</v>
      </c>
      <c r="E536" s="1" t="s">
        <v>302</v>
      </c>
      <c r="F536" s="16"/>
      <c r="G536" s="16"/>
      <c r="H536" s="109"/>
      <c r="I536" s="14"/>
      <c r="J536" s="123">
        <f>VLOOKUP(E536,'C'!P:Q,2,FALSE)</f>
        <v>24</v>
      </c>
    </row>
    <row r="537" spans="1:10" hidden="1" x14ac:dyDescent="0.35">
      <c r="A537" s="218" t="s">
        <v>81</v>
      </c>
      <c r="B537" s="3" t="s">
        <v>74</v>
      </c>
      <c r="C537" s="1" t="s">
        <v>75</v>
      </c>
      <c r="D537" s="1">
        <v>5</v>
      </c>
      <c r="E537" s="1" t="s">
        <v>302</v>
      </c>
      <c r="F537" s="16"/>
      <c r="G537" s="16"/>
      <c r="H537" s="109"/>
      <c r="I537" s="14"/>
      <c r="J537" s="123">
        <f>VLOOKUP(E537,'C'!P:Q,2,FALSE)</f>
        <v>24</v>
      </c>
    </row>
    <row r="538" spans="1:10" hidden="1" x14ac:dyDescent="0.35">
      <c r="A538" s="218" t="s">
        <v>81</v>
      </c>
      <c r="B538" s="3" t="s">
        <v>78</v>
      </c>
      <c r="C538" s="1" t="s">
        <v>75</v>
      </c>
      <c r="D538" s="1">
        <v>5</v>
      </c>
      <c r="E538" s="1" t="s">
        <v>302</v>
      </c>
      <c r="F538" s="16"/>
      <c r="G538" s="16"/>
      <c r="H538" s="109"/>
      <c r="I538" s="14"/>
      <c r="J538" s="123">
        <f>VLOOKUP(E538,'C'!P:Q,2,FALSE)</f>
        <v>24</v>
      </c>
    </row>
    <row r="539" spans="1:10" hidden="1" x14ac:dyDescent="0.35">
      <c r="A539" s="218" t="s">
        <v>81</v>
      </c>
      <c r="B539" s="3" t="s">
        <v>77</v>
      </c>
      <c r="C539" s="1" t="s">
        <v>75</v>
      </c>
      <c r="D539" s="1">
        <v>5</v>
      </c>
      <c r="E539" s="1" t="s">
        <v>302</v>
      </c>
      <c r="F539" s="16"/>
      <c r="G539" s="16"/>
      <c r="H539" s="109"/>
      <c r="I539" s="14"/>
      <c r="J539" s="123">
        <f>VLOOKUP(E539,'C'!P:Q,2,FALSE)</f>
        <v>24</v>
      </c>
    </row>
    <row r="540" spans="1:10" hidden="1" x14ac:dyDescent="0.35">
      <c r="A540" s="218" t="s">
        <v>81</v>
      </c>
      <c r="B540" s="3" t="s">
        <v>79</v>
      </c>
      <c r="C540" s="1" t="s">
        <v>75</v>
      </c>
      <c r="D540" s="1">
        <v>5</v>
      </c>
      <c r="E540" s="1" t="s">
        <v>302</v>
      </c>
      <c r="F540" s="16"/>
      <c r="G540" s="16"/>
      <c r="H540" s="109"/>
      <c r="I540" s="14"/>
      <c r="J540" s="123">
        <f>VLOOKUP(E540,'C'!P:Q,2,FALSE)</f>
        <v>24</v>
      </c>
    </row>
    <row r="541" spans="1:10" hidden="1" x14ac:dyDescent="0.35">
      <c r="A541" s="218" t="s">
        <v>81</v>
      </c>
      <c r="B541" s="3" t="s">
        <v>80</v>
      </c>
      <c r="C541" s="1" t="s">
        <v>75</v>
      </c>
      <c r="D541" s="1">
        <v>5</v>
      </c>
      <c r="E541" s="1" t="s">
        <v>302</v>
      </c>
      <c r="F541" s="27"/>
      <c r="G541" s="27"/>
      <c r="H541" s="109"/>
      <c r="I541" s="14"/>
      <c r="J541" s="123">
        <f>VLOOKUP(E541,'C'!P:Q,2,FALSE)</f>
        <v>24</v>
      </c>
    </row>
    <row r="542" spans="1:10" hidden="1" x14ac:dyDescent="0.35">
      <c r="A542" s="202" t="s">
        <v>82</v>
      </c>
      <c r="B542" s="15" t="s">
        <v>74</v>
      </c>
      <c r="C542" s="91" t="s">
        <v>75</v>
      </c>
      <c r="D542" s="91">
        <v>5</v>
      </c>
      <c r="E542" s="1" t="s">
        <v>302</v>
      </c>
      <c r="F542" s="14"/>
      <c r="G542" s="14"/>
      <c r="H542" s="109"/>
      <c r="I542" s="14"/>
      <c r="J542" s="123">
        <f>VLOOKUP(E542,'C'!P:Q,2,FALSE)</f>
        <v>24</v>
      </c>
    </row>
    <row r="543" spans="1:10" hidden="1" x14ac:dyDescent="0.35">
      <c r="A543" s="202" t="s">
        <v>82</v>
      </c>
      <c r="B543" s="15" t="s">
        <v>76</v>
      </c>
      <c r="C543" s="1" t="s">
        <v>75</v>
      </c>
      <c r="D543" s="1">
        <v>5</v>
      </c>
      <c r="E543" s="1" t="s">
        <v>302</v>
      </c>
      <c r="F543" s="14"/>
      <c r="G543" s="14"/>
      <c r="H543" s="109"/>
      <c r="I543" s="14"/>
      <c r="J543" s="123">
        <f>VLOOKUP(E543,'C'!P:Q,2,FALSE)</f>
        <v>24</v>
      </c>
    </row>
    <row r="544" spans="1:10" hidden="1" x14ac:dyDescent="0.35">
      <c r="A544" s="202" t="s">
        <v>82</v>
      </c>
      <c r="B544" s="15" t="s">
        <v>77</v>
      </c>
      <c r="C544" s="1" t="s">
        <v>75</v>
      </c>
      <c r="D544" s="1">
        <v>5</v>
      </c>
      <c r="E544" s="1" t="s">
        <v>302</v>
      </c>
      <c r="F544" s="14"/>
      <c r="G544" s="14"/>
      <c r="H544" s="109"/>
      <c r="I544" s="14"/>
      <c r="J544" s="123">
        <f>VLOOKUP(E544,'C'!P:Q,2,FALSE)</f>
        <v>24</v>
      </c>
    </row>
    <row r="545" spans="1:10" hidden="1" x14ac:dyDescent="0.35">
      <c r="A545" s="202" t="s">
        <v>82</v>
      </c>
      <c r="B545" s="15" t="s">
        <v>78</v>
      </c>
      <c r="C545" s="1" t="s">
        <v>75</v>
      </c>
      <c r="D545" s="1">
        <v>5</v>
      </c>
      <c r="E545" s="1" t="s">
        <v>302</v>
      </c>
      <c r="F545" s="14"/>
      <c r="G545" s="14"/>
      <c r="H545" s="109"/>
      <c r="I545" s="14"/>
      <c r="J545" s="123">
        <f>VLOOKUP(E545,'C'!P:Q,2,FALSE)</f>
        <v>24</v>
      </c>
    </row>
    <row r="546" spans="1:10" hidden="1" x14ac:dyDescent="0.35">
      <c r="A546" s="202" t="s">
        <v>82</v>
      </c>
      <c r="B546" s="15" t="s">
        <v>79</v>
      </c>
      <c r="C546" s="1" t="s">
        <v>75</v>
      </c>
      <c r="D546" s="1">
        <v>5</v>
      </c>
      <c r="E546" s="1" t="s">
        <v>302</v>
      </c>
      <c r="F546" s="14"/>
      <c r="G546" s="14"/>
      <c r="H546" s="109"/>
      <c r="I546" s="14"/>
      <c r="J546" s="123">
        <f>VLOOKUP(E546,'C'!P:Q,2,FALSE)</f>
        <v>24</v>
      </c>
    </row>
    <row r="547" spans="1:10" hidden="1" x14ac:dyDescent="0.35">
      <c r="A547" s="202" t="s">
        <v>82</v>
      </c>
      <c r="B547" s="15" t="s">
        <v>80</v>
      </c>
      <c r="C547" s="1" t="s">
        <v>75</v>
      </c>
      <c r="D547" s="1">
        <v>5</v>
      </c>
      <c r="E547" s="1" t="s">
        <v>302</v>
      </c>
      <c r="F547" s="14"/>
      <c r="G547" s="14"/>
      <c r="H547" s="109"/>
      <c r="I547" s="14"/>
      <c r="J547" s="123">
        <f>VLOOKUP(E547,'C'!P:Q,2,FALSE)</f>
        <v>24</v>
      </c>
    </row>
    <row r="548" spans="1:10" hidden="1" x14ac:dyDescent="0.35">
      <c r="A548" s="202" t="s">
        <v>83</v>
      </c>
      <c r="B548" s="15" t="s">
        <v>74</v>
      </c>
      <c r="C548" s="91" t="s">
        <v>75</v>
      </c>
      <c r="D548" s="91" t="s">
        <v>84</v>
      </c>
      <c r="E548" s="1" t="s">
        <v>302</v>
      </c>
      <c r="F548" s="14"/>
      <c r="G548" s="14"/>
      <c r="H548" s="14">
        <v>50</v>
      </c>
      <c r="I548" s="14">
        <v>60</v>
      </c>
      <c r="J548" s="123">
        <f>VLOOKUP(E548,'C'!P:Q,2,FALSE)</f>
        <v>24</v>
      </c>
    </row>
    <row r="549" spans="1:10" hidden="1" x14ac:dyDescent="0.35">
      <c r="A549" s="202" t="s">
        <v>83</v>
      </c>
      <c r="B549" s="15" t="s">
        <v>76</v>
      </c>
      <c r="C549" s="1" t="s">
        <v>75</v>
      </c>
      <c r="D549" s="1" t="s">
        <v>84</v>
      </c>
      <c r="E549" s="1" t="s">
        <v>302</v>
      </c>
      <c r="F549" s="14"/>
      <c r="G549" s="14"/>
      <c r="H549" s="14">
        <v>50</v>
      </c>
      <c r="I549" s="14">
        <v>60</v>
      </c>
      <c r="J549" s="123">
        <f>VLOOKUP(E549,'C'!P:Q,2,FALSE)</f>
        <v>24</v>
      </c>
    </row>
    <row r="550" spans="1:10" hidden="1" x14ac:dyDescent="0.35">
      <c r="A550" s="202" t="s">
        <v>83</v>
      </c>
      <c r="B550" s="15" t="s">
        <v>77</v>
      </c>
      <c r="C550" s="1" t="s">
        <v>75</v>
      </c>
      <c r="D550" s="1" t="s">
        <v>84</v>
      </c>
      <c r="E550" s="1" t="s">
        <v>302</v>
      </c>
      <c r="F550" s="14"/>
      <c r="G550" s="14"/>
      <c r="H550" s="109"/>
      <c r="I550" s="14"/>
      <c r="J550" s="123">
        <f>VLOOKUP(E550,'C'!P:Q,2,FALSE)</f>
        <v>24</v>
      </c>
    </row>
    <row r="551" spans="1:10" hidden="1" x14ac:dyDescent="0.35">
      <c r="A551" s="202" t="s">
        <v>83</v>
      </c>
      <c r="B551" s="15" t="s">
        <v>78</v>
      </c>
      <c r="C551" s="1" t="s">
        <v>75</v>
      </c>
      <c r="D551" s="1" t="s">
        <v>84</v>
      </c>
      <c r="E551" s="1" t="s">
        <v>302</v>
      </c>
      <c r="F551" s="14"/>
      <c r="G551" s="14"/>
      <c r="H551" s="109"/>
      <c r="I551" s="14"/>
      <c r="J551" s="123">
        <f>VLOOKUP(E551,'C'!P:Q,2,FALSE)</f>
        <v>24</v>
      </c>
    </row>
    <row r="552" spans="1:10" hidden="1" x14ac:dyDescent="0.35">
      <c r="A552" s="202" t="s">
        <v>83</v>
      </c>
      <c r="B552" s="15" t="s">
        <v>79</v>
      </c>
      <c r="C552" s="1" t="s">
        <v>75</v>
      </c>
      <c r="D552" s="1" t="s">
        <v>84</v>
      </c>
      <c r="E552" s="1" t="s">
        <v>302</v>
      </c>
      <c r="F552" s="14"/>
      <c r="G552" s="14"/>
      <c r="H552" s="109"/>
      <c r="I552" s="14"/>
      <c r="J552" s="123">
        <f>VLOOKUP(E552,'C'!P:Q,2,FALSE)</f>
        <v>24</v>
      </c>
    </row>
    <row r="553" spans="1:10" hidden="1" x14ac:dyDescent="0.35">
      <c r="A553" s="202" t="s">
        <v>83</v>
      </c>
      <c r="B553" s="15" t="s">
        <v>80</v>
      </c>
      <c r="C553" s="1" t="s">
        <v>75</v>
      </c>
      <c r="D553" s="1" t="s">
        <v>84</v>
      </c>
      <c r="E553" s="1" t="s">
        <v>302</v>
      </c>
      <c r="F553" s="14"/>
      <c r="G553" s="14"/>
      <c r="H553" s="109"/>
      <c r="I553" s="14"/>
      <c r="J553" s="123">
        <f>VLOOKUP(E553,'C'!P:Q,2,FALSE)</f>
        <v>24</v>
      </c>
    </row>
    <row r="554" spans="1:10" x14ac:dyDescent="0.35">
      <c r="A554" s="218" t="s">
        <v>73</v>
      </c>
      <c r="B554" s="3" t="s">
        <v>74</v>
      </c>
      <c r="C554" s="1" t="s">
        <v>75</v>
      </c>
      <c r="D554" s="1">
        <v>5</v>
      </c>
      <c r="E554" s="1" t="s">
        <v>303</v>
      </c>
      <c r="F554" s="16"/>
      <c r="G554" s="16"/>
      <c r="H554" s="14"/>
      <c r="I554" s="14"/>
      <c r="J554" s="123">
        <f>VLOOKUP(E554,'C'!P:Q,2,FALSE)</f>
        <v>25</v>
      </c>
    </row>
    <row r="555" spans="1:10" x14ac:dyDescent="0.35">
      <c r="A555" s="218" t="s">
        <v>73</v>
      </c>
      <c r="B555" s="3" t="s">
        <v>76</v>
      </c>
      <c r="C555" s="1" t="s">
        <v>75</v>
      </c>
      <c r="D555" s="1">
        <v>5</v>
      </c>
      <c r="E555" s="1" t="s">
        <v>303</v>
      </c>
      <c r="F555" s="16"/>
      <c r="G555" s="16"/>
      <c r="H555" s="14"/>
      <c r="I555" s="14"/>
      <c r="J555" s="123">
        <f>VLOOKUP(E555,'C'!P:Q,2,FALSE)</f>
        <v>25</v>
      </c>
    </row>
    <row r="556" spans="1:10" x14ac:dyDescent="0.35">
      <c r="A556" s="218" t="s">
        <v>73</v>
      </c>
      <c r="B556" s="3" t="s">
        <v>77</v>
      </c>
      <c r="C556" s="1" t="s">
        <v>75</v>
      </c>
      <c r="D556" s="1">
        <v>5</v>
      </c>
      <c r="E556" s="1" t="s">
        <v>303</v>
      </c>
      <c r="F556" s="16"/>
      <c r="G556" s="16"/>
      <c r="H556" s="14"/>
      <c r="I556" s="14"/>
      <c r="J556" s="123">
        <f>VLOOKUP(E556,'C'!P:Q,2,FALSE)</f>
        <v>25</v>
      </c>
    </row>
    <row r="557" spans="1:10" x14ac:dyDescent="0.35">
      <c r="A557" s="218" t="s">
        <v>73</v>
      </c>
      <c r="B557" s="3" t="s">
        <v>78</v>
      </c>
      <c r="C557" s="1" t="s">
        <v>75</v>
      </c>
      <c r="D557" s="1">
        <v>5</v>
      </c>
      <c r="E557" s="1" t="s">
        <v>303</v>
      </c>
      <c r="F557" s="16"/>
      <c r="G557" s="16"/>
      <c r="H557" s="14"/>
      <c r="I557" s="14"/>
      <c r="J557" s="123">
        <f>VLOOKUP(E557,'C'!P:Q,2,FALSE)</f>
        <v>25</v>
      </c>
    </row>
    <row r="558" spans="1:10" x14ac:dyDescent="0.35">
      <c r="A558" s="218" t="s">
        <v>73</v>
      </c>
      <c r="B558" s="3" t="s">
        <v>79</v>
      </c>
      <c r="C558" s="1" t="s">
        <v>75</v>
      </c>
      <c r="D558" s="1">
        <v>5</v>
      </c>
      <c r="E558" s="1" t="s">
        <v>303</v>
      </c>
      <c r="F558" s="16"/>
      <c r="G558" s="16"/>
      <c r="H558" s="14"/>
      <c r="I558" s="14"/>
      <c r="J558" s="123">
        <f>VLOOKUP(E558,'C'!P:Q,2,FALSE)</f>
        <v>25</v>
      </c>
    </row>
    <row r="559" spans="1:10" x14ac:dyDescent="0.35">
      <c r="A559" s="218" t="s">
        <v>73</v>
      </c>
      <c r="B559" s="3" t="s">
        <v>80</v>
      </c>
      <c r="C559" s="1" t="s">
        <v>75</v>
      </c>
      <c r="D559" s="1">
        <v>5</v>
      </c>
      <c r="E559" s="1" t="s">
        <v>303</v>
      </c>
      <c r="F559" s="27"/>
      <c r="G559" s="27"/>
      <c r="H559" s="14"/>
      <c r="I559" s="14"/>
      <c r="J559" s="123">
        <f>VLOOKUP(E559,'C'!P:Q,2,FALSE)</f>
        <v>25</v>
      </c>
    </row>
    <row r="560" spans="1:10" hidden="1" x14ac:dyDescent="0.35">
      <c r="A560" s="218" t="s">
        <v>81</v>
      </c>
      <c r="B560" s="3" t="s">
        <v>76</v>
      </c>
      <c r="C560" s="91" t="s">
        <v>75</v>
      </c>
      <c r="D560" s="91">
        <v>5</v>
      </c>
      <c r="E560" s="1" t="s">
        <v>303</v>
      </c>
      <c r="F560" s="16"/>
      <c r="G560" s="16"/>
      <c r="H560" s="14"/>
      <c r="I560" s="14"/>
      <c r="J560" s="123">
        <f>VLOOKUP(E560,'C'!P:Q,2,FALSE)</f>
        <v>25</v>
      </c>
    </row>
    <row r="561" spans="1:10" hidden="1" x14ac:dyDescent="0.35">
      <c r="A561" s="218" t="s">
        <v>81</v>
      </c>
      <c r="B561" s="3" t="s">
        <v>74</v>
      </c>
      <c r="C561" s="1" t="s">
        <v>75</v>
      </c>
      <c r="D561" s="1">
        <v>5</v>
      </c>
      <c r="E561" s="1" t="s">
        <v>303</v>
      </c>
      <c r="F561" s="16"/>
      <c r="G561" s="16"/>
      <c r="H561" s="14"/>
      <c r="I561" s="14"/>
      <c r="J561" s="123">
        <f>VLOOKUP(E561,'C'!P:Q,2,FALSE)</f>
        <v>25</v>
      </c>
    </row>
    <row r="562" spans="1:10" hidden="1" x14ac:dyDescent="0.35">
      <c r="A562" s="218" t="s">
        <v>81</v>
      </c>
      <c r="B562" s="3" t="s">
        <v>78</v>
      </c>
      <c r="C562" s="1" t="s">
        <v>75</v>
      </c>
      <c r="D562" s="1">
        <v>5</v>
      </c>
      <c r="E562" s="1" t="s">
        <v>303</v>
      </c>
      <c r="F562" s="16"/>
      <c r="G562" s="16"/>
      <c r="H562" s="14"/>
      <c r="I562" s="14"/>
      <c r="J562" s="123">
        <f>VLOOKUP(E562,'C'!P:Q,2,FALSE)</f>
        <v>25</v>
      </c>
    </row>
    <row r="563" spans="1:10" hidden="1" x14ac:dyDescent="0.35">
      <c r="A563" s="218" t="s">
        <v>81</v>
      </c>
      <c r="B563" s="3" t="s">
        <v>77</v>
      </c>
      <c r="C563" s="1" t="s">
        <v>75</v>
      </c>
      <c r="D563" s="1">
        <v>5</v>
      </c>
      <c r="E563" s="1" t="s">
        <v>303</v>
      </c>
      <c r="F563" s="16"/>
      <c r="G563" s="16"/>
      <c r="H563" s="14"/>
      <c r="I563" s="14"/>
      <c r="J563" s="123">
        <f>VLOOKUP(E563,'C'!P:Q,2,FALSE)</f>
        <v>25</v>
      </c>
    </row>
    <row r="564" spans="1:10" hidden="1" x14ac:dyDescent="0.35">
      <c r="A564" s="218" t="s">
        <v>81</v>
      </c>
      <c r="B564" s="3" t="s">
        <v>79</v>
      </c>
      <c r="C564" s="1" t="s">
        <v>75</v>
      </c>
      <c r="D564" s="1">
        <v>5</v>
      </c>
      <c r="E564" s="1" t="s">
        <v>303</v>
      </c>
      <c r="F564" s="16"/>
      <c r="G564" s="16"/>
      <c r="H564" s="14"/>
      <c r="I564" s="14"/>
      <c r="J564" s="123">
        <f>VLOOKUP(E564,'C'!P:Q,2,FALSE)</f>
        <v>25</v>
      </c>
    </row>
    <row r="565" spans="1:10" hidden="1" x14ac:dyDescent="0.35">
      <c r="A565" s="218" t="s">
        <v>81</v>
      </c>
      <c r="B565" s="3" t="s">
        <v>80</v>
      </c>
      <c r="C565" s="1" t="s">
        <v>75</v>
      </c>
      <c r="D565" s="1">
        <v>5</v>
      </c>
      <c r="E565" s="1" t="s">
        <v>303</v>
      </c>
      <c r="F565" s="27"/>
      <c r="G565" s="27"/>
      <c r="H565" s="14"/>
      <c r="I565" s="14"/>
      <c r="J565" s="123">
        <f>VLOOKUP(E565,'C'!P:Q,2,FALSE)</f>
        <v>25</v>
      </c>
    </row>
    <row r="566" spans="1:10" hidden="1" x14ac:dyDescent="0.35">
      <c r="A566" s="202" t="s">
        <v>82</v>
      </c>
      <c r="B566" s="15" t="s">
        <v>74</v>
      </c>
      <c r="C566" s="91" t="s">
        <v>75</v>
      </c>
      <c r="D566" s="91">
        <v>5</v>
      </c>
      <c r="E566" s="1" t="s">
        <v>303</v>
      </c>
      <c r="F566" s="14"/>
      <c r="G566" s="14"/>
      <c r="H566" s="14"/>
      <c r="I566" s="14"/>
      <c r="J566" s="123">
        <f>VLOOKUP(E566,'C'!P:Q,2,FALSE)</f>
        <v>25</v>
      </c>
    </row>
    <row r="567" spans="1:10" hidden="1" x14ac:dyDescent="0.35">
      <c r="A567" s="202" t="s">
        <v>82</v>
      </c>
      <c r="B567" s="15" t="s">
        <v>76</v>
      </c>
      <c r="C567" s="1" t="s">
        <v>75</v>
      </c>
      <c r="D567" s="1">
        <v>5</v>
      </c>
      <c r="E567" s="1" t="s">
        <v>303</v>
      </c>
      <c r="F567" s="14"/>
      <c r="G567" s="14"/>
      <c r="H567" s="14"/>
      <c r="I567" s="14"/>
      <c r="J567" s="123">
        <f>VLOOKUP(E567,'C'!P:Q,2,FALSE)</f>
        <v>25</v>
      </c>
    </row>
    <row r="568" spans="1:10" hidden="1" x14ac:dyDescent="0.35">
      <c r="A568" s="202" t="s">
        <v>82</v>
      </c>
      <c r="B568" s="15" t="s">
        <v>77</v>
      </c>
      <c r="C568" s="1" t="s">
        <v>75</v>
      </c>
      <c r="D568" s="1">
        <v>5</v>
      </c>
      <c r="E568" s="1" t="s">
        <v>303</v>
      </c>
      <c r="F568" s="14"/>
      <c r="G568" s="14"/>
      <c r="H568" s="14"/>
      <c r="I568" s="14"/>
      <c r="J568" s="123">
        <f>VLOOKUP(E568,'C'!P:Q,2,FALSE)</f>
        <v>25</v>
      </c>
    </row>
    <row r="569" spans="1:10" hidden="1" x14ac:dyDescent="0.35">
      <c r="A569" s="202" t="s">
        <v>82</v>
      </c>
      <c r="B569" s="15" t="s">
        <v>78</v>
      </c>
      <c r="C569" s="1" t="s">
        <v>75</v>
      </c>
      <c r="D569" s="1">
        <v>5</v>
      </c>
      <c r="E569" s="1" t="s">
        <v>303</v>
      </c>
      <c r="F569" s="14"/>
      <c r="G569" s="14"/>
      <c r="H569" s="14"/>
      <c r="I569" s="14"/>
      <c r="J569" s="123">
        <f>VLOOKUP(E569,'C'!P:Q,2,FALSE)</f>
        <v>25</v>
      </c>
    </row>
    <row r="570" spans="1:10" hidden="1" x14ac:dyDescent="0.35">
      <c r="A570" s="202" t="s">
        <v>82</v>
      </c>
      <c r="B570" s="15" t="s">
        <v>79</v>
      </c>
      <c r="C570" s="1" t="s">
        <v>75</v>
      </c>
      <c r="D570" s="1">
        <v>5</v>
      </c>
      <c r="E570" s="1" t="s">
        <v>303</v>
      </c>
      <c r="F570" s="14"/>
      <c r="G570" s="14"/>
      <c r="H570" s="14"/>
      <c r="I570" s="14"/>
      <c r="J570" s="123">
        <f>VLOOKUP(E570,'C'!P:Q,2,FALSE)</f>
        <v>25</v>
      </c>
    </row>
    <row r="571" spans="1:10" hidden="1" x14ac:dyDescent="0.35">
      <c r="A571" s="202" t="s">
        <v>82</v>
      </c>
      <c r="B571" s="15" t="s">
        <v>80</v>
      </c>
      <c r="C571" s="1" t="s">
        <v>75</v>
      </c>
      <c r="D571" s="1">
        <v>5</v>
      </c>
      <c r="E571" s="1" t="s">
        <v>303</v>
      </c>
      <c r="F571" s="14"/>
      <c r="G571" s="14"/>
      <c r="H571" s="14"/>
      <c r="I571" s="14"/>
      <c r="J571" s="123">
        <f>VLOOKUP(E571,'C'!P:Q,2,FALSE)</f>
        <v>25</v>
      </c>
    </row>
    <row r="572" spans="1:10" hidden="1" x14ac:dyDescent="0.35">
      <c r="A572" s="202" t="s">
        <v>83</v>
      </c>
      <c r="B572" s="15" t="s">
        <v>74</v>
      </c>
      <c r="C572" s="91" t="s">
        <v>75</v>
      </c>
      <c r="D572" s="91" t="s">
        <v>84</v>
      </c>
      <c r="E572" s="1" t="s">
        <v>303</v>
      </c>
      <c r="F572" s="14"/>
      <c r="G572" s="14"/>
      <c r="H572" s="14"/>
      <c r="I572" s="14"/>
      <c r="J572" s="123">
        <f>VLOOKUP(E572,'C'!P:Q,2,FALSE)</f>
        <v>25</v>
      </c>
    </row>
    <row r="573" spans="1:10" hidden="1" x14ac:dyDescent="0.35">
      <c r="A573" s="202" t="s">
        <v>83</v>
      </c>
      <c r="B573" s="15" t="s">
        <v>76</v>
      </c>
      <c r="C573" s="1" t="s">
        <v>75</v>
      </c>
      <c r="D573" s="1" t="s">
        <v>84</v>
      </c>
      <c r="E573" s="1" t="s">
        <v>303</v>
      </c>
      <c r="F573" s="14"/>
      <c r="G573" s="14"/>
      <c r="H573" s="14"/>
      <c r="I573" s="14"/>
      <c r="J573" s="123">
        <f>VLOOKUP(E573,'C'!P:Q,2,FALSE)</f>
        <v>25</v>
      </c>
    </row>
    <row r="574" spans="1:10" hidden="1" x14ac:dyDescent="0.35">
      <c r="A574" s="202" t="s">
        <v>83</v>
      </c>
      <c r="B574" s="15" t="s">
        <v>77</v>
      </c>
      <c r="C574" s="1" t="s">
        <v>75</v>
      </c>
      <c r="D574" s="1" t="s">
        <v>84</v>
      </c>
      <c r="E574" s="1" t="s">
        <v>303</v>
      </c>
      <c r="F574" s="14"/>
      <c r="G574" s="14"/>
      <c r="H574" s="14"/>
      <c r="I574" s="14"/>
      <c r="J574" s="123">
        <f>VLOOKUP(E574,'C'!P:Q,2,FALSE)</f>
        <v>25</v>
      </c>
    </row>
    <row r="575" spans="1:10" hidden="1" x14ac:dyDescent="0.35">
      <c r="A575" s="202" t="s">
        <v>83</v>
      </c>
      <c r="B575" s="15" t="s">
        <v>78</v>
      </c>
      <c r="C575" s="1" t="s">
        <v>75</v>
      </c>
      <c r="D575" s="1" t="s">
        <v>84</v>
      </c>
      <c r="E575" s="1" t="s">
        <v>303</v>
      </c>
      <c r="F575" s="14"/>
      <c r="G575" s="14"/>
      <c r="H575" s="14"/>
      <c r="I575" s="14"/>
      <c r="J575" s="123">
        <f>VLOOKUP(E575,'C'!P:Q,2,FALSE)</f>
        <v>25</v>
      </c>
    </row>
    <row r="576" spans="1:10" hidden="1" x14ac:dyDescent="0.35">
      <c r="A576" s="202" t="s">
        <v>83</v>
      </c>
      <c r="B576" s="15" t="s">
        <v>79</v>
      </c>
      <c r="C576" s="1" t="s">
        <v>75</v>
      </c>
      <c r="D576" s="1" t="s">
        <v>84</v>
      </c>
      <c r="E576" s="1" t="s">
        <v>303</v>
      </c>
      <c r="F576" s="14"/>
      <c r="G576" s="14"/>
      <c r="H576" s="14"/>
      <c r="I576" s="14"/>
      <c r="J576" s="123">
        <f>VLOOKUP(E576,'C'!P:Q,2,FALSE)</f>
        <v>25</v>
      </c>
    </row>
    <row r="577" spans="1:10" hidden="1" x14ac:dyDescent="0.35">
      <c r="A577" s="202" t="s">
        <v>83</v>
      </c>
      <c r="B577" s="15" t="s">
        <v>80</v>
      </c>
      <c r="C577" s="1" t="s">
        <v>75</v>
      </c>
      <c r="D577" s="1" t="s">
        <v>84</v>
      </c>
      <c r="E577" s="1" t="s">
        <v>303</v>
      </c>
      <c r="F577" s="14"/>
      <c r="G577" s="14"/>
      <c r="H577" s="14"/>
      <c r="I577" s="14"/>
      <c r="J577" s="123">
        <f>VLOOKUP(E577,'C'!P:Q,2,FALSE)</f>
        <v>25</v>
      </c>
    </row>
    <row r="578" spans="1:10" x14ac:dyDescent="0.35">
      <c r="A578" s="218" t="s">
        <v>73</v>
      </c>
      <c r="B578" s="3" t="s">
        <v>74</v>
      </c>
      <c r="C578" s="1" t="s">
        <v>75</v>
      </c>
      <c r="D578" s="1">
        <v>5</v>
      </c>
      <c r="E578" s="1" t="s">
        <v>299</v>
      </c>
      <c r="F578" s="16">
        <v>280</v>
      </c>
      <c r="G578" s="16">
        <v>240</v>
      </c>
      <c r="H578" s="109"/>
      <c r="I578" s="14"/>
      <c r="J578" s="123">
        <f>VLOOKUP(E578,'C'!P:Q,2,FALSE)</f>
        <v>26</v>
      </c>
    </row>
    <row r="579" spans="1:10" x14ac:dyDescent="0.35">
      <c r="A579" s="218" t="s">
        <v>73</v>
      </c>
      <c r="B579" s="3" t="s">
        <v>76</v>
      </c>
      <c r="C579" s="1" t="s">
        <v>75</v>
      </c>
      <c r="D579" s="1">
        <v>5</v>
      </c>
      <c r="E579" s="1" t="s">
        <v>299</v>
      </c>
      <c r="F579" s="16">
        <v>280</v>
      </c>
      <c r="G579" s="16">
        <v>240</v>
      </c>
      <c r="H579" s="16"/>
      <c r="I579" s="16"/>
      <c r="J579" s="123">
        <f>VLOOKUP(E579,'C'!P:Q,2,FALSE)</f>
        <v>26</v>
      </c>
    </row>
    <row r="580" spans="1:10" x14ac:dyDescent="0.35">
      <c r="A580" s="218" t="s">
        <v>73</v>
      </c>
      <c r="B580" s="3" t="s">
        <v>77</v>
      </c>
      <c r="C580" s="1" t="s">
        <v>75</v>
      </c>
      <c r="D580" s="1">
        <v>5</v>
      </c>
      <c r="E580" s="1" t="s">
        <v>299</v>
      </c>
      <c r="F580" s="14"/>
      <c r="G580" s="14"/>
      <c r="H580" s="109"/>
      <c r="I580" s="14"/>
      <c r="J580" s="123">
        <f>VLOOKUP(E580,'C'!P:Q,2,FALSE)</f>
        <v>26</v>
      </c>
    </row>
    <row r="581" spans="1:10" x14ac:dyDescent="0.35">
      <c r="A581" s="218" t="s">
        <v>73</v>
      </c>
      <c r="B581" s="3" t="s">
        <v>78</v>
      </c>
      <c r="C581" s="1" t="s">
        <v>75</v>
      </c>
      <c r="D581" s="1">
        <v>5</v>
      </c>
      <c r="E581" s="1" t="s">
        <v>299</v>
      </c>
      <c r="F581" s="14"/>
      <c r="G581" s="14"/>
      <c r="H581" s="109"/>
      <c r="I581" s="14"/>
      <c r="J581" s="123">
        <f>VLOOKUP(E581,'C'!P:Q,2,FALSE)</f>
        <v>26</v>
      </c>
    </row>
    <row r="582" spans="1:10" x14ac:dyDescent="0.35">
      <c r="A582" s="218" t="s">
        <v>73</v>
      </c>
      <c r="B582" s="3" t="s">
        <v>79</v>
      </c>
      <c r="C582" s="1" t="s">
        <v>75</v>
      </c>
      <c r="D582" s="1">
        <v>5</v>
      </c>
      <c r="E582" s="1" t="s">
        <v>299</v>
      </c>
      <c r="F582" s="16"/>
      <c r="G582" s="16"/>
      <c r="H582" s="109"/>
      <c r="I582" s="14"/>
      <c r="J582" s="123">
        <f>VLOOKUP(E582,'C'!P:Q,2,FALSE)</f>
        <v>26</v>
      </c>
    </row>
    <row r="583" spans="1:10" x14ac:dyDescent="0.35">
      <c r="A583" s="218" t="s">
        <v>73</v>
      </c>
      <c r="B583" s="3" t="s">
        <v>80</v>
      </c>
      <c r="C583" s="1" t="s">
        <v>75</v>
      </c>
      <c r="D583" s="1">
        <v>5</v>
      </c>
      <c r="E583" s="1" t="s">
        <v>299</v>
      </c>
      <c r="F583" s="27"/>
      <c r="G583" s="27"/>
      <c r="H583" s="109"/>
      <c r="I583" s="14"/>
      <c r="J583" s="123">
        <f>VLOOKUP(E583,'C'!P:Q,2,FALSE)</f>
        <v>26</v>
      </c>
    </row>
    <row r="584" spans="1:10" hidden="1" x14ac:dyDescent="0.35">
      <c r="A584" s="218" t="s">
        <v>81</v>
      </c>
      <c r="B584" s="3" t="s">
        <v>76</v>
      </c>
      <c r="C584" s="91" t="s">
        <v>75</v>
      </c>
      <c r="D584" s="91">
        <v>5</v>
      </c>
      <c r="E584" s="1" t="s">
        <v>299</v>
      </c>
      <c r="F584" s="16">
        <v>280</v>
      </c>
      <c r="G584" s="16">
        <v>240</v>
      </c>
      <c r="H584" s="109"/>
      <c r="I584" s="14"/>
      <c r="J584" s="123">
        <f>VLOOKUP(E584,'C'!P:Q,2,FALSE)</f>
        <v>26</v>
      </c>
    </row>
    <row r="585" spans="1:10" hidden="1" x14ac:dyDescent="0.35">
      <c r="A585" s="218" t="s">
        <v>81</v>
      </c>
      <c r="B585" s="3" t="s">
        <v>74</v>
      </c>
      <c r="C585" s="1" t="s">
        <v>75</v>
      </c>
      <c r="D585" s="1">
        <v>5</v>
      </c>
      <c r="E585" s="1" t="s">
        <v>299</v>
      </c>
      <c r="F585" s="16">
        <v>280</v>
      </c>
      <c r="G585" s="16">
        <v>240</v>
      </c>
      <c r="H585" s="109"/>
      <c r="I585" s="14"/>
      <c r="J585" s="123">
        <f>VLOOKUP(E585,'C'!P:Q,2,FALSE)</f>
        <v>26</v>
      </c>
    </row>
    <row r="586" spans="1:10" hidden="1" x14ac:dyDescent="0.35">
      <c r="A586" s="218" t="s">
        <v>81</v>
      </c>
      <c r="B586" s="3" t="s">
        <v>78</v>
      </c>
      <c r="C586" s="1" t="s">
        <v>75</v>
      </c>
      <c r="D586" s="1">
        <v>5</v>
      </c>
      <c r="E586" s="1" t="s">
        <v>299</v>
      </c>
      <c r="F586" s="16"/>
      <c r="G586" s="16"/>
      <c r="H586" s="109"/>
      <c r="I586" s="14"/>
      <c r="J586" s="123">
        <f>VLOOKUP(E586,'C'!P:Q,2,FALSE)</f>
        <v>26</v>
      </c>
    </row>
    <row r="587" spans="1:10" hidden="1" x14ac:dyDescent="0.35">
      <c r="A587" s="218" t="s">
        <v>81</v>
      </c>
      <c r="B587" s="3" t="s">
        <v>77</v>
      </c>
      <c r="C587" s="1" t="s">
        <v>75</v>
      </c>
      <c r="D587" s="1">
        <v>5</v>
      </c>
      <c r="E587" s="1" t="s">
        <v>299</v>
      </c>
      <c r="F587" s="16"/>
      <c r="G587" s="16"/>
      <c r="H587" s="109"/>
      <c r="I587" s="14"/>
      <c r="J587" s="123">
        <f>VLOOKUP(E587,'C'!P:Q,2,FALSE)</f>
        <v>26</v>
      </c>
    </row>
    <row r="588" spans="1:10" hidden="1" x14ac:dyDescent="0.35">
      <c r="A588" s="218" t="s">
        <v>81</v>
      </c>
      <c r="B588" s="3" t="s">
        <v>79</v>
      </c>
      <c r="C588" s="1" t="s">
        <v>75</v>
      </c>
      <c r="D588" s="1">
        <v>5</v>
      </c>
      <c r="E588" s="1" t="s">
        <v>299</v>
      </c>
      <c r="F588" s="16"/>
      <c r="G588" s="16"/>
      <c r="H588" s="109"/>
      <c r="I588" s="14"/>
      <c r="J588" s="123">
        <f>VLOOKUP(E588,'C'!P:Q,2,FALSE)</f>
        <v>26</v>
      </c>
    </row>
    <row r="589" spans="1:10" hidden="1" x14ac:dyDescent="0.35">
      <c r="A589" s="218" t="s">
        <v>81</v>
      </c>
      <c r="B589" s="3" t="s">
        <v>80</v>
      </c>
      <c r="C589" s="1" t="s">
        <v>75</v>
      </c>
      <c r="D589" s="1">
        <v>5</v>
      </c>
      <c r="E589" s="1" t="s">
        <v>299</v>
      </c>
      <c r="F589" s="27"/>
      <c r="G589" s="27"/>
      <c r="H589" s="109"/>
      <c r="I589" s="14"/>
      <c r="J589" s="123">
        <f>VLOOKUP(E589,'C'!P:Q,2,FALSE)</f>
        <v>26</v>
      </c>
    </row>
    <row r="590" spans="1:10" hidden="1" x14ac:dyDescent="0.35">
      <c r="A590" s="202" t="s">
        <v>82</v>
      </c>
      <c r="B590" s="15" t="s">
        <v>74</v>
      </c>
      <c r="C590" s="91" t="s">
        <v>75</v>
      </c>
      <c r="D590" s="91">
        <v>5</v>
      </c>
      <c r="E590" s="1" t="s">
        <v>299</v>
      </c>
      <c r="F590" s="16">
        <v>280</v>
      </c>
      <c r="G590" s="16">
        <v>240</v>
      </c>
      <c r="H590" s="109"/>
      <c r="I590" s="14"/>
      <c r="J590" s="123">
        <f>VLOOKUP(E590,'C'!P:Q,2,FALSE)</f>
        <v>26</v>
      </c>
    </row>
    <row r="591" spans="1:10" hidden="1" x14ac:dyDescent="0.35">
      <c r="A591" s="202" t="s">
        <v>82</v>
      </c>
      <c r="B591" s="15" t="s">
        <v>76</v>
      </c>
      <c r="C591" s="1" t="s">
        <v>75</v>
      </c>
      <c r="D591" s="1">
        <v>5</v>
      </c>
      <c r="E591" s="1" t="s">
        <v>299</v>
      </c>
      <c r="F591" s="16">
        <v>280</v>
      </c>
      <c r="G591" s="16">
        <v>240</v>
      </c>
      <c r="H591" s="109"/>
      <c r="I591" s="14"/>
      <c r="J591" s="123">
        <f>VLOOKUP(E591,'C'!P:Q,2,FALSE)</f>
        <v>26</v>
      </c>
    </row>
    <row r="592" spans="1:10" hidden="1" x14ac:dyDescent="0.35">
      <c r="A592" s="202" t="s">
        <v>82</v>
      </c>
      <c r="B592" s="15" t="s">
        <v>77</v>
      </c>
      <c r="C592" s="1" t="s">
        <v>75</v>
      </c>
      <c r="D592" s="1">
        <v>5</v>
      </c>
      <c r="E592" s="1" t="s">
        <v>299</v>
      </c>
      <c r="F592" s="14"/>
      <c r="G592" s="14"/>
      <c r="H592" s="109"/>
      <c r="I592" s="14"/>
      <c r="J592" s="123">
        <f>VLOOKUP(E592,'C'!P:Q,2,FALSE)</f>
        <v>26</v>
      </c>
    </row>
    <row r="593" spans="1:10" hidden="1" x14ac:dyDescent="0.35">
      <c r="A593" s="202" t="s">
        <v>82</v>
      </c>
      <c r="B593" s="15" t="s">
        <v>78</v>
      </c>
      <c r="C593" s="1" t="s">
        <v>75</v>
      </c>
      <c r="D593" s="1">
        <v>5</v>
      </c>
      <c r="E593" s="1" t="s">
        <v>299</v>
      </c>
      <c r="F593" s="14"/>
      <c r="G593" s="14"/>
      <c r="H593" s="109"/>
      <c r="I593" s="14"/>
      <c r="J593" s="123">
        <f>VLOOKUP(E593,'C'!P:Q,2,FALSE)</f>
        <v>26</v>
      </c>
    </row>
    <row r="594" spans="1:10" hidden="1" x14ac:dyDescent="0.35">
      <c r="A594" s="202" t="s">
        <v>82</v>
      </c>
      <c r="B594" s="15" t="s">
        <v>79</v>
      </c>
      <c r="C594" s="1" t="s">
        <v>75</v>
      </c>
      <c r="D594" s="1">
        <v>5</v>
      </c>
      <c r="E594" s="1" t="s">
        <v>299</v>
      </c>
      <c r="F594" s="14"/>
      <c r="G594" s="14"/>
      <c r="H594" s="109"/>
      <c r="I594" s="14"/>
      <c r="J594" s="123">
        <f>VLOOKUP(E594,'C'!P:Q,2,FALSE)</f>
        <v>26</v>
      </c>
    </row>
    <row r="595" spans="1:10" hidden="1" x14ac:dyDescent="0.35">
      <c r="A595" s="202" t="s">
        <v>82</v>
      </c>
      <c r="B595" s="15" t="s">
        <v>80</v>
      </c>
      <c r="C595" s="1" t="s">
        <v>75</v>
      </c>
      <c r="D595" s="1">
        <v>5</v>
      </c>
      <c r="E595" s="1" t="s">
        <v>299</v>
      </c>
      <c r="F595" s="14"/>
      <c r="G595" s="14"/>
      <c r="H595" s="109"/>
      <c r="I595" s="14"/>
      <c r="J595" s="123">
        <f>VLOOKUP(E595,'C'!P:Q,2,FALSE)</f>
        <v>26</v>
      </c>
    </row>
    <row r="596" spans="1:10" hidden="1" x14ac:dyDescent="0.35">
      <c r="A596" s="202" t="s">
        <v>83</v>
      </c>
      <c r="B596" s="15" t="s">
        <v>74</v>
      </c>
      <c r="C596" s="91" t="s">
        <v>75</v>
      </c>
      <c r="D596" s="91" t="s">
        <v>84</v>
      </c>
      <c r="E596" s="1" t="s">
        <v>299</v>
      </c>
      <c r="F596" s="16">
        <v>280</v>
      </c>
      <c r="G596" s="16">
        <v>240</v>
      </c>
      <c r="H596" s="14"/>
      <c r="I596" s="14"/>
      <c r="J596" s="123">
        <f>VLOOKUP(E596,'C'!P:Q,2,FALSE)</f>
        <v>26</v>
      </c>
    </row>
    <row r="597" spans="1:10" hidden="1" x14ac:dyDescent="0.35">
      <c r="A597" s="202" t="s">
        <v>83</v>
      </c>
      <c r="B597" s="15" t="s">
        <v>76</v>
      </c>
      <c r="C597" s="1" t="s">
        <v>75</v>
      </c>
      <c r="D597" s="1" t="s">
        <v>84</v>
      </c>
      <c r="E597" s="1" t="s">
        <v>299</v>
      </c>
      <c r="F597" s="16">
        <v>280</v>
      </c>
      <c r="G597" s="16">
        <v>240</v>
      </c>
      <c r="H597" s="14"/>
      <c r="I597" s="14"/>
      <c r="J597" s="123">
        <f>VLOOKUP(E597,'C'!P:Q,2,FALSE)</f>
        <v>26</v>
      </c>
    </row>
    <row r="598" spans="1:10" hidden="1" x14ac:dyDescent="0.35">
      <c r="A598" s="202" t="s">
        <v>83</v>
      </c>
      <c r="B598" s="15" t="s">
        <v>77</v>
      </c>
      <c r="C598" s="1" t="s">
        <v>75</v>
      </c>
      <c r="D598" s="1" t="s">
        <v>84</v>
      </c>
      <c r="E598" s="1" t="s">
        <v>299</v>
      </c>
      <c r="F598" s="14"/>
      <c r="G598" s="14"/>
      <c r="H598" s="109"/>
      <c r="I598" s="14"/>
      <c r="J598" s="123">
        <f>VLOOKUP(E598,'C'!P:Q,2,FALSE)</f>
        <v>26</v>
      </c>
    </row>
    <row r="599" spans="1:10" hidden="1" x14ac:dyDescent="0.35">
      <c r="A599" s="202" t="s">
        <v>83</v>
      </c>
      <c r="B599" s="15" t="s">
        <v>78</v>
      </c>
      <c r="C599" s="1" t="s">
        <v>75</v>
      </c>
      <c r="D599" s="1" t="s">
        <v>84</v>
      </c>
      <c r="E599" s="1" t="s">
        <v>299</v>
      </c>
      <c r="F599" s="14"/>
      <c r="G599" s="14"/>
      <c r="H599" s="109"/>
      <c r="I599" s="14"/>
      <c r="J599" s="123">
        <f>VLOOKUP(E599,'C'!P:Q,2,FALSE)</f>
        <v>26</v>
      </c>
    </row>
    <row r="600" spans="1:10" hidden="1" x14ac:dyDescent="0.35">
      <c r="A600" s="202" t="s">
        <v>83</v>
      </c>
      <c r="B600" s="15" t="s">
        <v>79</v>
      </c>
      <c r="C600" s="1" t="s">
        <v>75</v>
      </c>
      <c r="D600" s="1" t="s">
        <v>84</v>
      </c>
      <c r="E600" s="1" t="s">
        <v>299</v>
      </c>
      <c r="F600" s="14"/>
      <c r="G600" s="14"/>
      <c r="H600" s="109"/>
      <c r="I600" s="14"/>
      <c r="J600" s="123">
        <f>VLOOKUP(E600,'C'!P:Q,2,FALSE)</f>
        <v>26</v>
      </c>
    </row>
    <row r="601" spans="1:10" hidden="1" x14ac:dyDescent="0.35">
      <c r="A601" s="202" t="s">
        <v>83</v>
      </c>
      <c r="B601" s="15" t="s">
        <v>80</v>
      </c>
      <c r="C601" s="1" t="s">
        <v>75</v>
      </c>
      <c r="D601" s="1" t="s">
        <v>84</v>
      </c>
      <c r="E601" s="1" t="s">
        <v>299</v>
      </c>
      <c r="F601" s="14"/>
      <c r="G601" s="14"/>
      <c r="H601" s="109"/>
      <c r="I601" s="14"/>
      <c r="J601" s="123">
        <f>VLOOKUP(E601,'C'!P:Q,2,FALSE)</f>
        <v>26</v>
      </c>
    </row>
    <row r="602" spans="1:10" x14ac:dyDescent="0.35">
      <c r="A602" s="218" t="s">
        <v>73</v>
      </c>
      <c r="B602" s="3" t="s">
        <v>74</v>
      </c>
      <c r="C602" s="1" t="s">
        <v>75</v>
      </c>
      <c r="D602" s="1">
        <v>5</v>
      </c>
      <c r="E602" s="1" t="s">
        <v>298</v>
      </c>
      <c r="F602" s="16"/>
      <c r="G602" s="16"/>
      <c r="H602" s="16">
        <v>18</v>
      </c>
      <c r="I602" s="14">
        <v>25</v>
      </c>
      <c r="J602" s="123">
        <f>VLOOKUP(E602,'C'!P:Q,2,FALSE)</f>
        <v>27</v>
      </c>
    </row>
    <row r="603" spans="1:10" x14ac:dyDescent="0.35">
      <c r="A603" s="218" t="s">
        <v>73</v>
      </c>
      <c r="B603" s="3" t="s">
        <v>76</v>
      </c>
      <c r="C603" s="1" t="s">
        <v>75</v>
      </c>
      <c r="D603" s="1">
        <v>5</v>
      </c>
      <c r="E603" s="1" t="s">
        <v>298</v>
      </c>
      <c r="F603" s="16"/>
      <c r="G603" s="16"/>
      <c r="H603" s="16">
        <v>18</v>
      </c>
      <c r="I603" s="14">
        <v>25</v>
      </c>
      <c r="J603" s="123">
        <f>VLOOKUP(E603,'C'!P:Q,2,FALSE)</f>
        <v>27</v>
      </c>
    </row>
    <row r="604" spans="1:10" x14ac:dyDescent="0.35">
      <c r="A604" s="218" t="s">
        <v>73</v>
      </c>
      <c r="B604" s="3" t="s">
        <v>77</v>
      </c>
      <c r="C604" s="1" t="s">
        <v>75</v>
      </c>
      <c r="D604" s="1">
        <v>5</v>
      </c>
      <c r="E604" s="1" t="s">
        <v>298</v>
      </c>
      <c r="F604" s="14"/>
      <c r="G604" s="14"/>
      <c r="H604" s="109"/>
      <c r="I604" s="14"/>
      <c r="J604" s="123">
        <f>VLOOKUP(E604,'C'!P:Q,2,FALSE)</f>
        <v>27</v>
      </c>
    </row>
    <row r="605" spans="1:10" x14ac:dyDescent="0.35">
      <c r="A605" s="218" t="s">
        <v>73</v>
      </c>
      <c r="B605" s="3" t="s">
        <v>78</v>
      </c>
      <c r="C605" s="1" t="s">
        <v>75</v>
      </c>
      <c r="D605" s="1">
        <v>5</v>
      </c>
      <c r="E605" s="1" t="s">
        <v>298</v>
      </c>
      <c r="F605" s="14"/>
      <c r="G605" s="14"/>
      <c r="H605" s="109"/>
      <c r="I605" s="14"/>
      <c r="J605" s="123">
        <f>VLOOKUP(E605,'C'!P:Q,2,FALSE)</f>
        <v>27</v>
      </c>
    </row>
    <row r="606" spans="1:10" x14ac:dyDescent="0.35">
      <c r="A606" s="218" t="s">
        <v>73</v>
      </c>
      <c r="B606" s="3" t="s">
        <v>79</v>
      </c>
      <c r="C606" s="1" t="s">
        <v>75</v>
      </c>
      <c r="D606" s="1">
        <v>5</v>
      </c>
      <c r="E606" s="1" t="s">
        <v>298</v>
      </c>
      <c r="F606" s="16"/>
      <c r="G606" s="16"/>
      <c r="H606" s="109"/>
      <c r="I606" s="14"/>
      <c r="J606" s="123">
        <f>VLOOKUP(E606,'C'!P:Q,2,FALSE)</f>
        <v>27</v>
      </c>
    </row>
    <row r="607" spans="1:10" x14ac:dyDescent="0.35">
      <c r="A607" s="218" t="s">
        <v>73</v>
      </c>
      <c r="B607" s="3" t="s">
        <v>80</v>
      </c>
      <c r="C607" s="1" t="s">
        <v>75</v>
      </c>
      <c r="D607" s="1">
        <v>5</v>
      </c>
      <c r="E607" s="1" t="s">
        <v>298</v>
      </c>
      <c r="F607" s="27"/>
      <c r="G607" s="27"/>
      <c r="H607" s="109"/>
      <c r="I607" s="14"/>
      <c r="J607" s="123">
        <f>VLOOKUP(E607,'C'!P:Q,2,FALSE)</f>
        <v>27</v>
      </c>
    </row>
    <row r="608" spans="1:10" hidden="1" x14ac:dyDescent="0.35">
      <c r="A608" s="218" t="s">
        <v>81</v>
      </c>
      <c r="B608" s="3" t="s">
        <v>76</v>
      </c>
      <c r="C608" s="91" t="s">
        <v>75</v>
      </c>
      <c r="D608" s="91">
        <v>5</v>
      </c>
      <c r="E608" s="1" t="s">
        <v>298</v>
      </c>
      <c r="F608" s="16"/>
      <c r="G608" s="16"/>
      <c r="H608" s="109"/>
      <c r="I608" s="14"/>
      <c r="J608" s="123">
        <f>VLOOKUP(E608,'C'!P:Q,2,FALSE)</f>
        <v>27</v>
      </c>
    </row>
    <row r="609" spans="1:10" hidden="1" x14ac:dyDescent="0.35">
      <c r="A609" s="218" t="s">
        <v>81</v>
      </c>
      <c r="B609" s="3" t="s">
        <v>74</v>
      </c>
      <c r="C609" s="1" t="s">
        <v>75</v>
      </c>
      <c r="D609" s="1">
        <v>5</v>
      </c>
      <c r="E609" s="1" t="s">
        <v>298</v>
      </c>
      <c r="F609" s="16"/>
      <c r="G609" s="16"/>
      <c r="H609" s="109"/>
      <c r="I609" s="14"/>
      <c r="J609" s="123">
        <f>VLOOKUP(E609,'C'!P:Q,2,FALSE)</f>
        <v>27</v>
      </c>
    </row>
    <row r="610" spans="1:10" hidden="1" x14ac:dyDescent="0.35">
      <c r="A610" s="218" t="s">
        <v>81</v>
      </c>
      <c r="B610" s="3" t="s">
        <v>78</v>
      </c>
      <c r="C610" s="1" t="s">
        <v>75</v>
      </c>
      <c r="D610" s="1">
        <v>5</v>
      </c>
      <c r="E610" s="1" t="s">
        <v>298</v>
      </c>
      <c r="F610" s="16"/>
      <c r="G610" s="16"/>
      <c r="H610" s="109"/>
      <c r="I610" s="14"/>
      <c r="J610" s="123">
        <f>VLOOKUP(E610,'C'!P:Q,2,FALSE)</f>
        <v>27</v>
      </c>
    </row>
    <row r="611" spans="1:10" hidden="1" x14ac:dyDescent="0.35">
      <c r="A611" s="218" t="s">
        <v>81</v>
      </c>
      <c r="B611" s="3" t="s">
        <v>77</v>
      </c>
      <c r="C611" s="1" t="s">
        <v>75</v>
      </c>
      <c r="D611" s="1">
        <v>5</v>
      </c>
      <c r="E611" s="1" t="s">
        <v>298</v>
      </c>
      <c r="F611" s="16"/>
      <c r="G611" s="16"/>
      <c r="H611" s="109"/>
      <c r="I611" s="14"/>
      <c r="J611" s="123">
        <f>VLOOKUP(E611,'C'!P:Q,2,FALSE)</f>
        <v>27</v>
      </c>
    </row>
    <row r="612" spans="1:10" hidden="1" x14ac:dyDescent="0.35">
      <c r="A612" s="218" t="s">
        <v>81</v>
      </c>
      <c r="B612" s="3" t="s">
        <v>79</v>
      </c>
      <c r="C612" s="1" t="s">
        <v>75</v>
      </c>
      <c r="D612" s="1">
        <v>5</v>
      </c>
      <c r="E612" s="1" t="s">
        <v>298</v>
      </c>
      <c r="F612" s="16"/>
      <c r="G612" s="16"/>
      <c r="H612" s="109"/>
      <c r="I612" s="14"/>
      <c r="J612" s="123">
        <f>VLOOKUP(E612,'C'!P:Q,2,FALSE)</f>
        <v>27</v>
      </c>
    </row>
    <row r="613" spans="1:10" hidden="1" x14ac:dyDescent="0.35">
      <c r="A613" s="218" t="s">
        <v>81</v>
      </c>
      <c r="B613" s="3" t="s">
        <v>80</v>
      </c>
      <c r="C613" s="1" t="s">
        <v>75</v>
      </c>
      <c r="D613" s="1">
        <v>5</v>
      </c>
      <c r="E613" s="1" t="s">
        <v>298</v>
      </c>
      <c r="F613" s="27"/>
      <c r="G613" s="27"/>
      <c r="H613" s="109"/>
      <c r="I613" s="14"/>
      <c r="J613" s="123">
        <f>VLOOKUP(E613,'C'!P:Q,2,FALSE)</f>
        <v>27</v>
      </c>
    </row>
    <row r="614" spans="1:10" hidden="1" x14ac:dyDescent="0.35">
      <c r="A614" s="202" t="s">
        <v>82</v>
      </c>
      <c r="B614" s="15" t="s">
        <v>74</v>
      </c>
      <c r="C614" s="91" t="s">
        <v>75</v>
      </c>
      <c r="D614" s="91">
        <v>5</v>
      </c>
      <c r="E614" s="1" t="s">
        <v>298</v>
      </c>
      <c r="F614" s="14"/>
      <c r="G614" s="14"/>
      <c r="H614" s="109"/>
      <c r="I614" s="14"/>
      <c r="J614" s="123">
        <f>VLOOKUP(E614,'C'!P:Q,2,FALSE)</f>
        <v>27</v>
      </c>
    </row>
    <row r="615" spans="1:10" hidden="1" x14ac:dyDescent="0.35">
      <c r="A615" s="202" t="s">
        <v>82</v>
      </c>
      <c r="B615" s="15" t="s">
        <v>76</v>
      </c>
      <c r="C615" s="1" t="s">
        <v>75</v>
      </c>
      <c r="D615" s="1">
        <v>5</v>
      </c>
      <c r="E615" s="1" t="s">
        <v>298</v>
      </c>
      <c r="F615" s="14"/>
      <c r="G615" s="14"/>
      <c r="H615" s="109"/>
      <c r="I615" s="14"/>
      <c r="J615" s="123">
        <f>VLOOKUP(E615,'C'!P:Q,2,FALSE)</f>
        <v>27</v>
      </c>
    </row>
    <row r="616" spans="1:10" hidden="1" x14ac:dyDescent="0.35">
      <c r="A616" s="202" t="s">
        <v>82</v>
      </c>
      <c r="B616" s="15" t="s">
        <v>77</v>
      </c>
      <c r="C616" s="1" t="s">
        <v>75</v>
      </c>
      <c r="D616" s="1">
        <v>5</v>
      </c>
      <c r="E616" s="1" t="s">
        <v>298</v>
      </c>
      <c r="F616" s="14"/>
      <c r="G616" s="14"/>
      <c r="H616" s="109"/>
      <c r="I616" s="14"/>
      <c r="J616" s="123">
        <f>VLOOKUP(E616,'C'!P:Q,2,FALSE)</f>
        <v>27</v>
      </c>
    </row>
    <row r="617" spans="1:10" hidden="1" x14ac:dyDescent="0.35">
      <c r="A617" s="202" t="s">
        <v>82</v>
      </c>
      <c r="B617" s="15" t="s">
        <v>78</v>
      </c>
      <c r="C617" s="1" t="s">
        <v>75</v>
      </c>
      <c r="D617" s="1">
        <v>5</v>
      </c>
      <c r="E617" s="1" t="s">
        <v>298</v>
      </c>
      <c r="F617" s="14"/>
      <c r="G617" s="14"/>
      <c r="H617" s="109"/>
      <c r="I617" s="14"/>
      <c r="J617" s="123">
        <f>VLOOKUP(E617,'C'!P:Q,2,FALSE)</f>
        <v>27</v>
      </c>
    </row>
    <row r="618" spans="1:10" hidden="1" x14ac:dyDescent="0.35">
      <c r="A618" s="202" t="s">
        <v>82</v>
      </c>
      <c r="B618" s="15" t="s">
        <v>79</v>
      </c>
      <c r="C618" s="1" t="s">
        <v>75</v>
      </c>
      <c r="D618" s="1">
        <v>5</v>
      </c>
      <c r="E618" s="1" t="s">
        <v>298</v>
      </c>
      <c r="F618" s="14"/>
      <c r="G618" s="14"/>
      <c r="H618" s="109"/>
      <c r="I618" s="14"/>
      <c r="J618" s="123">
        <f>VLOOKUP(E618,'C'!P:Q,2,FALSE)</f>
        <v>27</v>
      </c>
    </row>
    <row r="619" spans="1:10" hidden="1" x14ac:dyDescent="0.35">
      <c r="A619" s="202" t="s">
        <v>82</v>
      </c>
      <c r="B619" s="15" t="s">
        <v>80</v>
      </c>
      <c r="C619" s="1" t="s">
        <v>75</v>
      </c>
      <c r="D619" s="1">
        <v>5</v>
      </c>
      <c r="E619" s="1" t="s">
        <v>298</v>
      </c>
      <c r="F619" s="14"/>
      <c r="G619" s="14"/>
      <c r="H619" s="109"/>
      <c r="I619" s="14"/>
      <c r="J619" s="123">
        <f>VLOOKUP(E619,'C'!P:Q,2,FALSE)</f>
        <v>27</v>
      </c>
    </row>
    <row r="620" spans="1:10" hidden="1" x14ac:dyDescent="0.35">
      <c r="A620" s="202" t="s">
        <v>83</v>
      </c>
      <c r="B620" s="15" t="s">
        <v>74</v>
      </c>
      <c r="C620" s="91" t="s">
        <v>75</v>
      </c>
      <c r="D620" s="91" t="s">
        <v>84</v>
      </c>
      <c r="E620" s="1" t="s">
        <v>298</v>
      </c>
      <c r="F620" s="14"/>
      <c r="G620" s="14"/>
      <c r="H620" s="14">
        <v>40</v>
      </c>
      <c r="I620" s="14">
        <v>60</v>
      </c>
      <c r="J620" s="123">
        <f>VLOOKUP(E620,'C'!P:Q,2,FALSE)</f>
        <v>27</v>
      </c>
    </row>
    <row r="621" spans="1:10" hidden="1" x14ac:dyDescent="0.35">
      <c r="A621" s="202" t="s">
        <v>83</v>
      </c>
      <c r="B621" s="15" t="s">
        <v>76</v>
      </c>
      <c r="C621" s="1" t="s">
        <v>75</v>
      </c>
      <c r="D621" s="1" t="s">
        <v>84</v>
      </c>
      <c r="E621" s="1" t="s">
        <v>298</v>
      </c>
      <c r="F621" s="14"/>
      <c r="G621" s="14"/>
      <c r="H621" s="14">
        <v>40</v>
      </c>
      <c r="I621" s="14">
        <v>60</v>
      </c>
      <c r="J621" s="123">
        <f>VLOOKUP(E621,'C'!P:Q,2,FALSE)</f>
        <v>27</v>
      </c>
    </row>
    <row r="622" spans="1:10" hidden="1" x14ac:dyDescent="0.35">
      <c r="A622" s="202" t="s">
        <v>83</v>
      </c>
      <c r="B622" s="15" t="s">
        <v>77</v>
      </c>
      <c r="C622" s="1" t="s">
        <v>75</v>
      </c>
      <c r="D622" s="1" t="s">
        <v>84</v>
      </c>
      <c r="E622" s="1" t="s">
        <v>298</v>
      </c>
      <c r="F622" s="14"/>
      <c r="G622" s="14"/>
      <c r="H622" s="109"/>
      <c r="I622" s="14"/>
      <c r="J622" s="123">
        <f>VLOOKUP(E622,'C'!P:Q,2,FALSE)</f>
        <v>27</v>
      </c>
    </row>
    <row r="623" spans="1:10" hidden="1" x14ac:dyDescent="0.35">
      <c r="A623" s="202" t="s">
        <v>83</v>
      </c>
      <c r="B623" s="15" t="s">
        <v>78</v>
      </c>
      <c r="C623" s="1" t="s">
        <v>75</v>
      </c>
      <c r="D623" s="1" t="s">
        <v>84</v>
      </c>
      <c r="E623" s="1" t="s">
        <v>298</v>
      </c>
      <c r="F623" s="14"/>
      <c r="G623" s="14"/>
      <c r="H623" s="109"/>
      <c r="I623" s="14"/>
      <c r="J623" s="123">
        <f>VLOOKUP(E623,'C'!P:Q,2,FALSE)</f>
        <v>27</v>
      </c>
    </row>
    <row r="624" spans="1:10" hidden="1" x14ac:dyDescent="0.35">
      <c r="A624" s="202" t="s">
        <v>83</v>
      </c>
      <c r="B624" s="15" t="s">
        <v>79</v>
      </c>
      <c r="C624" s="1" t="s">
        <v>75</v>
      </c>
      <c r="D624" s="1" t="s">
        <v>84</v>
      </c>
      <c r="E624" s="1" t="s">
        <v>298</v>
      </c>
      <c r="F624" s="14"/>
      <c r="G624" s="14"/>
      <c r="H624" s="109"/>
      <c r="I624" s="14"/>
      <c r="J624" s="123">
        <f>VLOOKUP(E624,'C'!P:Q,2,FALSE)</f>
        <v>27</v>
      </c>
    </row>
    <row r="625" spans="1:10" hidden="1" x14ac:dyDescent="0.35">
      <c r="A625" s="202" t="s">
        <v>83</v>
      </c>
      <c r="B625" s="15" t="s">
        <v>80</v>
      </c>
      <c r="C625" s="1" t="s">
        <v>75</v>
      </c>
      <c r="D625" s="1" t="s">
        <v>84</v>
      </c>
      <c r="E625" s="1" t="s">
        <v>298</v>
      </c>
      <c r="F625" s="14"/>
      <c r="G625" s="14"/>
      <c r="H625" s="109"/>
      <c r="I625" s="14"/>
      <c r="J625" s="123">
        <f>VLOOKUP(E625,'C'!P:Q,2,FALSE)</f>
        <v>27</v>
      </c>
    </row>
    <row r="626" spans="1:10" x14ac:dyDescent="0.35">
      <c r="A626" s="218" t="s">
        <v>73</v>
      </c>
      <c r="B626" s="3" t="s">
        <v>74</v>
      </c>
      <c r="C626" s="1" t="s">
        <v>75</v>
      </c>
      <c r="D626" s="1">
        <v>5</v>
      </c>
      <c r="E626" s="1" t="s">
        <v>311</v>
      </c>
      <c r="F626" s="16"/>
      <c r="G626" s="16"/>
      <c r="H626" s="14"/>
      <c r="I626" s="14"/>
      <c r="J626" s="123">
        <f>VLOOKUP(E626,'C'!P:Q,2,FALSE)</f>
        <v>28</v>
      </c>
    </row>
    <row r="627" spans="1:10" x14ac:dyDescent="0.35">
      <c r="A627" s="218" t="s">
        <v>73</v>
      </c>
      <c r="B627" s="3" t="s">
        <v>76</v>
      </c>
      <c r="C627" s="1" t="s">
        <v>75</v>
      </c>
      <c r="D627" s="1">
        <v>5</v>
      </c>
      <c r="E627" s="1" t="s">
        <v>311</v>
      </c>
      <c r="F627" s="16"/>
      <c r="G627" s="16"/>
      <c r="H627" s="14"/>
      <c r="I627" s="14"/>
      <c r="J627" s="123">
        <f>VLOOKUP(E627,'C'!P:Q,2,FALSE)</f>
        <v>28</v>
      </c>
    </row>
    <row r="628" spans="1:10" x14ac:dyDescent="0.35">
      <c r="A628" s="218" t="s">
        <v>73</v>
      </c>
      <c r="B628" s="3" t="s">
        <v>77</v>
      </c>
      <c r="C628" s="1" t="s">
        <v>75</v>
      </c>
      <c r="D628" s="1">
        <v>5</v>
      </c>
      <c r="E628" s="1" t="s">
        <v>311</v>
      </c>
      <c r="F628" s="16"/>
      <c r="G628" s="16"/>
      <c r="H628" s="14"/>
      <c r="I628" s="14"/>
      <c r="J628" s="123">
        <f>VLOOKUP(E628,'C'!P:Q,2,FALSE)</f>
        <v>28</v>
      </c>
    </row>
    <row r="629" spans="1:10" x14ac:dyDescent="0.35">
      <c r="A629" s="218" t="s">
        <v>73</v>
      </c>
      <c r="B629" s="3" t="s">
        <v>78</v>
      </c>
      <c r="C629" s="1" t="s">
        <v>75</v>
      </c>
      <c r="D629" s="1">
        <v>5</v>
      </c>
      <c r="E629" s="1" t="s">
        <v>311</v>
      </c>
      <c r="F629" s="16"/>
      <c r="G629" s="16"/>
      <c r="H629" s="14"/>
      <c r="I629" s="14"/>
      <c r="J629" s="123">
        <f>VLOOKUP(E629,'C'!P:Q,2,FALSE)</f>
        <v>28</v>
      </c>
    </row>
    <row r="630" spans="1:10" x14ac:dyDescent="0.35">
      <c r="A630" s="218" t="s">
        <v>73</v>
      </c>
      <c r="B630" s="3" t="s">
        <v>79</v>
      </c>
      <c r="C630" s="1" t="s">
        <v>75</v>
      </c>
      <c r="D630" s="1">
        <v>5</v>
      </c>
      <c r="E630" s="1" t="s">
        <v>311</v>
      </c>
      <c r="F630" s="16"/>
      <c r="G630" s="16"/>
      <c r="H630" s="14"/>
      <c r="I630" s="14"/>
      <c r="J630" s="123">
        <f>VLOOKUP(E630,'C'!P:Q,2,FALSE)</f>
        <v>28</v>
      </c>
    </row>
    <row r="631" spans="1:10" x14ac:dyDescent="0.35">
      <c r="A631" s="218" t="s">
        <v>73</v>
      </c>
      <c r="B631" s="3" t="s">
        <v>80</v>
      </c>
      <c r="C631" s="1" t="s">
        <v>75</v>
      </c>
      <c r="D631" s="1">
        <v>5</v>
      </c>
      <c r="E631" s="1" t="s">
        <v>311</v>
      </c>
      <c r="F631" s="27"/>
      <c r="G631" s="27"/>
      <c r="H631" s="14"/>
      <c r="I631" s="14"/>
      <c r="J631" s="123">
        <f>VLOOKUP(E631,'C'!P:Q,2,FALSE)</f>
        <v>28</v>
      </c>
    </row>
    <row r="632" spans="1:10" hidden="1" x14ac:dyDescent="0.35">
      <c r="A632" s="218" t="s">
        <v>81</v>
      </c>
      <c r="B632" s="3" t="s">
        <v>76</v>
      </c>
      <c r="C632" s="91" t="s">
        <v>75</v>
      </c>
      <c r="D632" s="91">
        <v>5</v>
      </c>
      <c r="E632" s="1" t="s">
        <v>311</v>
      </c>
      <c r="F632" s="16"/>
      <c r="G632" s="16"/>
      <c r="H632" s="14"/>
      <c r="I632" s="14"/>
      <c r="J632" s="123">
        <f>VLOOKUP(E632,'C'!P:Q,2,FALSE)</f>
        <v>28</v>
      </c>
    </row>
    <row r="633" spans="1:10" hidden="1" x14ac:dyDescent="0.35">
      <c r="A633" s="218" t="s">
        <v>81</v>
      </c>
      <c r="B633" s="3" t="s">
        <v>74</v>
      </c>
      <c r="C633" s="1" t="s">
        <v>75</v>
      </c>
      <c r="D633" s="1">
        <v>5</v>
      </c>
      <c r="E633" s="1" t="s">
        <v>311</v>
      </c>
      <c r="F633" s="16"/>
      <c r="G633" s="16"/>
      <c r="H633" s="14"/>
      <c r="I633" s="14"/>
      <c r="J633" s="123">
        <f>VLOOKUP(E633,'C'!P:Q,2,FALSE)</f>
        <v>28</v>
      </c>
    </row>
    <row r="634" spans="1:10" hidden="1" x14ac:dyDescent="0.35">
      <c r="A634" s="218" t="s">
        <v>81</v>
      </c>
      <c r="B634" s="3" t="s">
        <v>78</v>
      </c>
      <c r="C634" s="1" t="s">
        <v>75</v>
      </c>
      <c r="D634" s="1">
        <v>5</v>
      </c>
      <c r="E634" s="1" t="s">
        <v>311</v>
      </c>
      <c r="F634" s="16"/>
      <c r="G634" s="16"/>
      <c r="H634" s="14"/>
      <c r="I634" s="14"/>
      <c r="J634" s="123">
        <f>VLOOKUP(E634,'C'!P:Q,2,FALSE)</f>
        <v>28</v>
      </c>
    </row>
    <row r="635" spans="1:10" hidden="1" x14ac:dyDescent="0.35">
      <c r="A635" s="218" t="s">
        <v>81</v>
      </c>
      <c r="B635" s="3" t="s">
        <v>77</v>
      </c>
      <c r="C635" s="1" t="s">
        <v>75</v>
      </c>
      <c r="D635" s="1">
        <v>5</v>
      </c>
      <c r="E635" s="1" t="s">
        <v>311</v>
      </c>
      <c r="F635" s="16"/>
      <c r="G635" s="16"/>
      <c r="H635" s="14"/>
      <c r="I635" s="14"/>
      <c r="J635" s="123">
        <f>VLOOKUP(E635,'C'!P:Q,2,FALSE)</f>
        <v>28</v>
      </c>
    </row>
    <row r="636" spans="1:10" hidden="1" x14ac:dyDescent="0.35">
      <c r="A636" s="218" t="s">
        <v>81</v>
      </c>
      <c r="B636" s="3" t="s">
        <v>79</v>
      </c>
      <c r="C636" s="1" t="s">
        <v>75</v>
      </c>
      <c r="D636" s="1">
        <v>5</v>
      </c>
      <c r="E636" s="1" t="s">
        <v>311</v>
      </c>
      <c r="F636" s="16"/>
      <c r="G636" s="16"/>
      <c r="H636" s="14"/>
      <c r="I636" s="14"/>
      <c r="J636" s="123">
        <f>VLOOKUP(E636,'C'!P:Q,2,FALSE)</f>
        <v>28</v>
      </c>
    </row>
    <row r="637" spans="1:10" hidden="1" x14ac:dyDescent="0.35">
      <c r="A637" s="218" t="s">
        <v>81</v>
      </c>
      <c r="B637" s="3" t="s">
        <v>80</v>
      </c>
      <c r="C637" s="1" t="s">
        <v>75</v>
      </c>
      <c r="D637" s="1">
        <v>5</v>
      </c>
      <c r="E637" s="1" t="s">
        <v>311</v>
      </c>
      <c r="F637" s="27"/>
      <c r="G637" s="27"/>
      <c r="H637" s="14"/>
      <c r="I637" s="14"/>
      <c r="J637" s="123">
        <f>VLOOKUP(E637,'C'!P:Q,2,FALSE)</f>
        <v>28</v>
      </c>
    </row>
    <row r="638" spans="1:10" hidden="1" x14ac:dyDescent="0.35">
      <c r="A638" s="202" t="s">
        <v>82</v>
      </c>
      <c r="B638" s="15" t="s">
        <v>74</v>
      </c>
      <c r="C638" s="91" t="s">
        <v>75</v>
      </c>
      <c r="D638" s="91">
        <v>5</v>
      </c>
      <c r="E638" s="1" t="s">
        <v>311</v>
      </c>
      <c r="F638" s="14"/>
      <c r="G638" s="14"/>
      <c r="H638" s="14"/>
      <c r="I638" s="14"/>
      <c r="J638" s="123">
        <f>VLOOKUP(E638,'C'!P:Q,2,FALSE)</f>
        <v>28</v>
      </c>
    </row>
    <row r="639" spans="1:10" hidden="1" x14ac:dyDescent="0.35">
      <c r="A639" s="202" t="s">
        <v>82</v>
      </c>
      <c r="B639" s="15" t="s">
        <v>76</v>
      </c>
      <c r="C639" s="1" t="s">
        <v>75</v>
      </c>
      <c r="D639" s="1">
        <v>5</v>
      </c>
      <c r="E639" s="1" t="s">
        <v>311</v>
      </c>
      <c r="F639" s="14"/>
      <c r="G639" s="14"/>
      <c r="H639" s="14"/>
      <c r="I639" s="14"/>
      <c r="J639" s="123">
        <f>VLOOKUP(E639,'C'!P:Q,2,FALSE)</f>
        <v>28</v>
      </c>
    </row>
    <row r="640" spans="1:10" hidden="1" x14ac:dyDescent="0.35">
      <c r="A640" s="202" t="s">
        <v>82</v>
      </c>
      <c r="B640" s="15" t="s">
        <v>77</v>
      </c>
      <c r="C640" s="1" t="s">
        <v>75</v>
      </c>
      <c r="D640" s="1">
        <v>5</v>
      </c>
      <c r="E640" s="1" t="s">
        <v>311</v>
      </c>
      <c r="F640" s="14"/>
      <c r="G640" s="14"/>
      <c r="H640" s="14"/>
      <c r="I640" s="14"/>
      <c r="J640" s="123">
        <f>VLOOKUP(E640,'C'!P:Q,2,FALSE)</f>
        <v>28</v>
      </c>
    </row>
    <row r="641" spans="1:10" hidden="1" x14ac:dyDescent="0.35">
      <c r="A641" s="202" t="s">
        <v>82</v>
      </c>
      <c r="B641" s="15" t="s">
        <v>78</v>
      </c>
      <c r="C641" s="1" t="s">
        <v>75</v>
      </c>
      <c r="D641" s="1">
        <v>5</v>
      </c>
      <c r="E641" s="1" t="s">
        <v>311</v>
      </c>
      <c r="F641" s="14"/>
      <c r="G641" s="14"/>
      <c r="H641" s="14"/>
      <c r="I641" s="14"/>
      <c r="J641" s="123">
        <f>VLOOKUP(E641,'C'!P:Q,2,FALSE)</f>
        <v>28</v>
      </c>
    </row>
    <row r="642" spans="1:10" hidden="1" x14ac:dyDescent="0.35">
      <c r="A642" s="202" t="s">
        <v>82</v>
      </c>
      <c r="B642" s="15" t="s">
        <v>79</v>
      </c>
      <c r="C642" s="1" t="s">
        <v>75</v>
      </c>
      <c r="D642" s="1">
        <v>5</v>
      </c>
      <c r="E642" s="1" t="s">
        <v>311</v>
      </c>
      <c r="F642" s="14"/>
      <c r="G642" s="14"/>
      <c r="H642" s="14"/>
      <c r="I642" s="14"/>
      <c r="J642" s="123">
        <f>VLOOKUP(E642,'C'!P:Q,2,FALSE)</f>
        <v>28</v>
      </c>
    </row>
    <row r="643" spans="1:10" hidden="1" x14ac:dyDescent="0.35">
      <c r="A643" s="202" t="s">
        <v>82</v>
      </c>
      <c r="B643" s="15" t="s">
        <v>80</v>
      </c>
      <c r="C643" s="1" t="s">
        <v>75</v>
      </c>
      <c r="D643" s="1">
        <v>5</v>
      </c>
      <c r="E643" s="1" t="s">
        <v>311</v>
      </c>
      <c r="F643" s="14"/>
      <c r="G643" s="14"/>
      <c r="H643" s="14"/>
      <c r="I643" s="14"/>
      <c r="J643" s="123">
        <f>VLOOKUP(E643,'C'!P:Q,2,FALSE)</f>
        <v>28</v>
      </c>
    </row>
    <row r="644" spans="1:10" hidden="1" x14ac:dyDescent="0.35">
      <c r="A644" s="202" t="s">
        <v>83</v>
      </c>
      <c r="B644" s="15" t="s">
        <v>74</v>
      </c>
      <c r="C644" s="91" t="s">
        <v>75</v>
      </c>
      <c r="D644" s="91" t="s">
        <v>84</v>
      </c>
      <c r="E644" s="1" t="s">
        <v>311</v>
      </c>
      <c r="F644" s="14"/>
      <c r="G644" s="14"/>
      <c r="H644" s="14"/>
      <c r="I644" s="14"/>
      <c r="J644" s="123">
        <f>VLOOKUP(E644,'C'!P:Q,2,FALSE)</f>
        <v>28</v>
      </c>
    </row>
    <row r="645" spans="1:10" hidden="1" x14ac:dyDescent="0.35">
      <c r="A645" s="202" t="s">
        <v>83</v>
      </c>
      <c r="B645" s="15" t="s">
        <v>76</v>
      </c>
      <c r="C645" s="1" t="s">
        <v>75</v>
      </c>
      <c r="D645" s="1" t="s">
        <v>84</v>
      </c>
      <c r="E645" s="1" t="s">
        <v>311</v>
      </c>
      <c r="F645" s="14"/>
      <c r="G645" s="14"/>
      <c r="H645" s="14"/>
      <c r="I645" s="14"/>
      <c r="J645" s="123">
        <f>VLOOKUP(E645,'C'!P:Q,2,FALSE)</f>
        <v>28</v>
      </c>
    </row>
    <row r="646" spans="1:10" hidden="1" x14ac:dyDescent="0.35">
      <c r="A646" s="202" t="s">
        <v>83</v>
      </c>
      <c r="B646" s="15" t="s">
        <v>77</v>
      </c>
      <c r="C646" s="1" t="s">
        <v>75</v>
      </c>
      <c r="D646" s="1" t="s">
        <v>84</v>
      </c>
      <c r="E646" s="1" t="s">
        <v>311</v>
      </c>
      <c r="F646" s="14"/>
      <c r="G646" s="14"/>
      <c r="H646" s="14"/>
      <c r="I646" s="14"/>
      <c r="J646" s="123">
        <f>VLOOKUP(E646,'C'!P:Q,2,FALSE)</f>
        <v>28</v>
      </c>
    </row>
    <row r="647" spans="1:10" hidden="1" x14ac:dyDescent="0.35">
      <c r="A647" s="202" t="s">
        <v>83</v>
      </c>
      <c r="B647" s="15" t="s">
        <v>78</v>
      </c>
      <c r="C647" s="1" t="s">
        <v>75</v>
      </c>
      <c r="D647" s="1" t="s">
        <v>84</v>
      </c>
      <c r="E647" s="1" t="s">
        <v>311</v>
      </c>
      <c r="F647" s="14"/>
      <c r="G647" s="14"/>
      <c r="H647" s="14"/>
      <c r="I647" s="14"/>
      <c r="J647" s="123">
        <f>VLOOKUP(E647,'C'!P:Q,2,FALSE)</f>
        <v>28</v>
      </c>
    </row>
    <row r="648" spans="1:10" hidden="1" x14ac:dyDescent="0.35">
      <c r="A648" s="202" t="s">
        <v>83</v>
      </c>
      <c r="B648" s="15" t="s">
        <v>79</v>
      </c>
      <c r="C648" s="1" t="s">
        <v>75</v>
      </c>
      <c r="D648" s="1" t="s">
        <v>84</v>
      </c>
      <c r="E648" s="1" t="s">
        <v>311</v>
      </c>
      <c r="F648" s="14"/>
      <c r="G648" s="14"/>
      <c r="H648" s="14"/>
      <c r="I648" s="14"/>
      <c r="J648" s="123">
        <f>VLOOKUP(E648,'C'!P:Q,2,FALSE)</f>
        <v>28</v>
      </c>
    </row>
    <row r="649" spans="1:10" hidden="1" x14ac:dyDescent="0.35">
      <c r="A649" s="202" t="s">
        <v>83</v>
      </c>
      <c r="B649" s="15" t="s">
        <v>80</v>
      </c>
      <c r="C649" s="1" t="s">
        <v>75</v>
      </c>
      <c r="D649" s="1" t="s">
        <v>84</v>
      </c>
      <c r="E649" s="1" t="s">
        <v>311</v>
      </c>
      <c r="F649" s="14"/>
      <c r="G649" s="14"/>
      <c r="H649" s="14"/>
      <c r="I649" s="14"/>
      <c r="J649" s="123">
        <f>VLOOKUP(E649,'C'!P:Q,2,FALSE)</f>
        <v>28</v>
      </c>
    </row>
    <row r="650" spans="1:10" x14ac:dyDescent="0.35">
      <c r="A650" s="218" t="s">
        <v>73</v>
      </c>
      <c r="B650" s="3" t="s">
        <v>74</v>
      </c>
      <c r="C650" s="1" t="s">
        <v>75</v>
      </c>
      <c r="D650" s="1">
        <v>5</v>
      </c>
      <c r="E650" s="1" t="s">
        <v>301</v>
      </c>
      <c r="F650" s="16"/>
      <c r="G650" s="16"/>
      <c r="H650" s="109"/>
      <c r="I650" s="14"/>
      <c r="J650" s="123">
        <f>VLOOKUP(E650,'C'!P:Q,2,FALSE)</f>
        <v>29</v>
      </c>
    </row>
    <row r="651" spans="1:10" x14ac:dyDescent="0.35">
      <c r="A651" s="218" t="s">
        <v>73</v>
      </c>
      <c r="B651" s="3" t="s">
        <v>76</v>
      </c>
      <c r="C651" s="1" t="s">
        <v>75</v>
      </c>
      <c r="D651" s="1">
        <v>5</v>
      </c>
      <c r="E651" s="1" t="s">
        <v>301</v>
      </c>
      <c r="F651" s="16"/>
      <c r="G651" s="16"/>
      <c r="H651" s="109"/>
      <c r="I651" s="14"/>
      <c r="J651" s="123">
        <f>VLOOKUP(E651,'C'!P:Q,2,FALSE)</f>
        <v>29</v>
      </c>
    </row>
    <row r="652" spans="1:10" x14ac:dyDescent="0.35">
      <c r="A652" s="218" t="s">
        <v>73</v>
      </c>
      <c r="B652" s="3" t="s">
        <v>77</v>
      </c>
      <c r="C652" s="1" t="s">
        <v>75</v>
      </c>
      <c r="D652" s="1">
        <v>5</v>
      </c>
      <c r="E652" s="1" t="s">
        <v>301</v>
      </c>
      <c r="F652" s="16"/>
      <c r="G652" s="16"/>
      <c r="H652" s="109"/>
      <c r="I652" s="14"/>
      <c r="J652" s="123">
        <f>VLOOKUP(E652,'C'!P:Q,2,FALSE)</f>
        <v>29</v>
      </c>
    </row>
    <row r="653" spans="1:10" x14ac:dyDescent="0.35">
      <c r="A653" s="218" t="s">
        <v>73</v>
      </c>
      <c r="B653" s="3" t="s">
        <v>78</v>
      </c>
      <c r="C653" s="1" t="s">
        <v>75</v>
      </c>
      <c r="D653" s="1">
        <v>5</v>
      </c>
      <c r="E653" s="1" t="s">
        <v>301</v>
      </c>
      <c r="F653" s="16"/>
      <c r="G653" s="16"/>
      <c r="H653" s="109"/>
      <c r="I653" s="14"/>
      <c r="J653" s="123">
        <f>VLOOKUP(E653,'C'!P:Q,2,FALSE)</f>
        <v>29</v>
      </c>
    </row>
    <row r="654" spans="1:10" x14ac:dyDescent="0.35">
      <c r="A654" s="218" t="s">
        <v>73</v>
      </c>
      <c r="B654" s="3" t="s">
        <v>79</v>
      </c>
      <c r="C654" s="1" t="s">
        <v>75</v>
      </c>
      <c r="D654" s="1">
        <v>5</v>
      </c>
      <c r="E654" s="1" t="s">
        <v>301</v>
      </c>
      <c r="F654" s="16"/>
      <c r="G654" s="16"/>
      <c r="H654" s="109"/>
      <c r="I654" s="14"/>
      <c r="J654" s="123">
        <f>VLOOKUP(E654,'C'!P:Q,2,FALSE)</f>
        <v>29</v>
      </c>
    </row>
    <row r="655" spans="1:10" x14ac:dyDescent="0.35">
      <c r="A655" s="218" t="s">
        <v>73</v>
      </c>
      <c r="B655" s="3" t="s">
        <v>80</v>
      </c>
      <c r="C655" s="1" t="s">
        <v>75</v>
      </c>
      <c r="D655" s="1">
        <v>5</v>
      </c>
      <c r="E655" s="1" t="s">
        <v>301</v>
      </c>
      <c r="F655" s="27"/>
      <c r="G655" s="27"/>
      <c r="H655" s="109"/>
      <c r="I655" s="14"/>
      <c r="J655" s="123">
        <f>VLOOKUP(E655,'C'!P:Q,2,FALSE)</f>
        <v>29</v>
      </c>
    </row>
    <row r="656" spans="1:10" hidden="1" x14ac:dyDescent="0.35">
      <c r="A656" s="218" t="s">
        <v>81</v>
      </c>
      <c r="B656" s="3" t="s">
        <v>76</v>
      </c>
      <c r="C656" s="91" t="s">
        <v>75</v>
      </c>
      <c r="D656" s="91">
        <v>5</v>
      </c>
      <c r="E656" s="1" t="s">
        <v>301</v>
      </c>
      <c r="F656" s="16"/>
      <c r="G656" s="16"/>
      <c r="H656" s="109"/>
      <c r="I656" s="14"/>
      <c r="J656" s="123">
        <f>VLOOKUP(E656,'C'!P:Q,2,FALSE)</f>
        <v>29</v>
      </c>
    </row>
    <row r="657" spans="1:10" hidden="1" x14ac:dyDescent="0.35">
      <c r="A657" s="218" t="s">
        <v>81</v>
      </c>
      <c r="B657" s="3" t="s">
        <v>74</v>
      </c>
      <c r="C657" s="1" t="s">
        <v>75</v>
      </c>
      <c r="D657" s="1">
        <v>5</v>
      </c>
      <c r="E657" s="1" t="s">
        <v>301</v>
      </c>
      <c r="F657" s="16"/>
      <c r="G657" s="16"/>
      <c r="H657" s="109"/>
      <c r="I657" s="14"/>
      <c r="J657" s="123">
        <f>VLOOKUP(E657,'C'!P:Q,2,FALSE)</f>
        <v>29</v>
      </c>
    </row>
    <row r="658" spans="1:10" hidden="1" x14ac:dyDescent="0.35">
      <c r="A658" s="218" t="s">
        <v>81</v>
      </c>
      <c r="B658" s="3" t="s">
        <v>78</v>
      </c>
      <c r="C658" s="1" t="s">
        <v>75</v>
      </c>
      <c r="D658" s="1">
        <v>5</v>
      </c>
      <c r="E658" s="1" t="s">
        <v>301</v>
      </c>
      <c r="F658" s="16"/>
      <c r="G658" s="16"/>
      <c r="H658" s="109"/>
      <c r="I658" s="14"/>
      <c r="J658" s="123">
        <f>VLOOKUP(E658,'C'!P:Q,2,FALSE)</f>
        <v>29</v>
      </c>
    </row>
    <row r="659" spans="1:10" hidden="1" x14ac:dyDescent="0.35">
      <c r="A659" s="218" t="s">
        <v>81</v>
      </c>
      <c r="B659" s="3" t="s">
        <v>77</v>
      </c>
      <c r="C659" s="1" t="s">
        <v>75</v>
      </c>
      <c r="D659" s="1">
        <v>5</v>
      </c>
      <c r="E659" s="1" t="s">
        <v>301</v>
      </c>
      <c r="F659" s="16"/>
      <c r="G659" s="16"/>
      <c r="H659" s="109"/>
      <c r="I659" s="14"/>
      <c r="J659" s="123">
        <f>VLOOKUP(E659,'C'!P:Q,2,FALSE)</f>
        <v>29</v>
      </c>
    </row>
    <row r="660" spans="1:10" hidden="1" x14ac:dyDescent="0.35">
      <c r="A660" s="218" t="s">
        <v>81</v>
      </c>
      <c r="B660" s="3" t="s">
        <v>79</v>
      </c>
      <c r="C660" s="1" t="s">
        <v>75</v>
      </c>
      <c r="D660" s="1">
        <v>5</v>
      </c>
      <c r="E660" s="1" t="s">
        <v>301</v>
      </c>
      <c r="F660" s="16"/>
      <c r="G660" s="16"/>
      <c r="H660" s="109"/>
      <c r="I660" s="14"/>
      <c r="J660" s="123">
        <f>VLOOKUP(E660,'C'!P:Q,2,FALSE)</f>
        <v>29</v>
      </c>
    </row>
    <row r="661" spans="1:10" hidden="1" x14ac:dyDescent="0.35">
      <c r="A661" s="218" t="s">
        <v>81</v>
      </c>
      <c r="B661" s="3" t="s">
        <v>80</v>
      </c>
      <c r="C661" s="1" t="s">
        <v>75</v>
      </c>
      <c r="D661" s="1">
        <v>5</v>
      </c>
      <c r="E661" s="1" t="s">
        <v>301</v>
      </c>
      <c r="F661" s="27"/>
      <c r="G661" s="27"/>
      <c r="H661" s="109"/>
      <c r="I661" s="14"/>
      <c r="J661" s="123">
        <f>VLOOKUP(E661,'C'!P:Q,2,FALSE)</f>
        <v>29</v>
      </c>
    </row>
    <row r="662" spans="1:10" hidden="1" x14ac:dyDescent="0.35">
      <c r="A662" s="202" t="s">
        <v>82</v>
      </c>
      <c r="B662" s="15" t="s">
        <v>74</v>
      </c>
      <c r="C662" s="91" t="s">
        <v>75</v>
      </c>
      <c r="D662" s="91">
        <v>5</v>
      </c>
      <c r="E662" s="1" t="s">
        <v>301</v>
      </c>
      <c r="F662" s="14"/>
      <c r="G662" s="14"/>
      <c r="H662" s="109"/>
      <c r="I662" s="14"/>
      <c r="J662" s="123">
        <f>VLOOKUP(E662,'C'!P:Q,2,FALSE)</f>
        <v>29</v>
      </c>
    </row>
    <row r="663" spans="1:10" hidden="1" x14ac:dyDescent="0.35">
      <c r="A663" s="202" t="s">
        <v>82</v>
      </c>
      <c r="B663" s="15" t="s">
        <v>76</v>
      </c>
      <c r="C663" s="1" t="s">
        <v>75</v>
      </c>
      <c r="D663" s="1">
        <v>5</v>
      </c>
      <c r="E663" s="1" t="s">
        <v>301</v>
      </c>
      <c r="F663" s="14"/>
      <c r="G663" s="14"/>
      <c r="H663" s="109"/>
      <c r="I663" s="14"/>
      <c r="J663" s="123">
        <f>VLOOKUP(E663,'C'!P:Q,2,FALSE)</f>
        <v>29</v>
      </c>
    </row>
    <row r="664" spans="1:10" hidden="1" x14ac:dyDescent="0.35">
      <c r="A664" s="202" t="s">
        <v>82</v>
      </c>
      <c r="B664" s="15" t="s">
        <v>77</v>
      </c>
      <c r="C664" s="1" t="s">
        <v>75</v>
      </c>
      <c r="D664" s="1">
        <v>5</v>
      </c>
      <c r="E664" s="1" t="s">
        <v>301</v>
      </c>
      <c r="F664" s="14"/>
      <c r="G664" s="14"/>
      <c r="H664" s="109"/>
      <c r="I664" s="14"/>
      <c r="J664" s="123">
        <f>VLOOKUP(E664,'C'!P:Q,2,FALSE)</f>
        <v>29</v>
      </c>
    </row>
    <row r="665" spans="1:10" hidden="1" x14ac:dyDescent="0.35">
      <c r="A665" s="202" t="s">
        <v>82</v>
      </c>
      <c r="B665" s="15" t="s">
        <v>78</v>
      </c>
      <c r="C665" s="1" t="s">
        <v>75</v>
      </c>
      <c r="D665" s="1">
        <v>5</v>
      </c>
      <c r="E665" s="1" t="s">
        <v>301</v>
      </c>
      <c r="F665" s="14"/>
      <c r="G665" s="14"/>
      <c r="H665" s="109"/>
      <c r="I665" s="14"/>
      <c r="J665" s="123">
        <f>VLOOKUP(E665,'C'!P:Q,2,FALSE)</f>
        <v>29</v>
      </c>
    </row>
    <row r="666" spans="1:10" hidden="1" x14ac:dyDescent="0.35">
      <c r="A666" s="202" t="s">
        <v>82</v>
      </c>
      <c r="B666" s="15" t="s">
        <v>79</v>
      </c>
      <c r="C666" s="1" t="s">
        <v>75</v>
      </c>
      <c r="D666" s="1">
        <v>5</v>
      </c>
      <c r="E666" s="1" t="s">
        <v>301</v>
      </c>
      <c r="F666" s="14"/>
      <c r="G666" s="14"/>
      <c r="H666" s="109"/>
      <c r="I666" s="14"/>
      <c r="J666" s="123">
        <f>VLOOKUP(E666,'C'!P:Q,2,FALSE)</f>
        <v>29</v>
      </c>
    </row>
    <row r="667" spans="1:10" hidden="1" x14ac:dyDescent="0.35">
      <c r="A667" s="202" t="s">
        <v>82</v>
      </c>
      <c r="B667" s="15" t="s">
        <v>80</v>
      </c>
      <c r="C667" s="1" t="s">
        <v>75</v>
      </c>
      <c r="D667" s="1">
        <v>5</v>
      </c>
      <c r="E667" s="1" t="s">
        <v>301</v>
      </c>
      <c r="F667" s="14"/>
      <c r="G667" s="14"/>
      <c r="H667" s="109"/>
      <c r="I667" s="14"/>
      <c r="J667" s="123">
        <f>VLOOKUP(E667,'C'!P:Q,2,FALSE)</f>
        <v>29</v>
      </c>
    </row>
    <row r="668" spans="1:10" hidden="1" x14ac:dyDescent="0.35">
      <c r="A668" s="202" t="s">
        <v>83</v>
      </c>
      <c r="B668" s="15" t="s">
        <v>74</v>
      </c>
      <c r="C668" s="91" t="s">
        <v>75</v>
      </c>
      <c r="D668" s="91" t="s">
        <v>84</v>
      </c>
      <c r="E668" s="1" t="s">
        <v>301</v>
      </c>
      <c r="F668" s="14"/>
      <c r="G668" s="14"/>
      <c r="H668" s="109"/>
      <c r="I668" s="14"/>
      <c r="J668" s="123">
        <f>VLOOKUP(E668,'C'!P:Q,2,FALSE)</f>
        <v>29</v>
      </c>
    </row>
    <row r="669" spans="1:10" hidden="1" x14ac:dyDescent="0.35">
      <c r="A669" s="202" t="s">
        <v>83</v>
      </c>
      <c r="B669" s="15" t="s">
        <v>76</v>
      </c>
      <c r="C669" s="1" t="s">
        <v>75</v>
      </c>
      <c r="D669" s="1" t="s">
        <v>84</v>
      </c>
      <c r="E669" s="1" t="s">
        <v>301</v>
      </c>
      <c r="F669" s="14"/>
      <c r="G669" s="14"/>
      <c r="H669" s="109"/>
      <c r="I669" s="14"/>
      <c r="J669" s="123">
        <f>VLOOKUP(E669,'C'!P:Q,2,FALSE)</f>
        <v>29</v>
      </c>
    </row>
    <row r="670" spans="1:10" hidden="1" x14ac:dyDescent="0.35">
      <c r="A670" s="202" t="s">
        <v>83</v>
      </c>
      <c r="B670" s="15" t="s">
        <v>77</v>
      </c>
      <c r="C670" s="1" t="s">
        <v>75</v>
      </c>
      <c r="D670" s="1" t="s">
        <v>84</v>
      </c>
      <c r="E670" s="1" t="s">
        <v>301</v>
      </c>
      <c r="F670" s="14"/>
      <c r="G670" s="14"/>
      <c r="H670" s="109"/>
      <c r="I670" s="14"/>
      <c r="J670" s="123">
        <f>VLOOKUP(E670,'C'!P:Q,2,FALSE)</f>
        <v>29</v>
      </c>
    </row>
    <row r="671" spans="1:10" hidden="1" x14ac:dyDescent="0.35">
      <c r="A671" s="202" t="s">
        <v>83</v>
      </c>
      <c r="B671" s="15" t="s">
        <v>78</v>
      </c>
      <c r="C671" s="1" t="s">
        <v>75</v>
      </c>
      <c r="D671" s="1" t="s">
        <v>84</v>
      </c>
      <c r="E671" s="1" t="s">
        <v>301</v>
      </c>
      <c r="F671" s="14"/>
      <c r="G671" s="14"/>
      <c r="H671" s="109"/>
      <c r="I671" s="14"/>
      <c r="J671" s="123">
        <f>VLOOKUP(E671,'C'!P:Q,2,FALSE)</f>
        <v>29</v>
      </c>
    </row>
    <row r="672" spans="1:10" hidden="1" x14ac:dyDescent="0.35">
      <c r="A672" s="202" t="s">
        <v>83</v>
      </c>
      <c r="B672" s="15" t="s">
        <v>79</v>
      </c>
      <c r="C672" s="1" t="s">
        <v>75</v>
      </c>
      <c r="D672" s="1" t="s">
        <v>84</v>
      </c>
      <c r="E672" s="1" t="s">
        <v>301</v>
      </c>
      <c r="F672" s="14"/>
      <c r="G672" s="14"/>
      <c r="H672" s="109"/>
      <c r="I672" s="14"/>
      <c r="J672" s="123">
        <f>VLOOKUP(E672,'C'!P:Q,2,FALSE)</f>
        <v>29</v>
      </c>
    </row>
    <row r="673" spans="1:10" hidden="1" x14ac:dyDescent="0.35">
      <c r="A673" s="202" t="s">
        <v>83</v>
      </c>
      <c r="B673" s="15" t="s">
        <v>80</v>
      </c>
      <c r="C673" s="1" t="s">
        <v>75</v>
      </c>
      <c r="D673" s="1" t="s">
        <v>84</v>
      </c>
      <c r="E673" s="1" t="s">
        <v>301</v>
      </c>
      <c r="F673" s="14"/>
      <c r="G673" s="14"/>
      <c r="H673" s="109"/>
      <c r="I673" s="14"/>
      <c r="J673" s="123">
        <f>VLOOKUP(E673,'C'!P:Q,2,FALSE)</f>
        <v>29</v>
      </c>
    </row>
    <row r="674" spans="1:10" x14ac:dyDescent="0.35">
      <c r="A674" s="218" t="s">
        <v>73</v>
      </c>
      <c r="B674" s="3" t="s">
        <v>74</v>
      </c>
      <c r="C674" s="1" t="s">
        <v>75</v>
      </c>
      <c r="D674" s="1">
        <v>5</v>
      </c>
      <c r="E674" s="1" t="s">
        <v>317</v>
      </c>
      <c r="F674" s="1"/>
      <c r="G674" s="1"/>
      <c r="H674" s="1"/>
      <c r="I674" s="1"/>
      <c r="J674" s="123">
        <f>VLOOKUP(E674,'C'!P:Q,2,FALSE)</f>
        <v>30</v>
      </c>
    </row>
    <row r="675" spans="1:10" x14ac:dyDescent="0.35">
      <c r="A675" s="218" t="s">
        <v>73</v>
      </c>
      <c r="B675" s="3" t="s">
        <v>76</v>
      </c>
      <c r="C675" s="1" t="s">
        <v>75</v>
      </c>
      <c r="D675" s="1">
        <v>5</v>
      </c>
      <c r="E675" s="1" t="s">
        <v>317</v>
      </c>
      <c r="F675" s="1"/>
      <c r="G675" s="1"/>
      <c r="H675" s="1"/>
      <c r="I675" s="1"/>
      <c r="J675" s="123">
        <f>VLOOKUP(E675,'C'!P:Q,2,FALSE)</f>
        <v>30</v>
      </c>
    </row>
    <row r="676" spans="1:10" x14ac:dyDescent="0.35">
      <c r="A676" s="218" t="s">
        <v>73</v>
      </c>
      <c r="B676" s="3" t="s">
        <v>77</v>
      </c>
      <c r="C676" s="1" t="s">
        <v>75</v>
      </c>
      <c r="D676" s="1">
        <v>5</v>
      </c>
      <c r="E676" s="1" t="s">
        <v>317</v>
      </c>
      <c r="F676" s="1"/>
      <c r="G676" s="1"/>
      <c r="H676" s="1"/>
      <c r="I676" s="1"/>
      <c r="J676" s="123">
        <f>VLOOKUP(E676,'C'!P:Q,2,FALSE)</f>
        <v>30</v>
      </c>
    </row>
    <row r="677" spans="1:10" x14ac:dyDescent="0.35">
      <c r="A677" s="218" t="s">
        <v>73</v>
      </c>
      <c r="B677" s="3" t="s">
        <v>78</v>
      </c>
      <c r="C677" s="1" t="s">
        <v>75</v>
      </c>
      <c r="D677" s="1">
        <v>5</v>
      </c>
      <c r="E677" s="1" t="s">
        <v>317</v>
      </c>
      <c r="F677" s="1"/>
      <c r="G677" s="1"/>
      <c r="H677" s="1"/>
      <c r="I677" s="1"/>
      <c r="J677" s="123">
        <f>VLOOKUP(E677,'C'!P:Q,2,FALSE)</f>
        <v>30</v>
      </c>
    </row>
    <row r="678" spans="1:10" x14ac:dyDescent="0.35">
      <c r="A678" s="218" t="s">
        <v>73</v>
      </c>
      <c r="B678" s="3" t="s">
        <v>79</v>
      </c>
      <c r="C678" s="1" t="s">
        <v>75</v>
      </c>
      <c r="D678" s="1">
        <v>5</v>
      </c>
      <c r="E678" s="1" t="s">
        <v>317</v>
      </c>
      <c r="F678" s="1"/>
      <c r="G678" s="1"/>
      <c r="H678" s="1"/>
      <c r="I678" s="1"/>
      <c r="J678" s="123">
        <f>VLOOKUP(E678,'C'!P:Q,2,FALSE)</f>
        <v>30</v>
      </c>
    </row>
    <row r="679" spans="1:10" x14ac:dyDescent="0.35">
      <c r="A679" s="218" t="s">
        <v>73</v>
      </c>
      <c r="B679" s="3" t="s">
        <v>80</v>
      </c>
      <c r="C679" s="1" t="s">
        <v>75</v>
      </c>
      <c r="D679" s="1">
        <v>5</v>
      </c>
      <c r="E679" s="1" t="s">
        <v>317</v>
      </c>
      <c r="F679" s="1"/>
      <c r="G679" s="1"/>
      <c r="H679" s="1"/>
      <c r="I679" s="1"/>
      <c r="J679" s="123">
        <f>VLOOKUP(E679,'C'!P:Q,2,FALSE)</f>
        <v>30</v>
      </c>
    </row>
    <row r="680" spans="1:10" hidden="1" x14ac:dyDescent="0.35">
      <c r="A680" s="218" t="s">
        <v>81</v>
      </c>
      <c r="B680" s="3" t="s">
        <v>76</v>
      </c>
      <c r="C680" s="91" t="s">
        <v>75</v>
      </c>
      <c r="D680" s="91">
        <v>5</v>
      </c>
      <c r="E680" s="1" t="s">
        <v>317</v>
      </c>
      <c r="F680" s="1"/>
      <c r="G680" s="1"/>
      <c r="H680" s="1"/>
      <c r="I680" s="1"/>
      <c r="J680" s="123">
        <f>VLOOKUP(E680,'C'!P:Q,2,FALSE)</f>
        <v>30</v>
      </c>
    </row>
    <row r="681" spans="1:10" hidden="1" x14ac:dyDescent="0.35">
      <c r="A681" s="218" t="s">
        <v>81</v>
      </c>
      <c r="B681" s="3" t="s">
        <v>74</v>
      </c>
      <c r="C681" s="1" t="s">
        <v>75</v>
      </c>
      <c r="D681" s="1">
        <v>5</v>
      </c>
      <c r="E681" s="1" t="s">
        <v>317</v>
      </c>
      <c r="F681" s="1"/>
      <c r="G681" s="1"/>
      <c r="H681" s="1"/>
      <c r="I681" s="1"/>
      <c r="J681" s="123">
        <f>VLOOKUP(E681,'C'!P:Q,2,FALSE)</f>
        <v>30</v>
      </c>
    </row>
    <row r="682" spans="1:10" hidden="1" x14ac:dyDescent="0.35">
      <c r="A682" s="218" t="s">
        <v>81</v>
      </c>
      <c r="B682" s="3" t="s">
        <v>78</v>
      </c>
      <c r="C682" s="1" t="s">
        <v>75</v>
      </c>
      <c r="D682" s="1">
        <v>5</v>
      </c>
      <c r="E682" s="1" t="s">
        <v>317</v>
      </c>
      <c r="F682" s="1"/>
      <c r="G682" s="1"/>
      <c r="H682" s="1"/>
      <c r="I682" s="1"/>
      <c r="J682" s="123">
        <f>VLOOKUP(E682,'C'!P:Q,2,FALSE)</f>
        <v>30</v>
      </c>
    </row>
    <row r="683" spans="1:10" hidden="1" x14ac:dyDescent="0.35">
      <c r="A683" s="218" t="s">
        <v>81</v>
      </c>
      <c r="B683" s="3" t="s">
        <v>77</v>
      </c>
      <c r="C683" s="1" t="s">
        <v>75</v>
      </c>
      <c r="D683" s="1">
        <v>5</v>
      </c>
      <c r="E683" s="1" t="s">
        <v>317</v>
      </c>
      <c r="F683" s="1"/>
      <c r="G683" s="1"/>
      <c r="H683" s="1"/>
      <c r="I683" s="1"/>
      <c r="J683" s="123">
        <f>VLOOKUP(E683,'C'!P:Q,2,FALSE)</f>
        <v>30</v>
      </c>
    </row>
    <row r="684" spans="1:10" hidden="1" x14ac:dyDescent="0.35">
      <c r="A684" s="218" t="s">
        <v>81</v>
      </c>
      <c r="B684" s="3" t="s">
        <v>79</v>
      </c>
      <c r="C684" s="1" t="s">
        <v>75</v>
      </c>
      <c r="D684" s="1">
        <v>5</v>
      </c>
      <c r="E684" s="1" t="s">
        <v>317</v>
      </c>
      <c r="F684" s="1"/>
      <c r="G684" s="1"/>
      <c r="H684" s="1"/>
      <c r="I684" s="1"/>
      <c r="J684" s="123">
        <f>VLOOKUP(E684,'C'!P:Q,2,FALSE)</f>
        <v>30</v>
      </c>
    </row>
    <row r="685" spans="1:10" hidden="1" x14ac:dyDescent="0.35">
      <c r="A685" s="218" t="s">
        <v>81</v>
      </c>
      <c r="B685" s="3" t="s">
        <v>80</v>
      </c>
      <c r="C685" s="1" t="s">
        <v>75</v>
      </c>
      <c r="D685" s="1">
        <v>5</v>
      </c>
      <c r="E685" s="1" t="s">
        <v>317</v>
      </c>
      <c r="F685" s="1"/>
      <c r="G685" s="1"/>
      <c r="H685" s="1"/>
      <c r="I685" s="1"/>
      <c r="J685" s="123">
        <f>VLOOKUP(E685,'C'!P:Q,2,FALSE)</f>
        <v>30</v>
      </c>
    </row>
    <row r="686" spans="1:10" hidden="1" x14ac:dyDescent="0.35">
      <c r="A686" s="202" t="s">
        <v>82</v>
      </c>
      <c r="B686" s="15" t="s">
        <v>74</v>
      </c>
      <c r="C686" s="91" t="s">
        <v>75</v>
      </c>
      <c r="D686" s="91">
        <v>5</v>
      </c>
      <c r="E686" s="1" t="s">
        <v>317</v>
      </c>
      <c r="F686" s="1"/>
      <c r="G686" s="1"/>
      <c r="H686" s="1"/>
      <c r="I686" s="1"/>
      <c r="J686" s="123">
        <f>VLOOKUP(E686,'C'!P:Q,2,FALSE)</f>
        <v>30</v>
      </c>
    </row>
    <row r="687" spans="1:10" hidden="1" x14ac:dyDescent="0.35">
      <c r="A687" s="202" t="s">
        <v>82</v>
      </c>
      <c r="B687" s="15" t="s">
        <v>76</v>
      </c>
      <c r="C687" s="1" t="s">
        <v>75</v>
      </c>
      <c r="D687" s="1">
        <v>5</v>
      </c>
      <c r="E687" s="1" t="s">
        <v>317</v>
      </c>
      <c r="F687" s="1"/>
      <c r="G687" s="1"/>
      <c r="H687" s="1"/>
      <c r="I687" s="1"/>
      <c r="J687" s="123">
        <f>VLOOKUP(E687,'C'!P:Q,2,FALSE)</f>
        <v>30</v>
      </c>
    </row>
    <row r="688" spans="1:10" hidden="1" x14ac:dyDescent="0.35">
      <c r="A688" s="202" t="s">
        <v>82</v>
      </c>
      <c r="B688" s="15" t="s">
        <v>77</v>
      </c>
      <c r="C688" s="1" t="s">
        <v>75</v>
      </c>
      <c r="D688" s="1">
        <v>5</v>
      </c>
      <c r="E688" s="1" t="s">
        <v>317</v>
      </c>
      <c r="F688" s="1"/>
      <c r="G688" s="1"/>
      <c r="H688" s="1"/>
      <c r="I688" s="1"/>
      <c r="J688" s="123">
        <f>VLOOKUP(E688,'C'!P:Q,2,FALSE)</f>
        <v>30</v>
      </c>
    </row>
    <row r="689" spans="1:10" hidden="1" x14ac:dyDescent="0.35">
      <c r="A689" s="202" t="s">
        <v>82</v>
      </c>
      <c r="B689" s="15" t="s">
        <v>78</v>
      </c>
      <c r="C689" s="1" t="s">
        <v>75</v>
      </c>
      <c r="D689" s="1">
        <v>5</v>
      </c>
      <c r="E689" s="1" t="s">
        <v>317</v>
      </c>
      <c r="F689" s="1"/>
      <c r="G689" s="1"/>
      <c r="H689" s="1"/>
      <c r="I689" s="1"/>
      <c r="J689" s="123">
        <f>VLOOKUP(E689,'C'!P:Q,2,FALSE)</f>
        <v>30</v>
      </c>
    </row>
    <row r="690" spans="1:10" hidden="1" x14ac:dyDescent="0.35">
      <c r="A690" s="202" t="s">
        <v>82</v>
      </c>
      <c r="B690" s="15" t="s">
        <v>79</v>
      </c>
      <c r="C690" s="1" t="s">
        <v>75</v>
      </c>
      <c r="D690" s="1">
        <v>5</v>
      </c>
      <c r="E690" s="1" t="s">
        <v>317</v>
      </c>
      <c r="F690" s="1"/>
      <c r="G690" s="1"/>
      <c r="H690" s="1"/>
      <c r="I690" s="1"/>
      <c r="J690" s="123">
        <f>VLOOKUP(E690,'C'!P:Q,2,FALSE)</f>
        <v>30</v>
      </c>
    </row>
    <row r="691" spans="1:10" hidden="1" x14ac:dyDescent="0.35">
      <c r="A691" s="202" t="s">
        <v>82</v>
      </c>
      <c r="B691" s="15" t="s">
        <v>80</v>
      </c>
      <c r="C691" s="1" t="s">
        <v>75</v>
      </c>
      <c r="D691" s="1">
        <v>5</v>
      </c>
      <c r="E691" s="1" t="s">
        <v>317</v>
      </c>
      <c r="F691" s="1"/>
      <c r="G691" s="1"/>
      <c r="H691" s="1"/>
      <c r="I691" s="1"/>
      <c r="J691" s="123">
        <f>VLOOKUP(E691,'C'!P:Q,2,FALSE)</f>
        <v>30</v>
      </c>
    </row>
    <row r="692" spans="1:10" hidden="1" x14ac:dyDescent="0.35">
      <c r="A692" s="202" t="s">
        <v>83</v>
      </c>
      <c r="B692" s="15" t="s">
        <v>74</v>
      </c>
      <c r="C692" s="91" t="s">
        <v>75</v>
      </c>
      <c r="D692" s="91" t="s">
        <v>84</v>
      </c>
      <c r="E692" s="1" t="s">
        <v>317</v>
      </c>
      <c r="F692" s="1"/>
      <c r="G692" s="1"/>
      <c r="H692" s="1"/>
      <c r="I692" s="1"/>
      <c r="J692" s="123">
        <f>VLOOKUP(E692,'C'!P:Q,2,FALSE)</f>
        <v>30</v>
      </c>
    </row>
    <row r="693" spans="1:10" hidden="1" x14ac:dyDescent="0.35">
      <c r="A693" s="202" t="s">
        <v>83</v>
      </c>
      <c r="B693" s="15" t="s">
        <v>76</v>
      </c>
      <c r="C693" s="1" t="s">
        <v>75</v>
      </c>
      <c r="D693" s="1" t="s">
        <v>84</v>
      </c>
      <c r="E693" s="1" t="s">
        <v>317</v>
      </c>
      <c r="F693" s="1"/>
      <c r="G693" s="1"/>
      <c r="H693" s="1"/>
      <c r="I693" s="1"/>
      <c r="J693" s="123">
        <f>VLOOKUP(E693,'C'!P:Q,2,FALSE)</f>
        <v>30</v>
      </c>
    </row>
    <row r="694" spans="1:10" hidden="1" x14ac:dyDescent="0.35">
      <c r="A694" s="202" t="s">
        <v>83</v>
      </c>
      <c r="B694" s="15" t="s">
        <v>77</v>
      </c>
      <c r="C694" s="1" t="s">
        <v>75</v>
      </c>
      <c r="D694" s="1" t="s">
        <v>84</v>
      </c>
      <c r="E694" s="1" t="s">
        <v>317</v>
      </c>
      <c r="F694" s="1"/>
      <c r="G694" s="1"/>
      <c r="H694" s="1"/>
      <c r="I694" s="1"/>
      <c r="J694" s="123">
        <f>VLOOKUP(E694,'C'!P:Q,2,FALSE)</f>
        <v>30</v>
      </c>
    </row>
    <row r="695" spans="1:10" hidden="1" x14ac:dyDescent="0.35">
      <c r="A695" s="202" t="s">
        <v>83</v>
      </c>
      <c r="B695" s="15" t="s">
        <v>78</v>
      </c>
      <c r="C695" s="1" t="s">
        <v>75</v>
      </c>
      <c r="D695" s="1" t="s">
        <v>84</v>
      </c>
      <c r="E695" s="1" t="s">
        <v>317</v>
      </c>
      <c r="F695" s="1"/>
      <c r="G695" s="1"/>
      <c r="H695" s="1"/>
      <c r="I695" s="1"/>
      <c r="J695" s="123">
        <f>VLOOKUP(E695,'C'!P:Q,2,FALSE)</f>
        <v>30</v>
      </c>
    </row>
    <row r="696" spans="1:10" hidden="1" x14ac:dyDescent="0.35">
      <c r="A696" s="202" t="s">
        <v>83</v>
      </c>
      <c r="B696" s="15" t="s">
        <v>79</v>
      </c>
      <c r="C696" s="1" t="s">
        <v>75</v>
      </c>
      <c r="D696" s="1" t="s">
        <v>84</v>
      </c>
      <c r="E696" s="1" t="s">
        <v>317</v>
      </c>
      <c r="F696" s="1"/>
      <c r="G696" s="1"/>
      <c r="H696" s="1"/>
      <c r="I696" s="1"/>
      <c r="J696" s="123">
        <f>VLOOKUP(E696,'C'!P:Q,2,FALSE)</f>
        <v>30</v>
      </c>
    </row>
    <row r="697" spans="1:10" hidden="1" x14ac:dyDescent="0.35">
      <c r="A697" s="202" t="s">
        <v>83</v>
      </c>
      <c r="B697" s="15" t="s">
        <v>80</v>
      </c>
      <c r="C697" s="1" t="s">
        <v>75</v>
      </c>
      <c r="D697" s="1" t="s">
        <v>84</v>
      </c>
      <c r="E697" s="1" t="s">
        <v>317</v>
      </c>
      <c r="F697" s="1"/>
      <c r="G697" s="1"/>
      <c r="H697" s="1"/>
      <c r="I697" s="1"/>
      <c r="J697" s="123">
        <f>VLOOKUP(E697,'C'!P:Q,2,FALSE)</f>
        <v>30</v>
      </c>
    </row>
    <row r="698" spans="1:10" x14ac:dyDescent="0.35">
      <c r="A698" s="218" t="s">
        <v>73</v>
      </c>
      <c r="B698" s="3" t="s">
        <v>74</v>
      </c>
      <c r="C698" s="1" t="s">
        <v>75</v>
      </c>
      <c r="D698" s="1">
        <v>5</v>
      </c>
      <c r="E698" s="1" t="s">
        <v>304</v>
      </c>
      <c r="F698" s="16"/>
      <c r="G698" s="16"/>
      <c r="H698" s="14"/>
      <c r="I698" s="14"/>
      <c r="J698" s="123">
        <f>VLOOKUP(E698,'C'!P:Q,2,FALSE)</f>
        <v>31</v>
      </c>
    </row>
    <row r="699" spans="1:10" x14ac:dyDescent="0.35">
      <c r="A699" s="218" t="s">
        <v>73</v>
      </c>
      <c r="B699" s="3" t="s">
        <v>76</v>
      </c>
      <c r="C699" s="1" t="s">
        <v>75</v>
      </c>
      <c r="D699" s="1">
        <v>5</v>
      </c>
      <c r="E699" s="1" t="s">
        <v>304</v>
      </c>
      <c r="F699" s="16"/>
      <c r="G699" s="16"/>
      <c r="H699" s="14"/>
      <c r="I699" s="14"/>
      <c r="J699" s="123">
        <f>VLOOKUP(E699,'C'!P:Q,2,FALSE)</f>
        <v>31</v>
      </c>
    </row>
    <row r="700" spans="1:10" x14ac:dyDescent="0.35">
      <c r="A700" s="218" t="s">
        <v>73</v>
      </c>
      <c r="B700" s="3" t="s">
        <v>77</v>
      </c>
      <c r="C700" s="1" t="s">
        <v>75</v>
      </c>
      <c r="D700" s="1">
        <v>5</v>
      </c>
      <c r="E700" s="1" t="s">
        <v>304</v>
      </c>
      <c r="F700" s="16"/>
      <c r="G700" s="16"/>
      <c r="H700" s="14"/>
      <c r="I700" s="14"/>
      <c r="J700" s="123">
        <f>VLOOKUP(E700,'C'!P:Q,2,FALSE)</f>
        <v>31</v>
      </c>
    </row>
    <row r="701" spans="1:10" x14ac:dyDescent="0.35">
      <c r="A701" s="218" t="s">
        <v>73</v>
      </c>
      <c r="B701" s="3" t="s">
        <v>78</v>
      </c>
      <c r="C701" s="1" t="s">
        <v>75</v>
      </c>
      <c r="D701" s="1">
        <v>5</v>
      </c>
      <c r="E701" s="1" t="s">
        <v>304</v>
      </c>
      <c r="F701" s="16"/>
      <c r="G701" s="16"/>
      <c r="H701" s="14"/>
      <c r="I701" s="14"/>
      <c r="J701" s="123">
        <f>VLOOKUP(E701,'C'!P:Q,2,FALSE)</f>
        <v>31</v>
      </c>
    </row>
    <row r="702" spans="1:10" x14ac:dyDescent="0.35">
      <c r="A702" s="218" t="s">
        <v>73</v>
      </c>
      <c r="B702" s="3" t="s">
        <v>79</v>
      </c>
      <c r="C702" s="1" t="s">
        <v>75</v>
      </c>
      <c r="D702" s="1">
        <v>5</v>
      </c>
      <c r="E702" s="1" t="s">
        <v>304</v>
      </c>
      <c r="F702" s="16"/>
      <c r="G702" s="16"/>
      <c r="H702" s="14"/>
      <c r="I702" s="14"/>
      <c r="J702" s="123">
        <f>VLOOKUP(E702,'C'!P:Q,2,FALSE)</f>
        <v>31</v>
      </c>
    </row>
    <row r="703" spans="1:10" x14ac:dyDescent="0.35">
      <c r="A703" s="218" t="s">
        <v>73</v>
      </c>
      <c r="B703" s="3" t="s">
        <v>80</v>
      </c>
      <c r="C703" s="1" t="s">
        <v>75</v>
      </c>
      <c r="D703" s="1">
        <v>5</v>
      </c>
      <c r="E703" s="1" t="s">
        <v>304</v>
      </c>
      <c r="F703" s="27"/>
      <c r="G703" s="27"/>
      <c r="H703" s="14"/>
      <c r="I703" s="14"/>
      <c r="J703" s="123">
        <f>VLOOKUP(E703,'C'!P:Q,2,FALSE)</f>
        <v>31</v>
      </c>
    </row>
    <row r="704" spans="1:10" hidden="1" x14ac:dyDescent="0.35">
      <c r="A704" s="218" t="s">
        <v>81</v>
      </c>
      <c r="B704" s="3" t="s">
        <v>76</v>
      </c>
      <c r="C704" s="91" t="s">
        <v>75</v>
      </c>
      <c r="D704" s="91">
        <v>5</v>
      </c>
      <c r="E704" s="1" t="s">
        <v>304</v>
      </c>
      <c r="F704" s="16"/>
      <c r="G704" s="16"/>
      <c r="H704" s="14"/>
      <c r="I704" s="14"/>
      <c r="J704" s="123">
        <f>VLOOKUP(E704,'C'!P:Q,2,FALSE)</f>
        <v>31</v>
      </c>
    </row>
    <row r="705" spans="1:10" hidden="1" x14ac:dyDescent="0.35">
      <c r="A705" s="218" t="s">
        <v>81</v>
      </c>
      <c r="B705" s="3" t="s">
        <v>74</v>
      </c>
      <c r="C705" s="1" t="s">
        <v>75</v>
      </c>
      <c r="D705" s="1">
        <v>5</v>
      </c>
      <c r="E705" s="1" t="s">
        <v>304</v>
      </c>
      <c r="F705" s="16"/>
      <c r="G705" s="16"/>
      <c r="H705" s="14"/>
      <c r="I705" s="14"/>
      <c r="J705" s="123">
        <f>VLOOKUP(E705,'C'!P:Q,2,FALSE)</f>
        <v>31</v>
      </c>
    </row>
    <row r="706" spans="1:10" hidden="1" x14ac:dyDescent="0.35">
      <c r="A706" s="218" t="s">
        <v>81</v>
      </c>
      <c r="B706" s="3" t="s">
        <v>78</v>
      </c>
      <c r="C706" s="1" t="s">
        <v>75</v>
      </c>
      <c r="D706" s="1">
        <v>5</v>
      </c>
      <c r="E706" s="1" t="s">
        <v>304</v>
      </c>
      <c r="F706" s="16"/>
      <c r="G706" s="16"/>
      <c r="H706" s="14"/>
      <c r="I706" s="14"/>
      <c r="J706" s="123">
        <f>VLOOKUP(E706,'C'!P:Q,2,FALSE)</f>
        <v>31</v>
      </c>
    </row>
    <row r="707" spans="1:10" hidden="1" x14ac:dyDescent="0.35">
      <c r="A707" s="218" t="s">
        <v>81</v>
      </c>
      <c r="B707" s="3" t="s">
        <v>77</v>
      </c>
      <c r="C707" s="1" t="s">
        <v>75</v>
      </c>
      <c r="D707" s="1">
        <v>5</v>
      </c>
      <c r="E707" s="1" t="s">
        <v>304</v>
      </c>
      <c r="F707" s="16"/>
      <c r="G707" s="16"/>
      <c r="H707" s="14"/>
      <c r="I707" s="14"/>
      <c r="J707" s="123">
        <f>VLOOKUP(E707,'C'!P:Q,2,FALSE)</f>
        <v>31</v>
      </c>
    </row>
    <row r="708" spans="1:10" hidden="1" x14ac:dyDescent="0.35">
      <c r="A708" s="218" t="s">
        <v>81</v>
      </c>
      <c r="B708" s="3" t="s">
        <v>79</v>
      </c>
      <c r="C708" s="1" t="s">
        <v>75</v>
      </c>
      <c r="D708" s="1">
        <v>5</v>
      </c>
      <c r="E708" s="1" t="s">
        <v>304</v>
      </c>
      <c r="F708" s="16"/>
      <c r="G708" s="16"/>
      <c r="H708" s="14"/>
      <c r="I708" s="14"/>
      <c r="J708" s="123">
        <f>VLOOKUP(E708,'C'!P:Q,2,FALSE)</f>
        <v>31</v>
      </c>
    </row>
    <row r="709" spans="1:10" hidden="1" x14ac:dyDescent="0.35">
      <c r="A709" s="218" t="s">
        <v>81</v>
      </c>
      <c r="B709" s="3" t="s">
        <v>80</v>
      </c>
      <c r="C709" s="1" t="s">
        <v>75</v>
      </c>
      <c r="D709" s="1">
        <v>5</v>
      </c>
      <c r="E709" s="1" t="s">
        <v>304</v>
      </c>
      <c r="F709" s="27"/>
      <c r="G709" s="27"/>
      <c r="H709" s="14"/>
      <c r="I709" s="14"/>
      <c r="J709" s="123">
        <f>VLOOKUP(E709,'C'!P:Q,2,FALSE)</f>
        <v>31</v>
      </c>
    </row>
    <row r="710" spans="1:10" hidden="1" x14ac:dyDescent="0.35">
      <c r="A710" s="202" t="s">
        <v>82</v>
      </c>
      <c r="B710" s="15" t="s">
        <v>74</v>
      </c>
      <c r="C710" s="91" t="s">
        <v>75</v>
      </c>
      <c r="D710" s="91">
        <v>5</v>
      </c>
      <c r="E710" s="1" t="s">
        <v>304</v>
      </c>
      <c r="F710" s="14"/>
      <c r="G710" s="14"/>
      <c r="H710" s="14"/>
      <c r="I710" s="14"/>
      <c r="J710" s="123">
        <f>VLOOKUP(E710,'C'!P:Q,2,FALSE)</f>
        <v>31</v>
      </c>
    </row>
    <row r="711" spans="1:10" hidden="1" x14ac:dyDescent="0.35">
      <c r="A711" s="202" t="s">
        <v>82</v>
      </c>
      <c r="B711" s="15" t="s">
        <v>76</v>
      </c>
      <c r="C711" s="1" t="s">
        <v>75</v>
      </c>
      <c r="D711" s="1">
        <v>5</v>
      </c>
      <c r="E711" s="1" t="s">
        <v>304</v>
      </c>
      <c r="F711" s="14"/>
      <c r="G711" s="14"/>
      <c r="H711" s="14"/>
      <c r="I711" s="14"/>
      <c r="J711" s="123">
        <f>VLOOKUP(E711,'C'!P:Q,2,FALSE)</f>
        <v>31</v>
      </c>
    </row>
    <row r="712" spans="1:10" hidden="1" x14ac:dyDescent="0.35">
      <c r="A712" s="202" t="s">
        <v>82</v>
      </c>
      <c r="B712" s="15" t="s">
        <v>77</v>
      </c>
      <c r="C712" s="1" t="s">
        <v>75</v>
      </c>
      <c r="D712" s="1">
        <v>5</v>
      </c>
      <c r="E712" s="1" t="s">
        <v>304</v>
      </c>
      <c r="F712" s="14"/>
      <c r="G712" s="14"/>
      <c r="H712" s="14"/>
      <c r="I712" s="14"/>
      <c r="J712" s="123">
        <f>VLOOKUP(E712,'C'!P:Q,2,FALSE)</f>
        <v>31</v>
      </c>
    </row>
    <row r="713" spans="1:10" hidden="1" x14ac:dyDescent="0.35">
      <c r="A713" s="202" t="s">
        <v>82</v>
      </c>
      <c r="B713" s="15" t="s">
        <v>78</v>
      </c>
      <c r="C713" s="1" t="s">
        <v>75</v>
      </c>
      <c r="D713" s="1">
        <v>5</v>
      </c>
      <c r="E713" s="1" t="s">
        <v>304</v>
      </c>
      <c r="F713" s="14"/>
      <c r="G713" s="14"/>
      <c r="H713" s="14"/>
      <c r="I713" s="14"/>
      <c r="J713" s="123">
        <f>VLOOKUP(E713,'C'!P:Q,2,FALSE)</f>
        <v>31</v>
      </c>
    </row>
    <row r="714" spans="1:10" hidden="1" x14ac:dyDescent="0.35">
      <c r="A714" s="202" t="s">
        <v>82</v>
      </c>
      <c r="B714" s="15" t="s">
        <v>79</v>
      </c>
      <c r="C714" s="1" t="s">
        <v>75</v>
      </c>
      <c r="D714" s="1">
        <v>5</v>
      </c>
      <c r="E714" s="1" t="s">
        <v>304</v>
      </c>
      <c r="F714" s="14"/>
      <c r="G714" s="14"/>
      <c r="H714" s="14"/>
      <c r="I714" s="14"/>
      <c r="J714" s="123">
        <f>VLOOKUP(E714,'C'!P:Q,2,FALSE)</f>
        <v>31</v>
      </c>
    </row>
    <row r="715" spans="1:10" hidden="1" x14ac:dyDescent="0.35">
      <c r="A715" s="202" t="s">
        <v>82</v>
      </c>
      <c r="B715" s="15" t="s">
        <v>80</v>
      </c>
      <c r="C715" s="1" t="s">
        <v>75</v>
      </c>
      <c r="D715" s="1">
        <v>5</v>
      </c>
      <c r="E715" s="1" t="s">
        <v>304</v>
      </c>
      <c r="F715" s="14"/>
      <c r="G715" s="14"/>
      <c r="H715" s="14"/>
      <c r="I715" s="14"/>
      <c r="J715" s="123">
        <f>VLOOKUP(E715,'C'!P:Q,2,FALSE)</f>
        <v>31</v>
      </c>
    </row>
    <row r="716" spans="1:10" hidden="1" x14ac:dyDescent="0.35">
      <c r="A716" s="202" t="s">
        <v>83</v>
      </c>
      <c r="B716" s="15" t="s">
        <v>74</v>
      </c>
      <c r="C716" s="91" t="s">
        <v>75</v>
      </c>
      <c r="D716" s="91" t="s">
        <v>84</v>
      </c>
      <c r="E716" s="1" t="s">
        <v>304</v>
      </c>
      <c r="F716" s="14"/>
      <c r="G716" s="14"/>
      <c r="H716" s="14"/>
      <c r="I716" s="14"/>
      <c r="J716" s="123">
        <f>VLOOKUP(E716,'C'!P:Q,2,FALSE)</f>
        <v>31</v>
      </c>
    </row>
    <row r="717" spans="1:10" hidden="1" x14ac:dyDescent="0.35">
      <c r="A717" s="202" t="s">
        <v>83</v>
      </c>
      <c r="B717" s="15" t="s">
        <v>76</v>
      </c>
      <c r="C717" s="1" t="s">
        <v>75</v>
      </c>
      <c r="D717" s="1" t="s">
        <v>84</v>
      </c>
      <c r="E717" s="1" t="s">
        <v>304</v>
      </c>
      <c r="F717" s="14"/>
      <c r="G717" s="14"/>
      <c r="H717" s="14"/>
      <c r="I717" s="14"/>
      <c r="J717" s="123">
        <f>VLOOKUP(E717,'C'!P:Q,2,FALSE)</f>
        <v>31</v>
      </c>
    </row>
    <row r="718" spans="1:10" hidden="1" x14ac:dyDescent="0.35">
      <c r="A718" s="202" t="s">
        <v>83</v>
      </c>
      <c r="B718" s="15" t="s">
        <v>77</v>
      </c>
      <c r="C718" s="1" t="s">
        <v>75</v>
      </c>
      <c r="D718" s="1" t="s">
        <v>84</v>
      </c>
      <c r="E718" s="1" t="s">
        <v>304</v>
      </c>
      <c r="F718" s="14"/>
      <c r="G718" s="14"/>
      <c r="H718" s="14"/>
      <c r="I718" s="14"/>
      <c r="J718" s="123">
        <f>VLOOKUP(E718,'C'!P:Q,2,FALSE)</f>
        <v>31</v>
      </c>
    </row>
    <row r="719" spans="1:10" hidden="1" x14ac:dyDescent="0.35">
      <c r="A719" s="202" t="s">
        <v>83</v>
      </c>
      <c r="B719" s="15" t="s">
        <v>78</v>
      </c>
      <c r="C719" s="1" t="s">
        <v>75</v>
      </c>
      <c r="D719" s="1" t="s">
        <v>84</v>
      </c>
      <c r="E719" s="1" t="s">
        <v>304</v>
      </c>
      <c r="F719" s="14"/>
      <c r="G719" s="14"/>
      <c r="H719" s="14"/>
      <c r="I719" s="14"/>
      <c r="J719" s="123">
        <f>VLOOKUP(E719,'C'!P:Q,2,FALSE)</f>
        <v>31</v>
      </c>
    </row>
    <row r="720" spans="1:10" hidden="1" x14ac:dyDescent="0.35">
      <c r="A720" s="202" t="s">
        <v>83</v>
      </c>
      <c r="B720" s="15" t="s">
        <v>79</v>
      </c>
      <c r="C720" s="1" t="s">
        <v>75</v>
      </c>
      <c r="D720" s="1" t="s">
        <v>84</v>
      </c>
      <c r="E720" s="1" t="s">
        <v>304</v>
      </c>
      <c r="F720" s="14"/>
      <c r="G720" s="14"/>
      <c r="H720" s="14"/>
      <c r="I720" s="14"/>
      <c r="J720" s="123">
        <f>VLOOKUP(E720,'C'!P:Q,2,FALSE)</f>
        <v>31</v>
      </c>
    </row>
    <row r="721" spans="1:10" hidden="1" x14ac:dyDescent="0.35">
      <c r="A721" s="202" t="s">
        <v>83</v>
      </c>
      <c r="B721" s="15" t="s">
        <v>80</v>
      </c>
      <c r="C721" s="1" t="s">
        <v>75</v>
      </c>
      <c r="D721" s="1" t="s">
        <v>84</v>
      </c>
      <c r="E721" s="1" t="s">
        <v>304</v>
      </c>
      <c r="F721" s="14"/>
      <c r="G721" s="14"/>
      <c r="H721" s="14"/>
      <c r="I721" s="14"/>
      <c r="J721" s="123">
        <f>VLOOKUP(E721,'C'!P:Q,2,FALSE)</f>
        <v>31</v>
      </c>
    </row>
    <row r="722" spans="1:10" x14ac:dyDescent="0.35">
      <c r="A722" s="218" t="s">
        <v>73</v>
      </c>
      <c r="B722" s="3" t="s">
        <v>74</v>
      </c>
      <c r="C722" s="1" t="s">
        <v>75</v>
      </c>
      <c r="D722" s="1">
        <v>5</v>
      </c>
      <c r="E722" s="1" t="s">
        <v>318</v>
      </c>
      <c r="F722" s="1"/>
      <c r="G722" s="1"/>
      <c r="H722" s="1"/>
      <c r="I722" s="1"/>
      <c r="J722" s="123">
        <f>VLOOKUP(E722,'C'!P:Q,2,FALSE)</f>
        <v>32</v>
      </c>
    </row>
    <row r="723" spans="1:10" x14ac:dyDescent="0.35">
      <c r="A723" s="218" t="s">
        <v>73</v>
      </c>
      <c r="B723" s="3" t="s">
        <v>76</v>
      </c>
      <c r="C723" s="1" t="s">
        <v>75</v>
      </c>
      <c r="D723" s="1">
        <v>5</v>
      </c>
      <c r="E723" s="1" t="s">
        <v>318</v>
      </c>
      <c r="F723" s="1"/>
      <c r="G723" s="1"/>
      <c r="H723" s="1"/>
      <c r="I723" s="1"/>
      <c r="J723" s="123">
        <f>VLOOKUP(E723,'C'!P:Q,2,FALSE)</f>
        <v>32</v>
      </c>
    </row>
    <row r="724" spans="1:10" x14ac:dyDescent="0.35">
      <c r="A724" s="218" t="s">
        <v>73</v>
      </c>
      <c r="B724" s="3" t="s">
        <v>77</v>
      </c>
      <c r="C724" s="1" t="s">
        <v>75</v>
      </c>
      <c r="D724" s="1">
        <v>5</v>
      </c>
      <c r="E724" s="1" t="s">
        <v>318</v>
      </c>
      <c r="F724" s="1"/>
      <c r="G724" s="1"/>
      <c r="H724" s="1"/>
      <c r="I724" s="1"/>
      <c r="J724" s="123">
        <f>VLOOKUP(E724,'C'!P:Q,2,FALSE)</f>
        <v>32</v>
      </c>
    </row>
    <row r="725" spans="1:10" x14ac:dyDescent="0.35">
      <c r="A725" s="218" t="s">
        <v>73</v>
      </c>
      <c r="B725" s="3" t="s">
        <v>78</v>
      </c>
      <c r="C725" s="1" t="s">
        <v>75</v>
      </c>
      <c r="D725" s="1">
        <v>5</v>
      </c>
      <c r="E725" s="1" t="s">
        <v>318</v>
      </c>
      <c r="F725" s="1"/>
      <c r="G725" s="1"/>
      <c r="H725" s="1"/>
      <c r="I725" s="1"/>
      <c r="J725" s="123">
        <f>VLOOKUP(E725,'C'!P:Q,2,FALSE)</f>
        <v>32</v>
      </c>
    </row>
    <row r="726" spans="1:10" x14ac:dyDescent="0.35">
      <c r="A726" s="218" t="s">
        <v>73</v>
      </c>
      <c r="B726" s="3" t="s">
        <v>79</v>
      </c>
      <c r="C726" s="1" t="s">
        <v>75</v>
      </c>
      <c r="D726" s="1">
        <v>5</v>
      </c>
      <c r="E726" s="1" t="s">
        <v>318</v>
      </c>
      <c r="F726" s="1"/>
      <c r="G726" s="1"/>
      <c r="H726" s="1"/>
      <c r="I726" s="1"/>
      <c r="J726" s="123">
        <f>VLOOKUP(E726,'C'!P:Q,2,FALSE)</f>
        <v>32</v>
      </c>
    </row>
    <row r="727" spans="1:10" x14ac:dyDescent="0.35">
      <c r="A727" s="218" t="s">
        <v>73</v>
      </c>
      <c r="B727" s="3" t="s">
        <v>80</v>
      </c>
      <c r="C727" s="1" t="s">
        <v>75</v>
      </c>
      <c r="D727" s="1">
        <v>5</v>
      </c>
      <c r="E727" s="1" t="s">
        <v>318</v>
      </c>
      <c r="F727" s="1"/>
      <c r="G727" s="1"/>
      <c r="H727" s="1"/>
      <c r="I727" s="1"/>
      <c r="J727" s="123">
        <f>VLOOKUP(E727,'C'!P:Q,2,FALSE)</f>
        <v>32</v>
      </c>
    </row>
    <row r="728" spans="1:10" hidden="1" x14ac:dyDescent="0.35">
      <c r="A728" s="218" t="s">
        <v>81</v>
      </c>
      <c r="B728" s="3" t="s">
        <v>76</v>
      </c>
      <c r="C728" s="91" t="s">
        <v>75</v>
      </c>
      <c r="D728" s="91">
        <v>5</v>
      </c>
      <c r="E728" s="1" t="s">
        <v>318</v>
      </c>
      <c r="F728" s="1"/>
      <c r="G728" s="1"/>
      <c r="H728" s="1"/>
      <c r="I728" s="1"/>
      <c r="J728" s="123">
        <f>VLOOKUP(E728,'C'!P:Q,2,FALSE)</f>
        <v>32</v>
      </c>
    </row>
    <row r="729" spans="1:10" hidden="1" x14ac:dyDescent="0.35">
      <c r="A729" s="218" t="s">
        <v>81</v>
      </c>
      <c r="B729" s="3" t="s">
        <v>74</v>
      </c>
      <c r="C729" s="1" t="s">
        <v>75</v>
      </c>
      <c r="D729" s="1">
        <v>5</v>
      </c>
      <c r="E729" s="1" t="s">
        <v>318</v>
      </c>
      <c r="F729" s="1"/>
      <c r="G729" s="1"/>
      <c r="H729" s="1"/>
      <c r="I729" s="1"/>
      <c r="J729" s="123">
        <f>VLOOKUP(E729,'C'!P:Q,2,FALSE)</f>
        <v>32</v>
      </c>
    </row>
    <row r="730" spans="1:10" hidden="1" x14ac:dyDescent="0.35">
      <c r="A730" s="218" t="s">
        <v>81</v>
      </c>
      <c r="B730" s="3" t="s">
        <v>78</v>
      </c>
      <c r="C730" s="1" t="s">
        <v>75</v>
      </c>
      <c r="D730" s="1">
        <v>5</v>
      </c>
      <c r="E730" s="1" t="s">
        <v>318</v>
      </c>
      <c r="F730" s="1"/>
      <c r="G730" s="1"/>
      <c r="H730" s="1"/>
      <c r="I730" s="1"/>
      <c r="J730" s="123">
        <f>VLOOKUP(E730,'C'!P:Q,2,FALSE)</f>
        <v>32</v>
      </c>
    </row>
    <row r="731" spans="1:10" hidden="1" x14ac:dyDescent="0.35">
      <c r="A731" s="218" t="s">
        <v>81</v>
      </c>
      <c r="B731" s="3" t="s">
        <v>77</v>
      </c>
      <c r="C731" s="1" t="s">
        <v>75</v>
      </c>
      <c r="D731" s="1">
        <v>5</v>
      </c>
      <c r="E731" s="1" t="s">
        <v>318</v>
      </c>
      <c r="F731" s="1"/>
      <c r="G731" s="1"/>
      <c r="H731" s="1"/>
      <c r="I731" s="1"/>
      <c r="J731" s="123">
        <f>VLOOKUP(E731,'C'!P:Q,2,FALSE)</f>
        <v>32</v>
      </c>
    </row>
    <row r="732" spans="1:10" hidden="1" x14ac:dyDescent="0.35">
      <c r="A732" s="218" t="s">
        <v>81</v>
      </c>
      <c r="B732" s="3" t="s">
        <v>79</v>
      </c>
      <c r="C732" s="1" t="s">
        <v>75</v>
      </c>
      <c r="D732" s="1">
        <v>5</v>
      </c>
      <c r="E732" s="1" t="s">
        <v>318</v>
      </c>
      <c r="F732" s="1"/>
      <c r="G732" s="1"/>
      <c r="H732" s="1"/>
      <c r="I732" s="1"/>
      <c r="J732" s="123">
        <f>VLOOKUP(E732,'C'!P:Q,2,FALSE)</f>
        <v>32</v>
      </c>
    </row>
    <row r="733" spans="1:10" hidden="1" x14ac:dyDescent="0.35">
      <c r="A733" s="218" t="s">
        <v>81</v>
      </c>
      <c r="B733" s="3" t="s">
        <v>80</v>
      </c>
      <c r="C733" s="1" t="s">
        <v>75</v>
      </c>
      <c r="D733" s="1">
        <v>5</v>
      </c>
      <c r="E733" s="1" t="s">
        <v>318</v>
      </c>
      <c r="F733" s="1"/>
      <c r="G733" s="1"/>
      <c r="H733" s="1"/>
      <c r="I733" s="1"/>
      <c r="J733" s="123">
        <f>VLOOKUP(E733,'C'!P:Q,2,FALSE)</f>
        <v>32</v>
      </c>
    </row>
    <row r="734" spans="1:10" hidden="1" x14ac:dyDescent="0.35">
      <c r="A734" s="202" t="s">
        <v>82</v>
      </c>
      <c r="B734" s="15" t="s">
        <v>74</v>
      </c>
      <c r="C734" s="91" t="s">
        <v>75</v>
      </c>
      <c r="D734" s="91">
        <v>5</v>
      </c>
      <c r="E734" s="1" t="s">
        <v>318</v>
      </c>
      <c r="F734" s="1"/>
      <c r="G734" s="1"/>
      <c r="H734" s="1"/>
      <c r="I734" s="1"/>
      <c r="J734" s="123">
        <f>VLOOKUP(E734,'C'!P:Q,2,FALSE)</f>
        <v>32</v>
      </c>
    </row>
    <row r="735" spans="1:10" hidden="1" x14ac:dyDescent="0.35">
      <c r="A735" s="202" t="s">
        <v>82</v>
      </c>
      <c r="B735" s="15" t="s">
        <v>76</v>
      </c>
      <c r="C735" s="1" t="s">
        <v>75</v>
      </c>
      <c r="D735" s="1">
        <v>5</v>
      </c>
      <c r="E735" s="1" t="s">
        <v>318</v>
      </c>
      <c r="F735" s="1"/>
      <c r="G735" s="1"/>
      <c r="H735" s="1"/>
      <c r="I735" s="1"/>
      <c r="J735" s="123">
        <f>VLOOKUP(E735,'C'!P:Q,2,FALSE)</f>
        <v>32</v>
      </c>
    </row>
    <row r="736" spans="1:10" hidden="1" x14ac:dyDescent="0.35">
      <c r="A736" s="202" t="s">
        <v>82</v>
      </c>
      <c r="B736" s="15" t="s">
        <v>77</v>
      </c>
      <c r="C736" s="1" t="s">
        <v>75</v>
      </c>
      <c r="D736" s="1">
        <v>5</v>
      </c>
      <c r="E736" s="1" t="s">
        <v>318</v>
      </c>
      <c r="F736" s="1"/>
      <c r="G736" s="1"/>
      <c r="H736" s="1"/>
      <c r="I736" s="1"/>
      <c r="J736" s="123">
        <f>VLOOKUP(E736,'C'!P:Q,2,FALSE)</f>
        <v>32</v>
      </c>
    </row>
    <row r="737" spans="1:10" hidden="1" x14ac:dyDescent="0.35">
      <c r="A737" s="202" t="s">
        <v>82</v>
      </c>
      <c r="B737" s="15" t="s">
        <v>78</v>
      </c>
      <c r="C737" s="1" t="s">
        <v>75</v>
      </c>
      <c r="D737" s="1">
        <v>5</v>
      </c>
      <c r="E737" s="1" t="s">
        <v>318</v>
      </c>
      <c r="F737" s="1"/>
      <c r="G737" s="1"/>
      <c r="H737" s="1"/>
      <c r="I737" s="1"/>
      <c r="J737" s="123">
        <f>VLOOKUP(E737,'C'!P:Q,2,FALSE)</f>
        <v>32</v>
      </c>
    </row>
    <row r="738" spans="1:10" hidden="1" x14ac:dyDescent="0.35">
      <c r="A738" s="202" t="s">
        <v>82</v>
      </c>
      <c r="B738" s="15" t="s">
        <v>79</v>
      </c>
      <c r="C738" s="1" t="s">
        <v>75</v>
      </c>
      <c r="D738" s="1">
        <v>5</v>
      </c>
      <c r="E738" s="1" t="s">
        <v>318</v>
      </c>
      <c r="F738" s="1"/>
      <c r="G738" s="1"/>
      <c r="H738" s="1"/>
      <c r="I738" s="1"/>
      <c r="J738" s="123">
        <f>VLOOKUP(E738,'C'!P:Q,2,FALSE)</f>
        <v>32</v>
      </c>
    </row>
    <row r="739" spans="1:10" hidden="1" x14ac:dyDescent="0.35">
      <c r="A739" s="202" t="s">
        <v>82</v>
      </c>
      <c r="B739" s="15" t="s">
        <v>80</v>
      </c>
      <c r="C739" s="1" t="s">
        <v>75</v>
      </c>
      <c r="D739" s="1">
        <v>5</v>
      </c>
      <c r="E739" s="1" t="s">
        <v>318</v>
      </c>
      <c r="F739" s="1"/>
      <c r="G739" s="1"/>
      <c r="H739" s="1"/>
      <c r="I739" s="1"/>
      <c r="J739" s="123">
        <f>VLOOKUP(E739,'C'!P:Q,2,FALSE)</f>
        <v>32</v>
      </c>
    </row>
    <row r="740" spans="1:10" hidden="1" x14ac:dyDescent="0.35">
      <c r="A740" s="202" t="s">
        <v>83</v>
      </c>
      <c r="B740" s="15" t="s">
        <v>74</v>
      </c>
      <c r="C740" s="91" t="s">
        <v>75</v>
      </c>
      <c r="D740" s="91" t="s">
        <v>84</v>
      </c>
      <c r="E740" s="1" t="s">
        <v>318</v>
      </c>
      <c r="F740" s="1"/>
      <c r="G740" s="1"/>
      <c r="H740" s="1"/>
      <c r="I740" s="1"/>
      <c r="J740" s="123">
        <f>VLOOKUP(E740,'C'!P:Q,2,FALSE)</f>
        <v>32</v>
      </c>
    </row>
    <row r="741" spans="1:10" hidden="1" x14ac:dyDescent="0.35">
      <c r="A741" s="202" t="s">
        <v>83</v>
      </c>
      <c r="B741" s="15" t="s">
        <v>76</v>
      </c>
      <c r="C741" s="1" t="s">
        <v>75</v>
      </c>
      <c r="D741" s="1" t="s">
        <v>84</v>
      </c>
      <c r="E741" s="1" t="s">
        <v>318</v>
      </c>
      <c r="F741" s="1"/>
      <c r="G741" s="1"/>
      <c r="H741" s="1"/>
      <c r="I741" s="1"/>
      <c r="J741" s="123">
        <f>VLOOKUP(E741,'C'!P:Q,2,FALSE)</f>
        <v>32</v>
      </c>
    </row>
    <row r="742" spans="1:10" hidden="1" x14ac:dyDescent="0.35">
      <c r="A742" s="202" t="s">
        <v>83</v>
      </c>
      <c r="B742" s="15" t="s">
        <v>77</v>
      </c>
      <c r="C742" s="1" t="s">
        <v>75</v>
      </c>
      <c r="D742" s="1" t="s">
        <v>84</v>
      </c>
      <c r="E742" s="1" t="s">
        <v>318</v>
      </c>
      <c r="F742" s="1"/>
      <c r="G742" s="1"/>
      <c r="H742" s="1"/>
      <c r="I742" s="1"/>
      <c r="J742" s="123">
        <f>VLOOKUP(E742,'C'!P:Q,2,FALSE)</f>
        <v>32</v>
      </c>
    </row>
    <row r="743" spans="1:10" hidden="1" x14ac:dyDescent="0.35">
      <c r="A743" s="202" t="s">
        <v>83</v>
      </c>
      <c r="B743" s="15" t="s">
        <v>78</v>
      </c>
      <c r="C743" s="1" t="s">
        <v>75</v>
      </c>
      <c r="D743" s="1" t="s">
        <v>84</v>
      </c>
      <c r="E743" s="1" t="s">
        <v>318</v>
      </c>
      <c r="F743" s="1"/>
      <c r="G743" s="1"/>
      <c r="H743" s="1"/>
      <c r="I743" s="1"/>
      <c r="J743" s="123">
        <f>VLOOKUP(E743,'C'!P:Q,2,FALSE)</f>
        <v>32</v>
      </c>
    </row>
    <row r="744" spans="1:10" hidden="1" x14ac:dyDescent="0.35">
      <c r="A744" s="202" t="s">
        <v>83</v>
      </c>
      <c r="B744" s="15" t="s">
        <v>79</v>
      </c>
      <c r="C744" s="1" t="s">
        <v>75</v>
      </c>
      <c r="D744" s="1" t="s">
        <v>84</v>
      </c>
      <c r="E744" s="1" t="s">
        <v>318</v>
      </c>
      <c r="F744" s="1"/>
      <c r="G744" s="1"/>
      <c r="H744" s="1"/>
      <c r="I744" s="1"/>
      <c r="J744" s="123">
        <f>VLOOKUP(E744,'C'!P:Q,2,FALSE)</f>
        <v>32</v>
      </c>
    </row>
    <row r="745" spans="1:10" hidden="1" x14ac:dyDescent="0.35">
      <c r="A745" s="202" t="s">
        <v>83</v>
      </c>
      <c r="B745" s="15" t="s">
        <v>80</v>
      </c>
      <c r="C745" s="1" t="s">
        <v>75</v>
      </c>
      <c r="D745" s="1" t="s">
        <v>84</v>
      </c>
      <c r="E745" s="1" t="s">
        <v>318</v>
      </c>
      <c r="F745" s="1"/>
      <c r="G745" s="1"/>
      <c r="H745" s="1"/>
      <c r="I745" s="1"/>
      <c r="J745" s="123">
        <f>VLOOKUP(E745,'C'!P:Q,2,FALSE)</f>
        <v>32</v>
      </c>
    </row>
    <row r="746" spans="1:10" x14ac:dyDescent="0.35">
      <c r="A746" s="218" t="s">
        <v>73</v>
      </c>
      <c r="B746" s="3" t="s">
        <v>74</v>
      </c>
      <c r="C746" s="1" t="s">
        <v>75</v>
      </c>
      <c r="D746" s="1">
        <v>5</v>
      </c>
      <c r="E746" s="1" t="s">
        <v>305</v>
      </c>
      <c r="F746" s="16"/>
      <c r="G746" s="16"/>
      <c r="H746" s="14"/>
      <c r="I746" s="14"/>
      <c r="J746" s="123">
        <f>VLOOKUP(E746,'C'!P:Q,2,FALSE)</f>
        <v>33</v>
      </c>
    </row>
    <row r="747" spans="1:10" x14ac:dyDescent="0.35">
      <c r="A747" s="218" t="s">
        <v>73</v>
      </c>
      <c r="B747" s="3" t="s">
        <v>76</v>
      </c>
      <c r="C747" s="1" t="s">
        <v>75</v>
      </c>
      <c r="D747" s="1">
        <v>5</v>
      </c>
      <c r="E747" s="1" t="s">
        <v>305</v>
      </c>
      <c r="F747" s="16"/>
      <c r="G747" s="16"/>
      <c r="H747" s="14"/>
      <c r="I747" s="14"/>
      <c r="J747" s="123">
        <f>VLOOKUP(E747,'C'!P:Q,2,FALSE)</f>
        <v>33</v>
      </c>
    </row>
    <row r="748" spans="1:10" x14ac:dyDescent="0.35">
      <c r="A748" s="218" t="s">
        <v>73</v>
      </c>
      <c r="B748" s="3" t="s">
        <v>77</v>
      </c>
      <c r="C748" s="1" t="s">
        <v>75</v>
      </c>
      <c r="D748" s="1">
        <v>5</v>
      </c>
      <c r="E748" s="1" t="s">
        <v>305</v>
      </c>
      <c r="F748" s="16"/>
      <c r="G748" s="16"/>
      <c r="H748" s="14"/>
      <c r="I748" s="14"/>
      <c r="J748" s="123">
        <f>VLOOKUP(E748,'C'!P:Q,2,FALSE)</f>
        <v>33</v>
      </c>
    </row>
    <row r="749" spans="1:10" x14ac:dyDescent="0.35">
      <c r="A749" s="218" t="s">
        <v>73</v>
      </c>
      <c r="B749" s="3" t="s">
        <v>78</v>
      </c>
      <c r="C749" s="1" t="s">
        <v>75</v>
      </c>
      <c r="D749" s="1">
        <v>5</v>
      </c>
      <c r="E749" s="1" t="s">
        <v>305</v>
      </c>
      <c r="F749" s="16"/>
      <c r="G749" s="16"/>
      <c r="H749" s="14"/>
      <c r="I749" s="14"/>
      <c r="J749" s="123">
        <f>VLOOKUP(E749,'C'!P:Q,2,FALSE)</f>
        <v>33</v>
      </c>
    </row>
    <row r="750" spans="1:10" x14ac:dyDescent="0.35">
      <c r="A750" s="218" t="s">
        <v>73</v>
      </c>
      <c r="B750" s="3" t="s">
        <v>79</v>
      </c>
      <c r="C750" s="1" t="s">
        <v>75</v>
      </c>
      <c r="D750" s="1">
        <v>5</v>
      </c>
      <c r="E750" s="1" t="s">
        <v>305</v>
      </c>
      <c r="F750" s="16"/>
      <c r="G750" s="16"/>
      <c r="H750" s="14"/>
      <c r="I750" s="14"/>
      <c r="J750" s="123">
        <f>VLOOKUP(E750,'C'!P:Q,2,FALSE)</f>
        <v>33</v>
      </c>
    </row>
    <row r="751" spans="1:10" x14ac:dyDescent="0.35">
      <c r="A751" s="218" t="s">
        <v>73</v>
      </c>
      <c r="B751" s="3" t="s">
        <v>80</v>
      </c>
      <c r="C751" s="1" t="s">
        <v>75</v>
      </c>
      <c r="D751" s="1">
        <v>5</v>
      </c>
      <c r="E751" s="1" t="s">
        <v>305</v>
      </c>
      <c r="F751" s="27"/>
      <c r="G751" s="27"/>
      <c r="H751" s="14"/>
      <c r="I751" s="14"/>
      <c r="J751" s="123">
        <f>VLOOKUP(E751,'C'!P:Q,2,FALSE)</f>
        <v>33</v>
      </c>
    </row>
    <row r="752" spans="1:10" hidden="1" x14ac:dyDescent="0.35">
      <c r="A752" s="218" t="s">
        <v>81</v>
      </c>
      <c r="B752" s="3" t="s">
        <v>76</v>
      </c>
      <c r="C752" s="91" t="s">
        <v>75</v>
      </c>
      <c r="D752" s="91">
        <v>5</v>
      </c>
      <c r="E752" s="1" t="s">
        <v>305</v>
      </c>
      <c r="F752" s="16"/>
      <c r="G752" s="16"/>
      <c r="H752" s="14"/>
      <c r="I752" s="14"/>
      <c r="J752" s="123">
        <f>VLOOKUP(E752,'C'!P:Q,2,FALSE)</f>
        <v>33</v>
      </c>
    </row>
    <row r="753" spans="1:10" hidden="1" x14ac:dyDescent="0.35">
      <c r="A753" s="218" t="s">
        <v>81</v>
      </c>
      <c r="B753" s="3" t="s">
        <v>74</v>
      </c>
      <c r="C753" s="1" t="s">
        <v>75</v>
      </c>
      <c r="D753" s="1">
        <v>5</v>
      </c>
      <c r="E753" s="1" t="s">
        <v>305</v>
      </c>
      <c r="F753" s="16"/>
      <c r="G753" s="16"/>
      <c r="H753" s="14"/>
      <c r="I753" s="14"/>
      <c r="J753" s="123">
        <f>VLOOKUP(E753,'C'!P:Q,2,FALSE)</f>
        <v>33</v>
      </c>
    </row>
    <row r="754" spans="1:10" hidden="1" x14ac:dyDescent="0.35">
      <c r="A754" s="218" t="s">
        <v>81</v>
      </c>
      <c r="B754" s="3" t="s">
        <v>78</v>
      </c>
      <c r="C754" s="1" t="s">
        <v>75</v>
      </c>
      <c r="D754" s="1">
        <v>5</v>
      </c>
      <c r="E754" s="1" t="s">
        <v>305</v>
      </c>
      <c r="F754" s="16"/>
      <c r="G754" s="16"/>
      <c r="H754" s="14"/>
      <c r="I754" s="14"/>
      <c r="J754" s="123">
        <f>VLOOKUP(E754,'C'!P:Q,2,FALSE)</f>
        <v>33</v>
      </c>
    </row>
    <row r="755" spans="1:10" hidden="1" x14ac:dyDescent="0.35">
      <c r="A755" s="218" t="s">
        <v>81</v>
      </c>
      <c r="B755" s="3" t="s">
        <v>77</v>
      </c>
      <c r="C755" s="1" t="s">
        <v>75</v>
      </c>
      <c r="D755" s="1">
        <v>5</v>
      </c>
      <c r="E755" s="1" t="s">
        <v>305</v>
      </c>
      <c r="F755" s="16"/>
      <c r="G755" s="16"/>
      <c r="H755" s="14"/>
      <c r="I755" s="14"/>
      <c r="J755" s="123">
        <f>VLOOKUP(E755,'C'!P:Q,2,FALSE)</f>
        <v>33</v>
      </c>
    </row>
    <row r="756" spans="1:10" hidden="1" x14ac:dyDescent="0.35">
      <c r="A756" s="218" t="s">
        <v>81</v>
      </c>
      <c r="B756" s="3" t="s">
        <v>79</v>
      </c>
      <c r="C756" s="1" t="s">
        <v>75</v>
      </c>
      <c r="D756" s="1">
        <v>5</v>
      </c>
      <c r="E756" s="1" t="s">
        <v>305</v>
      </c>
      <c r="F756" s="16"/>
      <c r="G756" s="16"/>
      <c r="H756" s="14"/>
      <c r="I756" s="14"/>
      <c r="J756" s="123">
        <f>VLOOKUP(E756,'C'!P:Q,2,FALSE)</f>
        <v>33</v>
      </c>
    </row>
    <row r="757" spans="1:10" hidden="1" x14ac:dyDescent="0.35">
      <c r="A757" s="218" t="s">
        <v>81</v>
      </c>
      <c r="B757" s="3" t="s">
        <v>80</v>
      </c>
      <c r="C757" s="1" t="s">
        <v>75</v>
      </c>
      <c r="D757" s="1">
        <v>5</v>
      </c>
      <c r="E757" s="1" t="s">
        <v>305</v>
      </c>
      <c r="F757" s="27"/>
      <c r="G757" s="27"/>
      <c r="H757" s="14"/>
      <c r="I757" s="14"/>
      <c r="J757" s="123">
        <f>VLOOKUP(E757,'C'!P:Q,2,FALSE)</f>
        <v>33</v>
      </c>
    </row>
    <row r="758" spans="1:10" hidden="1" x14ac:dyDescent="0.35">
      <c r="A758" s="202" t="s">
        <v>82</v>
      </c>
      <c r="B758" s="15" t="s">
        <v>74</v>
      </c>
      <c r="C758" s="91" t="s">
        <v>75</v>
      </c>
      <c r="D758" s="91">
        <v>5</v>
      </c>
      <c r="E758" s="1" t="s">
        <v>305</v>
      </c>
      <c r="F758" s="14"/>
      <c r="G758" s="14"/>
      <c r="H758" s="14"/>
      <c r="I758" s="14"/>
      <c r="J758" s="123">
        <f>VLOOKUP(E758,'C'!P:Q,2,FALSE)</f>
        <v>33</v>
      </c>
    </row>
    <row r="759" spans="1:10" hidden="1" x14ac:dyDescent="0.35">
      <c r="A759" s="202" t="s">
        <v>82</v>
      </c>
      <c r="B759" s="15" t="s">
        <v>76</v>
      </c>
      <c r="C759" s="1" t="s">
        <v>75</v>
      </c>
      <c r="D759" s="1">
        <v>5</v>
      </c>
      <c r="E759" s="1" t="s">
        <v>305</v>
      </c>
      <c r="F759" s="14"/>
      <c r="G759" s="14"/>
      <c r="H759" s="14"/>
      <c r="I759" s="14"/>
      <c r="J759" s="123">
        <f>VLOOKUP(E759,'C'!P:Q,2,FALSE)</f>
        <v>33</v>
      </c>
    </row>
    <row r="760" spans="1:10" hidden="1" x14ac:dyDescent="0.35">
      <c r="A760" s="202" t="s">
        <v>82</v>
      </c>
      <c r="B760" s="15" t="s">
        <v>77</v>
      </c>
      <c r="C760" s="1" t="s">
        <v>75</v>
      </c>
      <c r="D760" s="1">
        <v>5</v>
      </c>
      <c r="E760" s="1" t="s">
        <v>305</v>
      </c>
      <c r="F760" s="14"/>
      <c r="G760" s="14"/>
      <c r="H760" s="14"/>
      <c r="I760" s="14"/>
      <c r="J760" s="123">
        <f>VLOOKUP(E760,'C'!P:Q,2,FALSE)</f>
        <v>33</v>
      </c>
    </row>
    <row r="761" spans="1:10" hidden="1" x14ac:dyDescent="0.35">
      <c r="A761" s="202" t="s">
        <v>82</v>
      </c>
      <c r="B761" s="15" t="s">
        <v>78</v>
      </c>
      <c r="C761" s="1" t="s">
        <v>75</v>
      </c>
      <c r="D761" s="1">
        <v>5</v>
      </c>
      <c r="E761" s="1" t="s">
        <v>305</v>
      </c>
      <c r="F761" s="14"/>
      <c r="G761" s="14"/>
      <c r="H761" s="14"/>
      <c r="I761" s="14"/>
      <c r="J761" s="123">
        <f>VLOOKUP(E761,'C'!P:Q,2,FALSE)</f>
        <v>33</v>
      </c>
    </row>
    <row r="762" spans="1:10" hidden="1" x14ac:dyDescent="0.35">
      <c r="A762" s="202" t="s">
        <v>82</v>
      </c>
      <c r="B762" s="15" t="s">
        <v>79</v>
      </c>
      <c r="C762" s="1" t="s">
        <v>75</v>
      </c>
      <c r="D762" s="1">
        <v>5</v>
      </c>
      <c r="E762" s="1" t="s">
        <v>305</v>
      </c>
      <c r="F762" s="14"/>
      <c r="G762" s="14"/>
      <c r="H762" s="14"/>
      <c r="I762" s="14"/>
      <c r="J762" s="123">
        <f>VLOOKUP(E762,'C'!P:Q,2,FALSE)</f>
        <v>33</v>
      </c>
    </row>
    <row r="763" spans="1:10" hidden="1" x14ac:dyDescent="0.35">
      <c r="A763" s="202" t="s">
        <v>82</v>
      </c>
      <c r="B763" s="15" t="s">
        <v>80</v>
      </c>
      <c r="C763" s="1" t="s">
        <v>75</v>
      </c>
      <c r="D763" s="1">
        <v>5</v>
      </c>
      <c r="E763" s="1" t="s">
        <v>305</v>
      </c>
      <c r="F763" s="14"/>
      <c r="G763" s="14"/>
      <c r="H763" s="14"/>
      <c r="I763" s="14"/>
      <c r="J763" s="123">
        <f>VLOOKUP(E763,'C'!P:Q,2,FALSE)</f>
        <v>33</v>
      </c>
    </row>
    <row r="764" spans="1:10" hidden="1" x14ac:dyDescent="0.35">
      <c r="A764" s="202" t="s">
        <v>83</v>
      </c>
      <c r="B764" s="15" t="s">
        <v>74</v>
      </c>
      <c r="C764" s="91" t="s">
        <v>75</v>
      </c>
      <c r="D764" s="91" t="s">
        <v>84</v>
      </c>
      <c r="E764" s="1" t="s">
        <v>305</v>
      </c>
      <c r="F764" s="14"/>
      <c r="G764" s="14"/>
      <c r="H764" s="14"/>
      <c r="I764" s="14"/>
      <c r="J764" s="123">
        <f>VLOOKUP(E764,'C'!P:Q,2,FALSE)</f>
        <v>33</v>
      </c>
    </row>
    <row r="765" spans="1:10" hidden="1" x14ac:dyDescent="0.35">
      <c r="A765" s="202" t="s">
        <v>83</v>
      </c>
      <c r="B765" s="15" t="s">
        <v>76</v>
      </c>
      <c r="C765" s="1" t="s">
        <v>75</v>
      </c>
      <c r="D765" s="1" t="s">
        <v>84</v>
      </c>
      <c r="E765" s="1" t="s">
        <v>305</v>
      </c>
      <c r="F765" s="14"/>
      <c r="G765" s="14"/>
      <c r="H765" s="14"/>
      <c r="I765" s="14"/>
      <c r="J765" s="123">
        <f>VLOOKUP(E765,'C'!P:Q,2,FALSE)</f>
        <v>33</v>
      </c>
    </row>
    <row r="766" spans="1:10" hidden="1" x14ac:dyDescent="0.35">
      <c r="A766" s="202" t="s">
        <v>83</v>
      </c>
      <c r="B766" s="15" t="s">
        <v>77</v>
      </c>
      <c r="C766" s="1" t="s">
        <v>75</v>
      </c>
      <c r="D766" s="1" t="s">
        <v>84</v>
      </c>
      <c r="E766" s="1" t="s">
        <v>305</v>
      </c>
      <c r="F766" s="14"/>
      <c r="G766" s="14"/>
      <c r="H766" s="14"/>
      <c r="I766" s="14"/>
      <c r="J766" s="123">
        <f>VLOOKUP(E766,'C'!P:Q,2,FALSE)</f>
        <v>33</v>
      </c>
    </row>
    <row r="767" spans="1:10" hidden="1" x14ac:dyDescent="0.35">
      <c r="A767" s="202" t="s">
        <v>83</v>
      </c>
      <c r="B767" s="15" t="s">
        <v>78</v>
      </c>
      <c r="C767" s="1" t="s">
        <v>75</v>
      </c>
      <c r="D767" s="1" t="s">
        <v>84</v>
      </c>
      <c r="E767" s="1" t="s">
        <v>305</v>
      </c>
      <c r="F767" s="14"/>
      <c r="G767" s="14"/>
      <c r="H767" s="14"/>
      <c r="I767" s="14"/>
      <c r="J767" s="123">
        <f>VLOOKUP(E767,'C'!P:Q,2,FALSE)</f>
        <v>33</v>
      </c>
    </row>
    <row r="768" spans="1:10" hidden="1" x14ac:dyDescent="0.35">
      <c r="A768" s="202" t="s">
        <v>83</v>
      </c>
      <c r="B768" s="15" t="s">
        <v>79</v>
      </c>
      <c r="C768" s="1" t="s">
        <v>75</v>
      </c>
      <c r="D768" s="1" t="s">
        <v>84</v>
      </c>
      <c r="E768" s="1" t="s">
        <v>305</v>
      </c>
      <c r="F768" s="14"/>
      <c r="G768" s="14"/>
      <c r="H768" s="14"/>
      <c r="I768" s="14"/>
      <c r="J768" s="123">
        <f>VLOOKUP(E768,'C'!P:Q,2,FALSE)</f>
        <v>33</v>
      </c>
    </row>
    <row r="769" spans="1:10" hidden="1" x14ac:dyDescent="0.35">
      <c r="A769" s="202" t="s">
        <v>83</v>
      </c>
      <c r="B769" s="15" t="s">
        <v>80</v>
      </c>
      <c r="C769" s="1" t="s">
        <v>75</v>
      </c>
      <c r="D769" s="1" t="s">
        <v>84</v>
      </c>
      <c r="E769" s="1" t="s">
        <v>305</v>
      </c>
      <c r="F769" s="14"/>
      <c r="G769" s="14"/>
      <c r="H769" s="14"/>
      <c r="I769" s="14"/>
      <c r="J769" s="123">
        <f>VLOOKUP(E769,'C'!P:Q,2,FALSE)</f>
        <v>33</v>
      </c>
    </row>
    <row r="770" spans="1:10" x14ac:dyDescent="0.35">
      <c r="A770" s="218" t="s">
        <v>73</v>
      </c>
      <c r="B770" s="3" t="s">
        <v>74</v>
      </c>
      <c r="C770" s="1" t="s">
        <v>75</v>
      </c>
      <c r="D770" s="1">
        <v>5</v>
      </c>
      <c r="E770" s="1" t="s">
        <v>319</v>
      </c>
      <c r="F770" s="1"/>
      <c r="G770" s="1"/>
      <c r="H770" s="1"/>
      <c r="I770" s="1"/>
      <c r="J770" s="123">
        <f>VLOOKUP(E770,'C'!P:Q,2,FALSE)</f>
        <v>34</v>
      </c>
    </row>
    <row r="771" spans="1:10" x14ac:dyDescent="0.35">
      <c r="A771" s="218" t="s">
        <v>73</v>
      </c>
      <c r="B771" s="3" t="s">
        <v>76</v>
      </c>
      <c r="C771" s="1" t="s">
        <v>75</v>
      </c>
      <c r="D771" s="1">
        <v>5</v>
      </c>
      <c r="E771" s="1" t="s">
        <v>319</v>
      </c>
      <c r="F771" s="1"/>
      <c r="G771" s="1"/>
      <c r="H771" s="1"/>
      <c r="I771" s="1"/>
      <c r="J771" s="123">
        <f>VLOOKUP(E771,'C'!P:Q,2,FALSE)</f>
        <v>34</v>
      </c>
    </row>
    <row r="772" spans="1:10" x14ac:dyDescent="0.35">
      <c r="A772" s="218" t="s">
        <v>73</v>
      </c>
      <c r="B772" s="3" t="s">
        <v>77</v>
      </c>
      <c r="C772" s="1" t="s">
        <v>75</v>
      </c>
      <c r="D772" s="1">
        <v>5</v>
      </c>
      <c r="E772" s="1" t="s">
        <v>319</v>
      </c>
      <c r="F772" s="1"/>
      <c r="G772" s="1"/>
      <c r="H772" s="1"/>
      <c r="I772" s="1"/>
      <c r="J772" s="123">
        <f>VLOOKUP(E772,'C'!P:Q,2,FALSE)</f>
        <v>34</v>
      </c>
    </row>
    <row r="773" spans="1:10" x14ac:dyDescent="0.35">
      <c r="A773" s="218" t="s">
        <v>73</v>
      </c>
      <c r="B773" s="3" t="s">
        <v>78</v>
      </c>
      <c r="C773" s="1" t="s">
        <v>75</v>
      </c>
      <c r="D773" s="1">
        <v>5</v>
      </c>
      <c r="E773" s="1" t="s">
        <v>319</v>
      </c>
      <c r="F773" s="1"/>
      <c r="G773" s="1"/>
      <c r="H773" s="1"/>
      <c r="I773" s="1"/>
      <c r="J773" s="123">
        <f>VLOOKUP(E773,'C'!P:Q,2,FALSE)</f>
        <v>34</v>
      </c>
    </row>
    <row r="774" spans="1:10" x14ac:dyDescent="0.35">
      <c r="A774" s="218" t="s">
        <v>73</v>
      </c>
      <c r="B774" s="3" t="s">
        <v>79</v>
      </c>
      <c r="C774" s="1" t="s">
        <v>75</v>
      </c>
      <c r="D774" s="1">
        <v>5</v>
      </c>
      <c r="E774" s="1" t="s">
        <v>319</v>
      </c>
      <c r="F774" s="1"/>
      <c r="G774" s="1"/>
      <c r="H774" s="1"/>
      <c r="I774" s="1"/>
      <c r="J774" s="123">
        <f>VLOOKUP(E774,'C'!P:Q,2,FALSE)</f>
        <v>34</v>
      </c>
    </row>
    <row r="775" spans="1:10" x14ac:dyDescent="0.35">
      <c r="A775" s="218" t="s">
        <v>73</v>
      </c>
      <c r="B775" s="3" t="s">
        <v>80</v>
      </c>
      <c r="C775" s="1" t="s">
        <v>75</v>
      </c>
      <c r="D775" s="1">
        <v>5</v>
      </c>
      <c r="E775" s="1" t="s">
        <v>319</v>
      </c>
      <c r="F775" s="1"/>
      <c r="G775" s="1"/>
      <c r="H775" s="1"/>
      <c r="I775" s="1"/>
      <c r="J775" s="123">
        <f>VLOOKUP(E775,'C'!P:Q,2,FALSE)</f>
        <v>34</v>
      </c>
    </row>
    <row r="776" spans="1:10" hidden="1" x14ac:dyDescent="0.35">
      <c r="A776" s="218" t="s">
        <v>81</v>
      </c>
      <c r="B776" s="3" t="s">
        <v>76</v>
      </c>
      <c r="C776" s="91" t="s">
        <v>75</v>
      </c>
      <c r="D776" s="91">
        <v>5</v>
      </c>
      <c r="E776" s="1" t="s">
        <v>319</v>
      </c>
      <c r="F776" s="1"/>
      <c r="G776" s="1"/>
      <c r="H776" s="1"/>
      <c r="I776" s="1"/>
      <c r="J776" s="123">
        <f>VLOOKUP(E776,'C'!P:Q,2,FALSE)</f>
        <v>34</v>
      </c>
    </row>
    <row r="777" spans="1:10" hidden="1" x14ac:dyDescent="0.35">
      <c r="A777" s="218" t="s">
        <v>81</v>
      </c>
      <c r="B777" s="3" t="s">
        <v>74</v>
      </c>
      <c r="C777" s="1" t="s">
        <v>75</v>
      </c>
      <c r="D777" s="1">
        <v>5</v>
      </c>
      <c r="E777" s="1" t="s">
        <v>319</v>
      </c>
      <c r="F777" s="1"/>
      <c r="G777" s="1"/>
      <c r="H777" s="1"/>
      <c r="I777" s="1"/>
      <c r="J777" s="123">
        <f>VLOOKUP(E777,'C'!P:Q,2,FALSE)</f>
        <v>34</v>
      </c>
    </row>
    <row r="778" spans="1:10" hidden="1" x14ac:dyDescent="0.35">
      <c r="A778" s="218" t="s">
        <v>81</v>
      </c>
      <c r="B778" s="3" t="s">
        <v>78</v>
      </c>
      <c r="C778" s="1" t="s">
        <v>75</v>
      </c>
      <c r="D778" s="1">
        <v>5</v>
      </c>
      <c r="E778" s="1" t="s">
        <v>319</v>
      </c>
      <c r="F778" s="1"/>
      <c r="G778" s="1"/>
      <c r="H778" s="1"/>
      <c r="I778" s="1"/>
      <c r="J778" s="123">
        <f>VLOOKUP(E778,'C'!P:Q,2,FALSE)</f>
        <v>34</v>
      </c>
    </row>
    <row r="779" spans="1:10" hidden="1" x14ac:dyDescent="0.35">
      <c r="A779" s="218" t="s">
        <v>81</v>
      </c>
      <c r="B779" s="3" t="s">
        <v>77</v>
      </c>
      <c r="C779" s="1" t="s">
        <v>75</v>
      </c>
      <c r="D779" s="1">
        <v>5</v>
      </c>
      <c r="E779" s="1" t="s">
        <v>319</v>
      </c>
      <c r="F779" s="1"/>
      <c r="G779" s="1"/>
      <c r="H779" s="1"/>
      <c r="I779" s="1"/>
      <c r="J779" s="123">
        <f>VLOOKUP(E779,'C'!P:Q,2,FALSE)</f>
        <v>34</v>
      </c>
    </row>
    <row r="780" spans="1:10" hidden="1" x14ac:dyDescent="0.35">
      <c r="A780" s="218" t="s">
        <v>81</v>
      </c>
      <c r="B780" s="3" t="s">
        <v>79</v>
      </c>
      <c r="C780" s="1" t="s">
        <v>75</v>
      </c>
      <c r="D780" s="1">
        <v>5</v>
      </c>
      <c r="E780" s="1" t="s">
        <v>319</v>
      </c>
      <c r="F780" s="1"/>
      <c r="G780" s="1"/>
      <c r="H780" s="1"/>
      <c r="I780" s="1"/>
      <c r="J780" s="123">
        <f>VLOOKUP(E780,'C'!P:Q,2,FALSE)</f>
        <v>34</v>
      </c>
    </row>
    <row r="781" spans="1:10" hidden="1" x14ac:dyDescent="0.35">
      <c r="A781" s="218" t="s">
        <v>81</v>
      </c>
      <c r="B781" s="3" t="s">
        <v>80</v>
      </c>
      <c r="C781" s="1" t="s">
        <v>75</v>
      </c>
      <c r="D781" s="1">
        <v>5</v>
      </c>
      <c r="E781" s="1" t="s">
        <v>319</v>
      </c>
      <c r="F781" s="1"/>
      <c r="G781" s="1"/>
      <c r="H781" s="1"/>
      <c r="I781" s="1"/>
      <c r="J781" s="123">
        <f>VLOOKUP(E781,'C'!P:Q,2,FALSE)</f>
        <v>34</v>
      </c>
    </row>
    <row r="782" spans="1:10" hidden="1" x14ac:dyDescent="0.35">
      <c r="A782" s="202" t="s">
        <v>82</v>
      </c>
      <c r="B782" s="15" t="s">
        <v>74</v>
      </c>
      <c r="C782" s="91" t="s">
        <v>75</v>
      </c>
      <c r="D782" s="91">
        <v>5</v>
      </c>
      <c r="E782" s="1" t="s">
        <v>319</v>
      </c>
      <c r="F782" s="1"/>
      <c r="G782" s="1"/>
      <c r="H782" s="1"/>
      <c r="I782" s="1"/>
      <c r="J782" s="123">
        <f>VLOOKUP(E782,'C'!P:Q,2,FALSE)</f>
        <v>34</v>
      </c>
    </row>
    <row r="783" spans="1:10" hidden="1" x14ac:dyDescent="0.35">
      <c r="A783" s="202" t="s">
        <v>82</v>
      </c>
      <c r="B783" s="15" t="s">
        <v>76</v>
      </c>
      <c r="C783" s="1" t="s">
        <v>75</v>
      </c>
      <c r="D783" s="1">
        <v>5</v>
      </c>
      <c r="E783" s="1" t="s">
        <v>319</v>
      </c>
      <c r="F783" s="1"/>
      <c r="G783" s="1"/>
      <c r="H783" s="1"/>
      <c r="I783" s="1"/>
      <c r="J783" s="123">
        <f>VLOOKUP(E783,'C'!P:Q,2,FALSE)</f>
        <v>34</v>
      </c>
    </row>
    <row r="784" spans="1:10" hidden="1" x14ac:dyDescent="0.35">
      <c r="A784" s="202" t="s">
        <v>82</v>
      </c>
      <c r="B784" s="15" t="s">
        <v>77</v>
      </c>
      <c r="C784" s="1" t="s">
        <v>75</v>
      </c>
      <c r="D784" s="1">
        <v>5</v>
      </c>
      <c r="E784" s="1" t="s">
        <v>319</v>
      </c>
      <c r="F784" s="1"/>
      <c r="G784" s="1"/>
      <c r="H784" s="1"/>
      <c r="I784" s="1"/>
      <c r="J784" s="123">
        <f>VLOOKUP(E784,'C'!P:Q,2,FALSE)</f>
        <v>34</v>
      </c>
    </row>
    <row r="785" spans="1:10" hidden="1" x14ac:dyDescent="0.35">
      <c r="A785" s="202" t="s">
        <v>82</v>
      </c>
      <c r="B785" s="15" t="s">
        <v>78</v>
      </c>
      <c r="C785" s="1" t="s">
        <v>75</v>
      </c>
      <c r="D785" s="1">
        <v>5</v>
      </c>
      <c r="E785" s="1" t="s">
        <v>319</v>
      </c>
      <c r="F785" s="1"/>
      <c r="G785" s="1"/>
      <c r="H785" s="1"/>
      <c r="I785" s="1"/>
      <c r="J785" s="123">
        <f>VLOOKUP(E785,'C'!P:Q,2,FALSE)</f>
        <v>34</v>
      </c>
    </row>
    <row r="786" spans="1:10" hidden="1" x14ac:dyDescent="0.35">
      <c r="A786" s="202" t="s">
        <v>82</v>
      </c>
      <c r="B786" s="15" t="s">
        <v>79</v>
      </c>
      <c r="C786" s="1" t="s">
        <v>75</v>
      </c>
      <c r="D786" s="1">
        <v>5</v>
      </c>
      <c r="E786" s="1" t="s">
        <v>319</v>
      </c>
      <c r="F786" s="1"/>
      <c r="G786" s="1"/>
      <c r="H786" s="1"/>
      <c r="I786" s="1"/>
      <c r="J786" s="123">
        <f>VLOOKUP(E786,'C'!P:Q,2,FALSE)</f>
        <v>34</v>
      </c>
    </row>
    <row r="787" spans="1:10" hidden="1" x14ac:dyDescent="0.35">
      <c r="A787" s="202" t="s">
        <v>82</v>
      </c>
      <c r="B787" s="15" t="s">
        <v>80</v>
      </c>
      <c r="C787" s="1" t="s">
        <v>75</v>
      </c>
      <c r="D787" s="1">
        <v>5</v>
      </c>
      <c r="E787" s="1" t="s">
        <v>319</v>
      </c>
      <c r="F787" s="1"/>
      <c r="G787" s="1"/>
      <c r="H787" s="1"/>
      <c r="I787" s="1"/>
      <c r="J787" s="123">
        <f>VLOOKUP(E787,'C'!P:Q,2,FALSE)</f>
        <v>34</v>
      </c>
    </row>
    <row r="788" spans="1:10" hidden="1" x14ac:dyDescent="0.35">
      <c r="A788" s="202" t="s">
        <v>83</v>
      </c>
      <c r="B788" s="15" t="s">
        <v>74</v>
      </c>
      <c r="C788" s="91" t="s">
        <v>75</v>
      </c>
      <c r="D788" s="91" t="s">
        <v>84</v>
      </c>
      <c r="E788" s="1" t="s">
        <v>319</v>
      </c>
      <c r="F788" s="1"/>
      <c r="G788" s="1"/>
      <c r="H788" s="1"/>
      <c r="I788" s="1"/>
      <c r="J788" s="123">
        <f>VLOOKUP(E788,'C'!P:Q,2,FALSE)</f>
        <v>34</v>
      </c>
    </row>
    <row r="789" spans="1:10" hidden="1" x14ac:dyDescent="0.35">
      <c r="A789" s="202" t="s">
        <v>83</v>
      </c>
      <c r="B789" s="15" t="s">
        <v>76</v>
      </c>
      <c r="C789" s="1" t="s">
        <v>75</v>
      </c>
      <c r="D789" s="1" t="s">
        <v>84</v>
      </c>
      <c r="E789" s="1" t="s">
        <v>319</v>
      </c>
      <c r="F789" s="1"/>
      <c r="G789" s="1"/>
      <c r="H789" s="1"/>
      <c r="I789" s="1"/>
      <c r="J789" s="123">
        <f>VLOOKUP(E789,'C'!P:Q,2,FALSE)</f>
        <v>34</v>
      </c>
    </row>
    <row r="790" spans="1:10" hidden="1" x14ac:dyDescent="0.35">
      <c r="A790" s="202" t="s">
        <v>83</v>
      </c>
      <c r="B790" s="15" t="s">
        <v>77</v>
      </c>
      <c r="C790" s="1" t="s">
        <v>75</v>
      </c>
      <c r="D790" s="1" t="s">
        <v>84</v>
      </c>
      <c r="E790" s="1" t="s">
        <v>319</v>
      </c>
      <c r="F790" s="1"/>
      <c r="G790" s="1"/>
      <c r="H790" s="1"/>
      <c r="I790" s="1"/>
      <c r="J790" s="123">
        <f>VLOOKUP(E790,'C'!P:Q,2,FALSE)</f>
        <v>34</v>
      </c>
    </row>
    <row r="791" spans="1:10" hidden="1" x14ac:dyDescent="0.35">
      <c r="A791" s="202" t="s">
        <v>83</v>
      </c>
      <c r="B791" s="15" t="s">
        <v>78</v>
      </c>
      <c r="C791" s="1" t="s">
        <v>75</v>
      </c>
      <c r="D791" s="1" t="s">
        <v>84</v>
      </c>
      <c r="E791" s="1" t="s">
        <v>319</v>
      </c>
      <c r="F791" s="1"/>
      <c r="G791" s="1"/>
      <c r="H791" s="1"/>
      <c r="I791" s="1"/>
      <c r="J791" s="123">
        <f>VLOOKUP(E791,'C'!P:Q,2,FALSE)</f>
        <v>34</v>
      </c>
    </row>
    <row r="792" spans="1:10" hidden="1" x14ac:dyDescent="0.35">
      <c r="A792" s="202" t="s">
        <v>83</v>
      </c>
      <c r="B792" s="15" t="s">
        <v>79</v>
      </c>
      <c r="C792" s="1" t="s">
        <v>75</v>
      </c>
      <c r="D792" s="1" t="s">
        <v>84</v>
      </c>
      <c r="E792" s="1" t="s">
        <v>319</v>
      </c>
      <c r="F792" s="1"/>
      <c r="G792" s="1"/>
      <c r="H792" s="1"/>
      <c r="I792" s="1"/>
      <c r="J792" s="123">
        <f>VLOOKUP(E792,'C'!P:Q,2,FALSE)</f>
        <v>34</v>
      </c>
    </row>
    <row r="793" spans="1:10" hidden="1" x14ac:dyDescent="0.35">
      <c r="A793" s="202" t="s">
        <v>83</v>
      </c>
      <c r="B793" s="15" t="s">
        <v>80</v>
      </c>
      <c r="C793" s="1" t="s">
        <v>75</v>
      </c>
      <c r="D793" s="1" t="s">
        <v>84</v>
      </c>
      <c r="E793" s="1" t="s">
        <v>319</v>
      </c>
      <c r="F793" s="1"/>
      <c r="G793" s="1"/>
      <c r="H793" s="1"/>
      <c r="I793" s="1"/>
      <c r="J793" s="123">
        <f>VLOOKUP(E793,'C'!P:Q,2,FALSE)</f>
        <v>34</v>
      </c>
    </row>
    <row r="794" spans="1:10" x14ac:dyDescent="0.35">
      <c r="A794" s="218" t="s">
        <v>73</v>
      </c>
      <c r="B794" s="3" t="s">
        <v>74</v>
      </c>
      <c r="C794" s="1" t="s">
        <v>75</v>
      </c>
      <c r="D794" s="1">
        <v>5</v>
      </c>
      <c r="E794" s="1" t="s">
        <v>312</v>
      </c>
      <c r="F794" s="14"/>
      <c r="G794" s="14"/>
      <c r="H794" s="14"/>
      <c r="I794" s="14"/>
      <c r="J794" s="123">
        <f>VLOOKUP(E794,'C'!P:Q,2,FALSE)</f>
        <v>35</v>
      </c>
    </row>
    <row r="795" spans="1:10" x14ac:dyDescent="0.35">
      <c r="A795" s="218" t="s">
        <v>73</v>
      </c>
      <c r="B795" s="3" t="s">
        <v>76</v>
      </c>
      <c r="C795" s="1" t="s">
        <v>75</v>
      </c>
      <c r="D795" s="1">
        <v>5</v>
      </c>
      <c r="E795" s="1" t="s">
        <v>312</v>
      </c>
      <c r="F795" s="14"/>
      <c r="G795" s="14"/>
      <c r="H795" s="14"/>
      <c r="I795" s="14"/>
      <c r="J795" s="123">
        <f>VLOOKUP(E795,'C'!P:Q,2,FALSE)</f>
        <v>35</v>
      </c>
    </row>
    <row r="796" spans="1:10" x14ac:dyDescent="0.35">
      <c r="A796" s="218" t="s">
        <v>73</v>
      </c>
      <c r="B796" s="3" t="s">
        <v>77</v>
      </c>
      <c r="C796" s="1" t="s">
        <v>75</v>
      </c>
      <c r="D796" s="1">
        <v>5</v>
      </c>
      <c r="E796" s="1" t="s">
        <v>312</v>
      </c>
      <c r="F796" s="14"/>
      <c r="G796" s="14"/>
      <c r="H796" s="14">
        <v>22</v>
      </c>
      <c r="I796" s="14">
        <v>23</v>
      </c>
      <c r="J796" s="123">
        <f>VLOOKUP(E796,'C'!P:Q,2,FALSE)</f>
        <v>35</v>
      </c>
    </row>
    <row r="797" spans="1:10" x14ac:dyDescent="0.35">
      <c r="A797" s="218" t="s">
        <v>73</v>
      </c>
      <c r="B797" s="3" t="s">
        <v>78</v>
      </c>
      <c r="C797" s="1" t="s">
        <v>75</v>
      </c>
      <c r="D797" s="1">
        <v>5</v>
      </c>
      <c r="E797" s="1" t="s">
        <v>312</v>
      </c>
      <c r="F797" s="14"/>
      <c r="G797" s="14"/>
      <c r="H797" s="14">
        <v>22</v>
      </c>
      <c r="I797" s="14">
        <v>23</v>
      </c>
      <c r="J797" s="123">
        <f>VLOOKUP(E797,'C'!P:Q,2,FALSE)</f>
        <v>35</v>
      </c>
    </row>
    <row r="798" spans="1:10" x14ac:dyDescent="0.35">
      <c r="A798" s="218" t="s">
        <v>73</v>
      </c>
      <c r="B798" s="3" t="s">
        <v>79</v>
      </c>
      <c r="C798" s="1" t="s">
        <v>75</v>
      </c>
      <c r="D798" s="1">
        <v>5</v>
      </c>
      <c r="E798" s="1" t="s">
        <v>312</v>
      </c>
      <c r="F798" s="14"/>
      <c r="G798" s="14"/>
      <c r="H798" s="14">
        <v>22</v>
      </c>
      <c r="I798" s="14">
        <v>23</v>
      </c>
      <c r="J798" s="123">
        <f>VLOOKUP(E798,'C'!P:Q,2,FALSE)</f>
        <v>35</v>
      </c>
    </row>
    <row r="799" spans="1:10" x14ac:dyDescent="0.35">
      <c r="A799" s="218" t="s">
        <v>73</v>
      </c>
      <c r="B799" s="3" t="s">
        <v>80</v>
      </c>
      <c r="C799" s="1" t="s">
        <v>75</v>
      </c>
      <c r="D799" s="1">
        <v>5</v>
      </c>
      <c r="E799" s="1" t="s">
        <v>312</v>
      </c>
      <c r="F799" s="14"/>
      <c r="G799" s="14"/>
      <c r="H799" s="14"/>
      <c r="I799" s="14"/>
      <c r="J799" s="123">
        <f>VLOOKUP(E799,'C'!P:Q,2,FALSE)</f>
        <v>35</v>
      </c>
    </row>
    <row r="800" spans="1:10" hidden="1" x14ac:dyDescent="0.35">
      <c r="A800" s="218" t="s">
        <v>81</v>
      </c>
      <c r="B800" s="3" t="s">
        <v>76</v>
      </c>
      <c r="C800" s="91" t="s">
        <v>75</v>
      </c>
      <c r="D800" s="91">
        <v>5</v>
      </c>
      <c r="E800" s="1" t="s">
        <v>312</v>
      </c>
      <c r="F800" s="14"/>
      <c r="G800" s="14"/>
      <c r="H800" s="14"/>
      <c r="I800" s="14"/>
      <c r="J800" s="123">
        <f>VLOOKUP(E800,'C'!P:Q,2,FALSE)</f>
        <v>35</v>
      </c>
    </row>
    <row r="801" spans="1:10" hidden="1" x14ac:dyDescent="0.35">
      <c r="A801" s="218" t="s">
        <v>81</v>
      </c>
      <c r="B801" s="3" t="s">
        <v>74</v>
      </c>
      <c r="C801" s="1" t="s">
        <v>75</v>
      </c>
      <c r="D801" s="1">
        <v>5</v>
      </c>
      <c r="E801" s="1" t="s">
        <v>312</v>
      </c>
      <c r="F801" s="14"/>
      <c r="G801" s="14"/>
      <c r="H801" s="14"/>
      <c r="I801" s="14"/>
      <c r="J801" s="123">
        <f>VLOOKUP(E801,'C'!P:Q,2,FALSE)</f>
        <v>35</v>
      </c>
    </row>
    <row r="802" spans="1:10" hidden="1" x14ac:dyDescent="0.35">
      <c r="A802" s="218" t="s">
        <v>81</v>
      </c>
      <c r="B802" s="3" t="s">
        <v>78</v>
      </c>
      <c r="C802" s="1" t="s">
        <v>75</v>
      </c>
      <c r="D802" s="1">
        <v>5</v>
      </c>
      <c r="E802" s="1" t="s">
        <v>312</v>
      </c>
      <c r="F802" s="14"/>
      <c r="G802" s="14"/>
      <c r="H802" s="14">
        <v>22</v>
      </c>
      <c r="I802" s="14">
        <v>23</v>
      </c>
      <c r="J802" s="123">
        <f>VLOOKUP(E802,'C'!P:Q,2,FALSE)</f>
        <v>35</v>
      </c>
    </row>
    <row r="803" spans="1:10" hidden="1" x14ac:dyDescent="0.35">
      <c r="A803" s="218" t="s">
        <v>81</v>
      </c>
      <c r="B803" s="3" t="s">
        <v>77</v>
      </c>
      <c r="C803" s="1" t="s">
        <v>75</v>
      </c>
      <c r="D803" s="1">
        <v>5</v>
      </c>
      <c r="E803" s="1" t="s">
        <v>312</v>
      </c>
      <c r="F803" s="14"/>
      <c r="G803" s="14"/>
      <c r="H803" s="14">
        <v>22</v>
      </c>
      <c r="I803" s="14">
        <v>23</v>
      </c>
      <c r="J803" s="123">
        <f>VLOOKUP(E803,'C'!P:Q,2,FALSE)</f>
        <v>35</v>
      </c>
    </row>
    <row r="804" spans="1:10" hidden="1" x14ac:dyDescent="0.35">
      <c r="A804" s="218" t="s">
        <v>81</v>
      </c>
      <c r="B804" s="3" t="s">
        <v>79</v>
      </c>
      <c r="C804" s="1" t="s">
        <v>75</v>
      </c>
      <c r="D804" s="1">
        <v>5</v>
      </c>
      <c r="E804" s="1" t="s">
        <v>312</v>
      </c>
      <c r="F804" s="14"/>
      <c r="G804" s="14"/>
      <c r="H804" s="14"/>
      <c r="I804" s="14"/>
      <c r="J804" s="123">
        <f>VLOOKUP(E804,'C'!P:Q,2,FALSE)</f>
        <v>35</v>
      </c>
    </row>
    <row r="805" spans="1:10" hidden="1" x14ac:dyDescent="0.35">
      <c r="A805" s="218" t="s">
        <v>81</v>
      </c>
      <c r="B805" s="3" t="s">
        <v>80</v>
      </c>
      <c r="C805" s="1" t="s">
        <v>75</v>
      </c>
      <c r="D805" s="1">
        <v>5</v>
      </c>
      <c r="E805" s="1" t="s">
        <v>312</v>
      </c>
      <c r="F805" s="14"/>
      <c r="G805" s="14"/>
      <c r="H805" s="14"/>
      <c r="I805" s="14"/>
      <c r="J805" s="123">
        <f>VLOOKUP(E805,'C'!P:Q,2,FALSE)</f>
        <v>35</v>
      </c>
    </row>
    <row r="806" spans="1:10" hidden="1" x14ac:dyDescent="0.35">
      <c r="A806" s="202" t="s">
        <v>82</v>
      </c>
      <c r="B806" s="15" t="s">
        <v>74</v>
      </c>
      <c r="C806" s="91" t="s">
        <v>75</v>
      </c>
      <c r="D806" s="91">
        <v>5</v>
      </c>
      <c r="E806" s="1" t="s">
        <v>312</v>
      </c>
      <c r="F806" s="14"/>
      <c r="G806" s="14"/>
      <c r="H806" s="14"/>
      <c r="I806" s="14"/>
      <c r="J806" s="123">
        <f>VLOOKUP(E806,'C'!P:Q,2,FALSE)</f>
        <v>35</v>
      </c>
    </row>
    <row r="807" spans="1:10" hidden="1" x14ac:dyDescent="0.35">
      <c r="A807" s="202" t="s">
        <v>82</v>
      </c>
      <c r="B807" s="15" t="s">
        <v>76</v>
      </c>
      <c r="C807" s="1" t="s">
        <v>75</v>
      </c>
      <c r="D807" s="1">
        <v>5</v>
      </c>
      <c r="E807" s="1" t="s">
        <v>312</v>
      </c>
      <c r="F807" s="14"/>
      <c r="G807" s="14"/>
      <c r="H807" s="14"/>
      <c r="I807" s="14"/>
      <c r="J807" s="123">
        <f>VLOOKUP(E807,'C'!P:Q,2,FALSE)</f>
        <v>35</v>
      </c>
    </row>
    <row r="808" spans="1:10" hidden="1" x14ac:dyDescent="0.35">
      <c r="A808" s="202" t="s">
        <v>82</v>
      </c>
      <c r="B808" s="15" t="s">
        <v>77</v>
      </c>
      <c r="C808" s="1" t="s">
        <v>75</v>
      </c>
      <c r="D808" s="1">
        <v>5</v>
      </c>
      <c r="E808" s="1" t="s">
        <v>312</v>
      </c>
      <c r="F808" s="14"/>
      <c r="G808" s="14"/>
      <c r="H808" s="14">
        <v>22</v>
      </c>
      <c r="I808" s="14">
        <v>23</v>
      </c>
      <c r="J808" s="123">
        <f>VLOOKUP(E808,'C'!P:Q,2,FALSE)</f>
        <v>35</v>
      </c>
    </row>
    <row r="809" spans="1:10" hidden="1" x14ac:dyDescent="0.35">
      <c r="A809" s="202" t="s">
        <v>82</v>
      </c>
      <c r="B809" s="15" t="s">
        <v>78</v>
      </c>
      <c r="C809" s="1" t="s">
        <v>75</v>
      </c>
      <c r="D809" s="1">
        <v>5</v>
      </c>
      <c r="E809" s="1" t="s">
        <v>312</v>
      </c>
      <c r="F809" s="14"/>
      <c r="G809" s="14"/>
      <c r="H809" s="14">
        <v>22</v>
      </c>
      <c r="I809" s="14">
        <v>23</v>
      </c>
      <c r="J809" s="123">
        <f>VLOOKUP(E809,'C'!P:Q,2,FALSE)</f>
        <v>35</v>
      </c>
    </row>
    <row r="810" spans="1:10" hidden="1" x14ac:dyDescent="0.35">
      <c r="A810" s="202" t="s">
        <v>82</v>
      </c>
      <c r="B810" s="15" t="s">
        <v>79</v>
      </c>
      <c r="C810" s="1" t="s">
        <v>75</v>
      </c>
      <c r="D810" s="1">
        <v>5</v>
      </c>
      <c r="E810" s="1" t="s">
        <v>312</v>
      </c>
      <c r="F810" s="14"/>
      <c r="G810" s="14"/>
      <c r="H810" s="14"/>
      <c r="I810" s="14"/>
      <c r="J810" s="123">
        <f>VLOOKUP(E810,'C'!P:Q,2,FALSE)</f>
        <v>35</v>
      </c>
    </row>
    <row r="811" spans="1:10" hidden="1" x14ac:dyDescent="0.35">
      <c r="A811" s="202" t="s">
        <v>82</v>
      </c>
      <c r="B811" s="15" t="s">
        <v>80</v>
      </c>
      <c r="C811" s="1" t="s">
        <v>75</v>
      </c>
      <c r="D811" s="1">
        <v>5</v>
      </c>
      <c r="E811" s="1" t="s">
        <v>312</v>
      </c>
      <c r="F811" s="14"/>
      <c r="G811" s="14"/>
      <c r="H811" s="14"/>
      <c r="I811" s="14"/>
      <c r="J811" s="123">
        <f>VLOOKUP(E811,'C'!P:Q,2,FALSE)</f>
        <v>35</v>
      </c>
    </row>
    <row r="812" spans="1:10" hidden="1" x14ac:dyDescent="0.35">
      <c r="A812" s="202" t="s">
        <v>83</v>
      </c>
      <c r="B812" s="15" t="s">
        <v>74</v>
      </c>
      <c r="C812" s="91" t="s">
        <v>75</v>
      </c>
      <c r="D812" s="91" t="s">
        <v>84</v>
      </c>
      <c r="E812" s="1" t="s">
        <v>312</v>
      </c>
      <c r="F812" s="16"/>
      <c r="G812" s="16"/>
      <c r="H812" s="14">
        <v>22</v>
      </c>
      <c r="I812" s="14">
        <v>24</v>
      </c>
      <c r="J812" s="123">
        <f>VLOOKUP(E812,'C'!P:Q,2,FALSE)</f>
        <v>35</v>
      </c>
    </row>
    <row r="813" spans="1:10" hidden="1" x14ac:dyDescent="0.35">
      <c r="A813" s="202" t="s">
        <v>83</v>
      </c>
      <c r="B813" s="15" t="s">
        <v>76</v>
      </c>
      <c r="C813" s="1" t="s">
        <v>75</v>
      </c>
      <c r="D813" s="1" t="s">
        <v>84</v>
      </c>
      <c r="E813" s="1" t="s">
        <v>312</v>
      </c>
      <c r="F813" s="16"/>
      <c r="G813" s="16"/>
      <c r="H813" s="14">
        <v>22</v>
      </c>
      <c r="I813" s="14">
        <v>24</v>
      </c>
      <c r="J813" s="123">
        <f>VLOOKUP(E813,'C'!P:Q,2,FALSE)</f>
        <v>35</v>
      </c>
    </row>
    <row r="814" spans="1:10" hidden="1" x14ac:dyDescent="0.35">
      <c r="A814" s="202" t="s">
        <v>83</v>
      </c>
      <c r="B814" s="15" t="s">
        <v>77</v>
      </c>
      <c r="C814" s="1" t="s">
        <v>75</v>
      </c>
      <c r="D814" s="1" t="s">
        <v>84</v>
      </c>
      <c r="E814" s="1" t="s">
        <v>312</v>
      </c>
      <c r="F814" s="14"/>
      <c r="G814" s="14"/>
      <c r="H814" s="14">
        <v>22</v>
      </c>
      <c r="I814" s="14">
        <v>23</v>
      </c>
      <c r="J814" s="123">
        <f>VLOOKUP(E814,'C'!P:Q,2,FALSE)</f>
        <v>35</v>
      </c>
    </row>
    <row r="815" spans="1:10" hidden="1" x14ac:dyDescent="0.35">
      <c r="A815" s="202" t="s">
        <v>83</v>
      </c>
      <c r="B815" s="15" t="s">
        <v>78</v>
      </c>
      <c r="C815" s="1" t="s">
        <v>75</v>
      </c>
      <c r="D815" s="1" t="s">
        <v>84</v>
      </c>
      <c r="E815" s="1" t="s">
        <v>312</v>
      </c>
      <c r="F815" s="14"/>
      <c r="G815" s="14"/>
      <c r="H815" s="14">
        <v>22</v>
      </c>
      <c r="I815" s="14">
        <v>23</v>
      </c>
      <c r="J815" s="123">
        <f>VLOOKUP(E815,'C'!P:Q,2,FALSE)</f>
        <v>35</v>
      </c>
    </row>
    <row r="816" spans="1:10" hidden="1" x14ac:dyDescent="0.35">
      <c r="A816" s="202" t="s">
        <v>83</v>
      </c>
      <c r="B816" s="15" t="s">
        <v>79</v>
      </c>
      <c r="C816" s="1" t="s">
        <v>75</v>
      </c>
      <c r="D816" s="1" t="s">
        <v>84</v>
      </c>
      <c r="E816" s="1" t="s">
        <v>312</v>
      </c>
      <c r="F816" s="16"/>
      <c r="G816" s="16"/>
      <c r="H816" s="14"/>
      <c r="I816" s="14"/>
      <c r="J816" s="123">
        <f>VLOOKUP(E816,'C'!P:Q,2,FALSE)</f>
        <v>35</v>
      </c>
    </row>
    <row r="817" spans="1:10" hidden="1" x14ac:dyDescent="0.35">
      <c r="A817" s="202" t="s">
        <v>83</v>
      </c>
      <c r="B817" s="15" t="s">
        <v>80</v>
      </c>
      <c r="C817" s="1" t="s">
        <v>75</v>
      </c>
      <c r="D817" s="1" t="s">
        <v>84</v>
      </c>
      <c r="E817" s="1" t="s">
        <v>312</v>
      </c>
      <c r="F817" s="14"/>
      <c r="G817" s="14"/>
      <c r="H817" s="14"/>
      <c r="I817" s="14"/>
      <c r="J817" s="123">
        <f>VLOOKUP(E817,'C'!P:Q,2,FALSE)</f>
        <v>35</v>
      </c>
    </row>
    <row r="818" spans="1:10" x14ac:dyDescent="0.35">
      <c r="A818" s="218" t="s">
        <v>73</v>
      </c>
      <c r="B818" s="3" t="s">
        <v>74</v>
      </c>
      <c r="C818" s="1" t="s">
        <v>75</v>
      </c>
      <c r="D818" s="1">
        <v>5</v>
      </c>
      <c r="E818" s="1" t="s">
        <v>313</v>
      </c>
      <c r="F818" s="14"/>
      <c r="G818" s="14"/>
      <c r="H818" s="14">
        <v>19</v>
      </c>
      <c r="I818" s="14">
        <v>20</v>
      </c>
      <c r="J818" s="123">
        <f>VLOOKUP(E818,'C'!P:Q,2,FALSE)</f>
        <v>36</v>
      </c>
    </row>
    <row r="819" spans="1:10" x14ac:dyDescent="0.35">
      <c r="A819" s="218" t="s">
        <v>73</v>
      </c>
      <c r="B819" s="3" t="s">
        <v>76</v>
      </c>
      <c r="C819" s="1" t="s">
        <v>75</v>
      </c>
      <c r="D819" s="1">
        <v>5</v>
      </c>
      <c r="E819" s="1" t="s">
        <v>313</v>
      </c>
      <c r="F819" s="14"/>
      <c r="G819" s="14"/>
      <c r="H819" s="14">
        <v>19</v>
      </c>
      <c r="I819" s="14">
        <v>20</v>
      </c>
      <c r="J819" s="123">
        <f>VLOOKUP(E819,'C'!P:Q,2,FALSE)</f>
        <v>36</v>
      </c>
    </row>
    <row r="820" spans="1:10" x14ac:dyDescent="0.35">
      <c r="A820" s="218" t="s">
        <v>73</v>
      </c>
      <c r="B820" s="3" t="s">
        <v>77</v>
      </c>
      <c r="C820" s="1" t="s">
        <v>75</v>
      </c>
      <c r="D820" s="1">
        <v>5</v>
      </c>
      <c r="E820" s="1" t="s">
        <v>313</v>
      </c>
      <c r="F820" s="14"/>
      <c r="G820" s="14"/>
      <c r="H820" s="1">
        <v>19</v>
      </c>
      <c r="I820" s="89">
        <v>20</v>
      </c>
      <c r="J820" s="123">
        <f>VLOOKUP(E820,'C'!P:Q,2,FALSE)</f>
        <v>36</v>
      </c>
    </row>
    <row r="821" spans="1:10" x14ac:dyDescent="0.35">
      <c r="A821" s="218" t="s">
        <v>73</v>
      </c>
      <c r="B821" s="3" t="s">
        <v>78</v>
      </c>
      <c r="C821" s="1" t="s">
        <v>75</v>
      </c>
      <c r="D821" s="1">
        <v>5</v>
      </c>
      <c r="E821" s="1" t="s">
        <v>313</v>
      </c>
      <c r="F821" s="14"/>
      <c r="G821" s="14"/>
      <c r="H821" s="1">
        <v>19</v>
      </c>
      <c r="I821" s="89">
        <v>20</v>
      </c>
      <c r="J821" s="123">
        <f>VLOOKUP(E821,'C'!P:Q,2,FALSE)</f>
        <v>36</v>
      </c>
    </row>
    <row r="822" spans="1:10" x14ac:dyDescent="0.35">
      <c r="A822" s="218" t="s">
        <v>73</v>
      </c>
      <c r="B822" s="3" t="s">
        <v>79</v>
      </c>
      <c r="C822" s="1" t="s">
        <v>75</v>
      </c>
      <c r="D822" s="1">
        <v>5</v>
      </c>
      <c r="E822" s="1" t="s">
        <v>313</v>
      </c>
      <c r="F822" s="14"/>
      <c r="G822" s="14"/>
      <c r="H822" s="14">
        <v>19</v>
      </c>
      <c r="I822" s="14">
        <v>20</v>
      </c>
      <c r="J822" s="123">
        <f>VLOOKUP(E822,'C'!P:Q,2,FALSE)</f>
        <v>36</v>
      </c>
    </row>
    <row r="823" spans="1:10" x14ac:dyDescent="0.35">
      <c r="A823" s="218" t="s">
        <v>73</v>
      </c>
      <c r="B823" s="3" t="s">
        <v>80</v>
      </c>
      <c r="C823" s="1" t="s">
        <v>75</v>
      </c>
      <c r="D823" s="1">
        <v>5</v>
      </c>
      <c r="E823" s="1" t="s">
        <v>313</v>
      </c>
      <c r="F823" s="14"/>
      <c r="G823" s="14"/>
      <c r="H823" s="14"/>
      <c r="I823" s="14"/>
      <c r="J823" s="123">
        <f>VLOOKUP(E823,'C'!P:Q,2,FALSE)</f>
        <v>36</v>
      </c>
    </row>
    <row r="824" spans="1:10" hidden="1" x14ac:dyDescent="0.35">
      <c r="A824" s="218" t="s">
        <v>81</v>
      </c>
      <c r="B824" s="3" t="s">
        <v>76</v>
      </c>
      <c r="C824" s="91" t="s">
        <v>75</v>
      </c>
      <c r="D824" s="91">
        <v>5</v>
      </c>
      <c r="E824" s="1" t="s">
        <v>313</v>
      </c>
      <c r="F824" s="14"/>
      <c r="G824" s="14"/>
      <c r="H824" s="14">
        <v>19</v>
      </c>
      <c r="I824" s="14">
        <v>20</v>
      </c>
      <c r="J824" s="123">
        <f>VLOOKUP(E824,'C'!P:Q,2,FALSE)</f>
        <v>36</v>
      </c>
    </row>
    <row r="825" spans="1:10" hidden="1" x14ac:dyDescent="0.35">
      <c r="A825" s="218" t="s">
        <v>81</v>
      </c>
      <c r="B825" s="3" t="s">
        <v>74</v>
      </c>
      <c r="C825" s="1" t="s">
        <v>75</v>
      </c>
      <c r="D825" s="1">
        <v>5</v>
      </c>
      <c r="E825" s="1" t="s">
        <v>313</v>
      </c>
      <c r="F825" s="14"/>
      <c r="G825" s="14"/>
      <c r="H825" s="14">
        <v>19</v>
      </c>
      <c r="I825" s="14">
        <v>20</v>
      </c>
      <c r="J825" s="123">
        <f>VLOOKUP(E825,'C'!P:Q,2,FALSE)</f>
        <v>36</v>
      </c>
    </row>
    <row r="826" spans="1:10" hidden="1" x14ac:dyDescent="0.35">
      <c r="A826" s="218" t="s">
        <v>81</v>
      </c>
      <c r="B826" s="3" t="s">
        <v>78</v>
      </c>
      <c r="C826" s="1" t="s">
        <v>75</v>
      </c>
      <c r="D826" s="1">
        <v>5</v>
      </c>
      <c r="E826" s="1" t="s">
        <v>313</v>
      </c>
      <c r="F826" s="14"/>
      <c r="G826" s="14"/>
      <c r="H826" s="1">
        <v>19</v>
      </c>
      <c r="I826" s="89">
        <v>20</v>
      </c>
      <c r="J826" s="123">
        <f>VLOOKUP(E826,'C'!P:Q,2,FALSE)</f>
        <v>36</v>
      </c>
    </row>
    <row r="827" spans="1:10" hidden="1" x14ac:dyDescent="0.35">
      <c r="A827" s="218" t="s">
        <v>81</v>
      </c>
      <c r="B827" s="3" t="s">
        <v>77</v>
      </c>
      <c r="C827" s="1" t="s">
        <v>75</v>
      </c>
      <c r="D827" s="1">
        <v>5</v>
      </c>
      <c r="E827" s="1" t="s">
        <v>313</v>
      </c>
      <c r="F827" s="14"/>
      <c r="G827" s="14"/>
      <c r="H827" s="1">
        <v>19</v>
      </c>
      <c r="I827" s="89">
        <v>20</v>
      </c>
      <c r="J827" s="123">
        <f>VLOOKUP(E827,'C'!P:Q,2,FALSE)</f>
        <v>36</v>
      </c>
    </row>
    <row r="828" spans="1:10" hidden="1" x14ac:dyDescent="0.35">
      <c r="A828" s="218" t="s">
        <v>81</v>
      </c>
      <c r="B828" s="3" t="s">
        <v>79</v>
      </c>
      <c r="C828" s="1" t="s">
        <v>75</v>
      </c>
      <c r="D828" s="1">
        <v>5</v>
      </c>
      <c r="E828" s="1" t="s">
        <v>313</v>
      </c>
      <c r="F828" s="14"/>
      <c r="G828" s="14"/>
      <c r="H828" s="14"/>
      <c r="I828" s="14"/>
      <c r="J828" s="123">
        <f>VLOOKUP(E828,'C'!P:Q,2,FALSE)</f>
        <v>36</v>
      </c>
    </row>
    <row r="829" spans="1:10" hidden="1" x14ac:dyDescent="0.35">
      <c r="A829" s="218" t="s">
        <v>81</v>
      </c>
      <c r="B829" s="3" t="s">
        <v>80</v>
      </c>
      <c r="C829" s="1" t="s">
        <v>75</v>
      </c>
      <c r="D829" s="1">
        <v>5</v>
      </c>
      <c r="E829" s="1" t="s">
        <v>313</v>
      </c>
      <c r="F829" s="14"/>
      <c r="G829" s="14"/>
      <c r="H829" s="14"/>
      <c r="I829" s="14"/>
      <c r="J829" s="123">
        <f>VLOOKUP(E829,'C'!P:Q,2,FALSE)</f>
        <v>36</v>
      </c>
    </row>
    <row r="830" spans="1:10" hidden="1" x14ac:dyDescent="0.35">
      <c r="A830" s="202" t="s">
        <v>82</v>
      </c>
      <c r="B830" s="15" t="s">
        <v>74</v>
      </c>
      <c r="C830" s="91" t="s">
        <v>75</v>
      </c>
      <c r="D830" s="91">
        <v>5</v>
      </c>
      <c r="E830" s="1" t="s">
        <v>313</v>
      </c>
      <c r="F830" s="14"/>
      <c r="G830" s="14"/>
      <c r="H830" s="14">
        <v>19</v>
      </c>
      <c r="I830" s="14">
        <v>20</v>
      </c>
      <c r="J830" s="123">
        <f>VLOOKUP(E830,'C'!P:Q,2,FALSE)</f>
        <v>36</v>
      </c>
    </row>
    <row r="831" spans="1:10" hidden="1" x14ac:dyDescent="0.35">
      <c r="A831" s="202" t="s">
        <v>82</v>
      </c>
      <c r="B831" s="15" t="s">
        <v>76</v>
      </c>
      <c r="C831" s="1" t="s">
        <v>75</v>
      </c>
      <c r="D831" s="1">
        <v>5</v>
      </c>
      <c r="E831" s="1" t="s">
        <v>313</v>
      </c>
      <c r="F831" s="14"/>
      <c r="G831" s="14"/>
      <c r="H831" s="14">
        <v>19</v>
      </c>
      <c r="I831" s="14">
        <v>20</v>
      </c>
      <c r="J831" s="123">
        <f>VLOOKUP(E831,'C'!P:Q,2,FALSE)</f>
        <v>36</v>
      </c>
    </row>
    <row r="832" spans="1:10" hidden="1" x14ac:dyDescent="0.35">
      <c r="A832" s="202" t="s">
        <v>82</v>
      </c>
      <c r="B832" s="15" t="s">
        <v>77</v>
      </c>
      <c r="C832" s="1" t="s">
        <v>75</v>
      </c>
      <c r="D832" s="1">
        <v>5</v>
      </c>
      <c r="E832" s="1" t="s">
        <v>313</v>
      </c>
      <c r="F832" s="14"/>
      <c r="G832" s="14"/>
      <c r="H832" s="1">
        <v>19</v>
      </c>
      <c r="I832" s="89">
        <v>20</v>
      </c>
      <c r="J832" s="123">
        <f>VLOOKUP(E832,'C'!P:Q,2,FALSE)</f>
        <v>36</v>
      </c>
    </row>
    <row r="833" spans="1:10" hidden="1" x14ac:dyDescent="0.35">
      <c r="A833" s="202" t="s">
        <v>82</v>
      </c>
      <c r="B833" s="15" t="s">
        <v>78</v>
      </c>
      <c r="C833" s="1" t="s">
        <v>75</v>
      </c>
      <c r="D833" s="1">
        <v>5</v>
      </c>
      <c r="E833" s="1" t="s">
        <v>313</v>
      </c>
      <c r="F833" s="14"/>
      <c r="G833" s="14"/>
      <c r="H833" s="1">
        <v>19</v>
      </c>
      <c r="I833" s="89">
        <v>20</v>
      </c>
      <c r="J833" s="123">
        <f>VLOOKUP(E833,'C'!P:Q,2,FALSE)</f>
        <v>36</v>
      </c>
    </row>
    <row r="834" spans="1:10" hidden="1" x14ac:dyDescent="0.35">
      <c r="A834" s="202" t="s">
        <v>82</v>
      </c>
      <c r="B834" s="15" t="s">
        <v>79</v>
      </c>
      <c r="C834" s="1" t="s">
        <v>75</v>
      </c>
      <c r="D834" s="1">
        <v>5</v>
      </c>
      <c r="E834" s="1" t="s">
        <v>313</v>
      </c>
      <c r="F834" s="14"/>
      <c r="G834" s="14"/>
      <c r="H834" s="14"/>
      <c r="I834" s="14"/>
      <c r="J834" s="123">
        <f>VLOOKUP(E834,'C'!P:Q,2,FALSE)</f>
        <v>36</v>
      </c>
    </row>
    <row r="835" spans="1:10" hidden="1" x14ac:dyDescent="0.35">
      <c r="A835" s="202" t="s">
        <v>82</v>
      </c>
      <c r="B835" s="15" t="s">
        <v>80</v>
      </c>
      <c r="C835" s="1" t="s">
        <v>75</v>
      </c>
      <c r="D835" s="1">
        <v>5</v>
      </c>
      <c r="E835" s="1" t="s">
        <v>313</v>
      </c>
      <c r="F835" s="14"/>
      <c r="G835" s="14"/>
      <c r="H835" s="14"/>
      <c r="I835" s="14"/>
      <c r="J835" s="123">
        <f>VLOOKUP(E835,'C'!P:Q,2,FALSE)</f>
        <v>36</v>
      </c>
    </row>
    <row r="836" spans="1:10" hidden="1" x14ac:dyDescent="0.35">
      <c r="A836" s="202" t="s">
        <v>83</v>
      </c>
      <c r="B836" s="15" t="s">
        <v>74</v>
      </c>
      <c r="C836" s="91" t="s">
        <v>75</v>
      </c>
      <c r="D836" s="91" t="s">
        <v>84</v>
      </c>
      <c r="E836" s="1" t="s">
        <v>313</v>
      </c>
      <c r="F836" s="16"/>
      <c r="G836" s="16"/>
      <c r="H836" s="14">
        <v>19</v>
      </c>
      <c r="I836" s="14">
        <v>20</v>
      </c>
      <c r="J836" s="123">
        <f>VLOOKUP(E836,'C'!P:Q,2,FALSE)</f>
        <v>36</v>
      </c>
    </row>
    <row r="837" spans="1:10" hidden="1" x14ac:dyDescent="0.35">
      <c r="A837" s="202" t="s">
        <v>83</v>
      </c>
      <c r="B837" s="15" t="s">
        <v>76</v>
      </c>
      <c r="C837" s="1" t="s">
        <v>75</v>
      </c>
      <c r="D837" s="1" t="s">
        <v>84</v>
      </c>
      <c r="E837" s="1" t="s">
        <v>313</v>
      </c>
      <c r="F837" s="16"/>
      <c r="G837" s="16"/>
      <c r="H837" s="14">
        <v>19</v>
      </c>
      <c r="I837" s="14">
        <v>20</v>
      </c>
      <c r="J837" s="123">
        <f>VLOOKUP(E837,'C'!P:Q,2,FALSE)</f>
        <v>36</v>
      </c>
    </row>
    <row r="838" spans="1:10" hidden="1" x14ac:dyDescent="0.35">
      <c r="A838" s="202" t="s">
        <v>83</v>
      </c>
      <c r="B838" s="15" t="s">
        <v>77</v>
      </c>
      <c r="C838" s="1" t="s">
        <v>75</v>
      </c>
      <c r="D838" s="1" t="s">
        <v>84</v>
      </c>
      <c r="E838" s="1" t="s">
        <v>313</v>
      </c>
      <c r="F838" s="16"/>
      <c r="G838" s="16"/>
      <c r="H838" s="1">
        <v>19</v>
      </c>
      <c r="I838" s="89">
        <v>20</v>
      </c>
      <c r="J838" s="123">
        <f>VLOOKUP(E838,'C'!P:Q,2,FALSE)</f>
        <v>36</v>
      </c>
    </row>
    <row r="839" spans="1:10" hidden="1" x14ac:dyDescent="0.35">
      <c r="A839" s="202" t="s">
        <v>83</v>
      </c>
      <c r="B839" s="15" t="s">
        <v>78</v>
      </c>
      <c r="C839" s="1" t="s">
        <v>75</v>
      </c>
      <c r="D839" s="1" t="s">
        <v>84</v>
      </c>
      <c r="E839" s="1" t="s">
        <v>313</v>
      </c>
      <c r="F839" s="14"/>
      <c r="G839" s="14"/>
      <c r="H839" s="1">
        <v>19</v>
      </c>
      <c r="I839" s="89">
        <v>20</v>
      </c>
      <c r="J839" s="123">
        <f>VLOOKUP(E839,'C'!P:Q,2,FALSE)</f>
        <v>36</v>
      </c>
    </row>
    <row r="840" spans="1:10" hidden="1" x14ac:dyDescent="0.35">
      <c r="A840" s="202" t="s">
        <v>83</v>
      </c>
      <c r="B840" s="15" t="s">
        <v>79</v>
      </c>
      <c r="C840" s="1" t="s">
        <v>75</v>
      </c>
      <c r="D840" s="1" t="s">
        <v>84</v>
      </c>
      <c r="E840" s="1" t="s">
        <v>313</v>
      </c>
      <c r="F840" s="14"/>
      <c r="G840" s="14"/>
      <c r="H840" s="14"/>
      <c r="I840" s="14"/>
      <c r="J840" s="123">
        <f>VLOOKUP(E840,'C'!P:Q,2,FALSE)</f>
        <v>36</v>
      </c>
    </row>
    <row r="841" spans="1:10" hidden="1" x14ac:dyDescent="0.35">
      <c r="A841" s="202" t="s">
        <v>83</v>
      </c>
      <c r="B841" s="15" t="s">
        <v>80</v>
      </c>
      <c r="C841" s="1" t="s">
        <v>75</v>
      </c>
      <c r="D841" s="1" t="s">
        <v>84</v>
      </c>
      <c r="E841" s="1" t="s">
        <v>313</v>
      </c>
      <c r="F841" s="14"/>
      <c r="G841" s="14"/>
      <c r="H841" s="14"/>
      <c r="I841" s="14"/>
      <c r="J841" s="123">
        <f>VLOOKUP(E841,'C'!P:Q,2,FALSE)</f>
        <v>36</v>
      </c>
    </row>
    <row r="842" spans="1:10" x14ac:dyDescent="0.35">
      <c r="A842" s="218" t="s">
        <v>73</v>
      </c>
      <c r="B842" s="3" t="s">
        <v>74</v>
      </c>
      <c r="C842" s="1" t="s">
        <v>75</v>
      </c>
      <c r="D842" s="1">
        <v>5</v>
      </c>
      <c r="E842" s="1" t="s">
        <v>314</v>
      </c>
      <c r="F842" s="14"/>
      <c r="G842" s="14"/>
      <c r="H842" s="14">
        <v>16</v>
      </c>
      <c r="I842" s="14">
        <v>19</v>
      </c>
      <c r="J842" s="123">
        <f>VLOOKUP(E842,'C'!P:Q,2,FALSE)</f>
        <v>37</v>
      </c>
    </row>
    <row r="843" spans="1:10" x14ac:dyDescent="0.35">
      <c r="A843" s="218" t="s">
        <v>73</v>
      </c>
      <c r="B843" s="3" t="s">
        <v>76</v>
      </c>
      <c r="C843" s="1" t="s">
        <v>75</v>
      </c>
      <c r="D843" s="1">
        <v>5</v>
      </c>
      <c r="E843" s="1" t="s">
        <v>314</v>
      </c>
      <c r="F843" s="14"/>
      <c r="G843" s="14"/>
      <c r="H843" s="14">
        <v>16</v>
      </c>
      <c r="I843" s="14">
        <v>19</v>
      </c>
      <c r="J843" s="123">
        <f>VLOOKUP(E843,'C'!P:Q,2,FALSE)</f>
        <v>37</v>
      </c>
    </row>
    <row r="844" spans="1:10" x14ac:dyDescent="0.35">
      <c r="A844" s="218" t="s">
        <v>73</v>
      </c>
      <c r="B844" s="3" t="s">
        <v>77</v>
      </c>
      <c r="C844" s="1" t="s">
        <v>75</v>
      </c>
      <c r="D844" s="1">
        <v>5</v>
      </c>
      <c r="E844" s="1" t="s">
        <v>314</v>
      </c>
      <c r="F844" s="14"/>
      <c r="G844" s="14"/>
      <c r="H844" s="1">
        <v>16</v>
      </c>
      <c r="I844" s="1">
        <v>17</v>
      </c>
      <c r="J844" s="123">
        <f>VLOOKUP(E844,'C'!P:Q,2,FALSE)</f>
        <v>37</v>
      </c>
    </row>
    <row r="845" spans="1:10" x14ac:dyDescent="0.35">
      <c r="A845" s="218" t="s">
        <v>73</v>
      </c>
      <c r="B845" s="3" t="s">
        <v>78</v>
      </c>
      <c r="C845" s="1" t="s">
        <v>75</v>
      </c>
      <c r="D845" s="1">
        <v>5</v>
      </c>
      <c r="E845" s="1" t="s">
        <v>314</v>
      </c>
      <c r="F845" s="14"/>
      <c r="G845" s="14"/>
      <c r="H845" s="1">
        <v>16</v>
      </c>
      <c r="I845" s="1">
        <v>17</v>
      </c>
      <c r="J845" s="123">
        <f>VLOOKUP(E845,'C'!P:Q,2,FALSE)</f>
        <v>37</v>
      </c>
    </row>
    <row r="846" spans="1:10" x14ac:dyDescent="0.35">
      <c r="A846" s="218" t="s">
        <v>73</v>
      </c>
      <c r="B846" s="3" t="s">
        <v>79</v>
      </c>
      <c r="C846" s="1" t="s">
        <v>75</v>
      </c>
      <c r="D846" s="1">
        <v>5</v>
      </c>
      <c r="E846" s="1" t="s">
        <v>314</v>
      </c>
      <c r="F846" s="14"/>
      <c r="G846" s="14"/>
      <c r="H846" s="14">
        <v>16</v>
      </c>
      <c r="I846" s="14">
        <v>17</v>
      </c>
      <c r="J846" s="123">
        <f>VLOOKUP(E846,'C'!P:Q,2,FALSE)</f>
        <v>37</v>
      </c>
    </row>
    <row r="847" spans="1:10" x14ac:dyDescent="0.35">
      <c r="A847" s="218" t="s">
        <v>73</v>
      </c>
      <c r="B847" s="3" t="s">
        <v>80</v>
      </c>
      <c r="C847" s="1" t="s">
        <v>75</v>
      </c>
      <c r="D847" s="1">
        <v>5</v>
      </c>
      <c r="E847" s="1" t="s">
        <v>314</v>
      </c>
      <c r="F847" s="14"/>
      <c r="G847" s="14"/>
      <c r="H847" s="14"/>
      <c r="I847" s="14"/>
      <c r="J847" s="123">
        <f>VLOOKUP(E847,'C'!P:Q,2,FALSE)</f>
        <v>37</v>
      </c>
    </row>
    <row r="848" spans="1:10" hidden="1" x14ac:dyDescent="0.35">
      <c r="A848" s="218" t="s">
        <v>81</v>
      </c>
      <c r="B848" s="3" t="s">
        <v>76</v>
      </c>
      <c r="C848" s="91" t="s">
        <v>75</v>
      </c>
      <c r="D848" s="91">
        <v>5</v>
      </c>
      <c r="E848" s="1" t="s">
        <v>314</v>
      </c>
      <c r="F848" s="14"/>
      <c r="G848" s="14"/>
      <c r="H848" s="14">
        <v>16</v>
      </c>
      <c r="I848" s="14">
        <v>19</v>
      </c>
      <c r="J848" s="123">
        <f>VLOOKUP(E848,'C'!P:Q,2,FALSE)</f>
        <v>37</v>
      </c>
    </row>
    <row r="849" spans="1:10" hidden="1" x14ac:dyDescent="0.35">
      <c r="A849" s="218" t="s">
        <v>81</v>
      </c>
      <c r="B849" s="3" t="s">
        <v>74</v>
      </c>
      <c r="C849" s="1" t="s">
        <v>75</v>
      </c>
      <c r="D849" s="1">
        <v>5</v>
      </c>
      <c r="E849" s="1" t="s">
        <v>314</v>
      </c>
      <c r="F849" s="14"/>
      <c r="G849" s="14"/>
      <c r="H849" s="14">
        <v>16</v>
      </c>
      <c r="I849" s="14">
        <v>19</v>
      </c>
      <c r="J849" s="123">
        <f>VLOOKUP(E849,'C'!P:Q,2,FALSE)</f>
        <v>37</v>
      </c>
    </row>
    <row r="850" spans="1:10" hidden="1" x14ac:dyDescent="0.35">
      <c r="A850" s="218" t="s">
        <v>81</v>
      </c>
      <c r="B850" s="3" t="s">
        <v>78</v>
      </c>
      <c r="C850" s="1" t="s">
        <v>75</v>
      </c>
      <c r="D850" s="1">
        <v>5</v>
      </c>
      <c r="E850" s="1" t="s">
        <v>314</v>
      </c>
      <c r="F850" s="14"/>
      <c r="G850" s="14"/>
      <c r="H850" s="1">
        <v>16</v>
      </c>
      <c r="I850" s="1">
        <v>17</v>
      </c>
      <c r="J850" s="123">
        <f>VLOOKUP(E850,'C'!P:Q,2,FALSE)</f>
        <v>37</v>
      </c>
    </row>
    <row r="851" spans="1:10" hidden="1" x14ac:dyDescent="0.35">
      <c r="A851" s="218" t="s">
        <v>81</v>
      </c>
      <c r="B851" s="3" t="s">
        <v>77</v>
      </c>
      <c r="C851" s="1" t="s">
        <v>75</v>
      </c>
      <c r="D851" s="1">
        <v>5</v>
      </c>
      <c r="E851" s="1" t="s">
        <v>314</v>
      </c>
      <c r="F851" s="14"/>
      <c r="G851" s="14"/>
      <c r="H851" s="1">
        <v>16</v>
      </c>
      <c r="I851" s="1">
        <v>17</v>
      </c>
      <c r="J851" s="123">
        <f>VLOOKUP(E851,'C'!P:Q,2,FALSE)</f>
        <v>37</v>
      </c>
    </row>
    <row r="852" spans="1:10" hidden="1" x14ac:dyDescent="0.35">
      <c r="A852" s="218" t="s">
        <v>81</v>
      </c>
      <c r="B852" s="3" t="s">
        <v>79</v>
      </c>
      <c r="C852" s="1" t="s">
        <v>75</v>
      </c>
      <c r="D852" s="1">
        <v>5</v>
      </c>
      <c r="E852" s="1" t="s">
        <v>314</v>
      </c>
      <c r="F852" s="14"/>
      <c r="G852" s="14"/>
      <c r="H852" s="14"/>
      <c r="I852" s="14"/>
      <c r="J852" s="123">
        <f>VLOOKUP(E852,'C'!P:Q,2,FALSE)</f>
        <v>37</v>
      </c>
    </row>
    <row r="853" spans="1:10" hidden="1" x14ac:dyDescent="0.35">
      <c r="A853" s="218" t="s">
        <v>81</v>
      </c>
      <c r="B853" s="3" t="s">
        <v>80</v>
      </c>
      <c r="C853" s="1" t="s">
        <v>75</v>
      </c>
      <c r="D853" s="1">
        <v>5</v>
      </c>
      <c r="E853" s="1" t="s">
        <v>314</v>
      </c>
      <c r="F853" s="14"/>
      <c r="G853" s="14"/>
      <c r="H853" s="14"/>
      <c r="I853" s="14"/>
      <c r="J853" s="123">
        <f>VLOOKUP(E853,'C'!P:Q,2,FALSE)</f>
        <v>37</v>
      </c>
    </row>
    <row r="854" spans="1:10" hidden="1" x14ac:dyDescent="0.35">
      <c r="A854" s="202" t="s">
        <v>82</v>
      </c>
      <c r="B854" s="15" t="s">
        <v>74</v>
      </c>
      <c r="C854" s="91" t="s">
        <v>75</v>
      </c>
      <c r="D854" s="91">
        <v>5</v>
      </c>
      <c r="E854" s="1" t="s">
        <v>314</v>
      </c>
      <c r="F854" s="14"/>
      <c r="G854" s="14"/>
      <c r="H854" s="14">
        <v>16</v>
      </c>
      <c r="I854" s="14">
        <v>19</v>
      </c>
      <c r="J854" s="123">
        <f>VLOOKUP(E854,'C'!P:Q,2,FALSE)</f>
        <v>37</v>
      </c>
    </row>
    <row r="855" spans="1:10" hidden="1" x14ac:dyDescent="0.35">
      <c r="A855" s="202" t="s">
        <v>82</v>
      </c>
      <c r="B855" s="15" t="s">
        <v>76</v>
      </c>
      <c r="C855" s="1" t="s">
        <v>75</v>
      </c>
      <c r="D855" s="1">
        <v>5</v>
      </c>
      <c r="E855" s="1" t="s">
        <v>314</v>
      </c>
      <c r="F855" s="14"/>
      <c r="G855" s="14"/>
      <c r="H855" s="14">
        <v>16</v>
      </c>
      <c r="I855" s="14">
        <v>19</v>
      </c>
      <c r="J855" s="123">
        <f>VLOOKUP(E855,'C'!P:Q,2,FALSE)</f>
        <v>37</v>
      </c>
    </row>
    <row r="856" spans="1:10" hidden="1" x14ac:dyDescent="0.35">
      <c r="A856" s="202" t="s">
        <v>82</v>
      </c>
      <c r="B856" s="15" t="s">
        <v>77</v>
      </c>
      <c r="C856" s="1" t="s">
        <v>75</v>
      </c>
      <c r="D856" s="1">
        <v>5</v>
      </c>
      <c r="E856" s="1" t="s">
        <v>314</v>
      </c>
      <c r="F856" s="14"/>
      <c r="G856" s="14"/>
      <c r="H856" s="1">
        <v>16</v>
      </c>
      <c r="I856" s="1">
        <v>17</v>
      </c>
      <c r="J856" s="123">
        <f>VLOOKUP(E856,'C'!P:Q,2,FALSE)</f>
        <v>37</v>
      </c>
    </row>
    <row r="857" spans="1:10" hidden="1" x14ac:dyDescent="0.35">
      <c r="A857" s="202" t="s">
        <v>82</v>
      </c>
      <c r="B857" s="15" t="s">
        <v>78</v>
      </c>
      <c r="C857" s="1" t="s">
        <v>75</v>
      </c>
      <c r="D857" s="1">
        <v>5</v>
      </c>
      <c r="E857" s="1" t="s">
        <v>314</v>
      </c>
      <c r="F857" s="14"/>
      <c r="G857" s="14"/>
      <c r="H857" s="1">
        <v>16</v>
      </c>
      <c r="I857" s="1">
        <v>17</v>
      </c>
      <c r="J857" s="123">
        <f>VLOOKUP(E857,'C'!P:Q,2,FALSE)</f>
        <v>37</v>
      </c>
    </row>
    <row r="858" spans="1:10" hidden="1" x14ac:dyDescent="0.35">
      <c r="A858" s="202" t="s">
        <v>82</v>
      </c>
      <c r="B858" s="15" t="s">
        <v>79</v>
      </c>
      <c r="C858" s="1" t="s">
        <v>75</v>
      </c>
      <c r="D858" s="1">
        <v>5</v>
      </c>
      <c r="E858" s="1" t="s">
        <v>314</v>
      </c>
      <c r="F858" s="14"/>
      <c r="G858" s="14"/>
      <c r="H858" s="14"/>
      <c r="I858" s="14"/>
      <c r="J858" s="123">
        <f>VLOOKUP(E858,'C'!P:Q,2,FALSE)</f>
        <v>37</v>
      </c>
    </row>
    <row r="859" spans="1:10" hidden="1" x14ac:dyDescent="0.35">
      <c r="A859" s="202" t="s">
        <v>82</v>
      </c>
      <c r="B859" s="15" t="s">
        <v>80</v>
      </c>
      <c r="C859" s="1" t="s">
        <v>75</v>
      </c>
      <c r="D859" s="1">
        <v>5</v>
      </c>
      <c r="E859" s="1" t="s">
        <v>314</v>
      </c>
      <c r="F859" s="14"/>
      <c r="G859" s="14"/>
      <c r="H859" s="14"/>
      <c r="I859" s="14"/>
      <c r="J859" s="123">
        <f>VLOOKUP(E859,'C'!P:Q,2,FALSE)</f>
        <v>37</v>
      </c>
    </row>
    <row r="860" spans="1:10" hidden="1" x14ac:dyDescent="0.35">
      <c r="A860" s="202" t="s">
        <v>83</v>
      </c>
      <c r="B860" s="15" t="s">
        <v>74</v>
      </c>
      <c r="C860" s="91" t="s">
        <v>75</v>
      </c>
      <c r="D860" s="91" t="s">
        <v>84</v>
      </c>
      <c r="E860" s="1" t="s">
        <v>314</v>
      </c>
      <c r="F860" s="16"/>
      <c r="G860" s="16"/>
      <c r="H860" s="14">
        <v>16</v>
      </c>
      <c r="I860" s="14">
        <v>19</v>
      </c>
      <c r="J860" s="123">
        <f>VLOOKUP(E860,'C'!P:Q,2,FALSE)</f>
        <v>37</v>
      </c>
    </row>
    <row r="861" spans="1:10" hidden="1" x14ac:dyDescent="0.35">
      <c r="A861" s="202" t="s">
        <v>83</v>
      </c>
      <c r="B861" s="15" t="s">
        <v>76</v>
      </c>
      <c r="C861" s="1" t="s">
        <v>75</v>
      </c>
      <c r="D861" s="1" t="s">
        <v>84</v>
      </c>
      <c r="E861" s="1" t="s">
        <v>314</v>
      </c>
      <c r="F861" s="16"/>
      <c r="G861" s="16"/>
      <c r="H861" s="14">
        <v>16</v>
      </c>
      <c r="I861" s="14">
        <v>19</v>
      </c>
      <c r="J861" s="123">
        <f>VLOOKUP(E861,'C'!P:Q,2,FALSE)</f>
        <v>37</v>
      </c>
    </row>
    <row r="862" spans="1:10" hidden="1" x14ac:dyDescent="0.35">
      <c r="A862" s="202" t="s">
        <v>83</v>
      </c>
      <c r="B862" s="15" t="s">
        <v>77</v>
      </c>
      <c r="C862" s="1" t="s">
        <v>75</v>
      </c>
      <c r="D862" s="1" t="s">
        <v>84</v>
      </c>
      <c r="E862" s="1" t="s">
        <v>314</v>
      </c>
      <c r="F862" s="14"/>
      <c r="G862" s="14"/>
      <c r="H862" s="1">
        <v>16</v>
      </c>
      <c r="I862" s="1">
        <v>17</v>
      </c>
      <c r="J862" s="123">
        <f>VLOOKUP(E862,'C'!P:Q,2,FALSE)</f>
        <v>37</v>
      </c>
    </row>
    <row r="863" spans="1:10" hidden="1" x14ac:dyDescent="0.35">
      <c r="A863" s="202" t="s">
        <v>83</v>
      </c>
      <c r="B863" s="15" t="s">
        <v>78</v>
      </c>
      <c r="C863" s="1" t="s">
        <v>75</v>
      </c>
      <c r="D863" s="1" t="s">
        <v>84</v>
      </c>
      <c r="E863" s="1" t="s">
        <v>314</v>
      </c>
      <c r="F863" s="14"/>
      <c r="G863" s="14"/>
      <c r="H863" s="1">
        <v>16</v>
      </c>
      <c r="I863" s="1">
        <v>17</v>
      </c>
      <c r="J863" s="123">
        <f>VLOOKUP(E863,'C'!P:Q,2,FALSE)</f>
        <v>37</v>
      </c>
    </row>
    <row r="864" spans="1:10" hidden="1" x14ac:dyDescent="0.35">
      <c r="A864" s="202" t="s">
        <v>83</v>
      </c>
      <c r="B864" s="15" t="s">
        <v>79</v>
      </c>
      <c r="C864" s="1" t="s">
        <v>75</v>
      </c>
      <c r="D864" s="1" t="s">
        <v>84</v>
      </c>
      <c r="E864" s="1" t="s">
        <v>314</v>
      </c>
      <c r="F864" s="16"/>
      <c r="G864" s="16"/>
      <c r="H864" s="14"/>
      <c r="I864" s="14"/>
      <c r="J864" s="123">
        <f>VLOOKUP(E864,'C'!P:Q,2,FALSE)</f>
        <v>37</v>
      </c>
    </row>
    <row r="865" spans="1:10" hidden="1" x14ac:dyDescent="0.35">
      <c r="A865" s="224" t="s">
        <v>83</v>
      </c>
      <c r="B865" s="215" t="s">
        <v>80</v>
      </c>
      <c r="C865" s="114" t="s">
        <v>75</v>
      </c>
      <c r="D865" s="114" t="s">
        <v>84</v>
      </c>
      <c r="E865" s="114" t="s">
        <v>314</v>
      </c>
      <c r="F865" s="226"/>
      <c r="G865" s="226"/>
      <c r="H865" s="226"/>
      <c r="I865" s="226"/>
      <c r="J865" s="225">
        <f>VLOOKUP(E865,'C'!P:Q,2,FALSE)</f>
        <v>37</v>
      </c>
    </row>
    <row r="866" spans="1:10" hidden="1" x14ac:dyDescent="0.35">
      <c r="A866" s="371" t="s">
        <v>82</v>
      </c>
      <c r="B866" s="351" t="s">
        <v>80</v>
      </c>
      <c r="C866" s="1" t="s">
        <v>75</v>
      </c>
      <c r="D866" s="114" t="s">
        <v>84</v>
      </c>
      <c r="E866" s="14" t="s">
        <v>287</v>
      </c>
      <c r="F866" s="27">
        <v>13.2</v>
      </c>
      <c r="G866" s="27">
        <v>12.9</v>
      </c>
      <c r="H866" s="27">
        <v>15</v>
      </c>
      <c r="I866" s="27">
        <v>15.5</v>
      </c>
      <c r="J866" s="225">
        <f>VLOOKUP(E866,'C'!P:Q,2,FALSE)</f>
        <v>2</v>
      </c>
    </row>
    <row r="867" spans="1:10" hidden="1" x14ac:dyDescent="0.35">
      <c r="A867" s="371" t="s">
        <v>82</v>
      </c>
      <c r="B867" s="351" t="s">
        <v>80</v>
      </c>
      <c r="C867" s="1" t="s">
        <v>75</v>
      </c>
      <c r="D867" s="114" t="s">
        <v>84</v>
      </c>
      <c r="E867" s="1" t="s">
        <v>135</v>
      </c>
      <c r="F867" s="1"/>
      <c r="G867" s="1"/>
      <c r="H867" s="1"/>
      <c r="I867" s="1"/>
      <c r="J867" s="225">
        <f>VLOOKUP(E867,'C'!P:Q,2,FALSE)</f>
        <v>3</v>
      </c>
    </row>
    <row r="868" spans="1:10" hidden="1" x14ac:dyDescent="0.35">
      <c r="A868" s="371" t="s">
        <v>82</v>
      </c>
      <c r="B868" s="351" t="s">
        <v>80</v>
      </c>
      <c r="C868" s="1" t="s">
        <v>75</v>
      </c>
      <c r="D868" s="114" t="s">
        <v>84</v>
      </c>
      <c r="E868" s="1" t="s">
        <v>134</v>
      </c>
      <c r="F868" s="14"/>
      <c r="G868" s="14"/>
      <c r="H868" s="372"/>
      <c r="I868" s="14"/>
      <c r="J868" s="225">
        <f>VLOOKUP(E868,'C'!P:Q,2,FALSE)</f>
        <v>4</v>
      </c>
    </row>
    <row r="869" spans="1:10" hidden="1" x14ac:dyDescent="0.35">
      <c r="A869" s="371" t="s">
        <v>82</v>
      </c>
      <c r="B869" s="351" t="s">
        <v>80</v>
      </c>
      <c r="C869" s="1" t="s">
        <v>75</v>
      </c>
      <c r="D869" s="114" t="s">
        <v>84</v>
      </c>
      <c r="E869" s="1" t="s">
        <v>307</v>
      </c>
      <c r="F869" s="14"/>
      <c r="G869" s="14"/>
      <c r="H869" s="14">
        <v>25.4</v>
      </c>
      <c r="I869" s="14">
        <v>26.2</v>
      </c>
      <c r="J869" s="225">
        <f>VLOOKUP(E869,'C'!P:Q,2,FALSE)</f>
        <v>5</v>
      </c>
    </row>
    <row r="870" spans="1:10" hidden="1" x14ac:dyDescent="0.35">
      <c r="A870" s="371" t="s">
        <v>82</v>
      </c>
      <c r="B870" s="351" t="s">
        <v>80</v>
      </c>
      <c r="C870" s="1" t="s">
        <v>75</v>
      </c>
      <c r="D870" s="114" t="s">
        <v>84</v>
      </c>
      <c r="E870" s="1" t="s">
        <v>309</v>
      </c>
      <c r="F870" s="14"/>
      <c r="G870" s="14"/>
      <c r="H870" s="14">
        <v>8</v>
      </c>
      <c r="I870" s="14">
        <v>8.5</v>
      </c>
      <c r="J870" s="225">
        <f>VLOOKUP(E870,'C'!P:Q,2,FALSE)</f>
        <v>6</v>
      </c>
    </row>
    <row r="871" spans="1:10" hidden="1" x14ac:dyDescent="0.35">
      <c r="A871" s="371" t="s">
        <v>82</v>
      </c>
      <c r="B871" s="351" t="s">
        <v>80</v>
      </c>
      <c r="C871" s="1" t="s">
        <v>75</v>
      </c>
      <c r="D871" s="114" t="s">
        <v>84</v>
      </c>
      <c r="E871" s="1" t="s">
        <v>308</v>
      </c>
      <c r="F871" s="14"/>
      <c r="G871" s="14"/>
      <c r="H871" s="14">
        <v>27</v>
      </c>
      <c r="I871" s="14">
        <v>28</v>
      </c>
      <c r="J871" s="225">
        <f>VLOOKUP(E871,'C'!P:Q,2,FALSE)</f>
        <v>7</v>
      </c>
    </row>
    <row r="872" spans="1:10" hidden="1" x14ac:dyDescent="0.35">
      <c r="A872" s="371" t="s">
        <v>82</v>
      </c>
      <c r="B872" s="351" t="s">
        <v>80</v>
      </c>
      <c r="C872" s="1" t="s">
        <v>75</v>
      </c>
      <c r="D872" s="114" t="s">
        <v>84</v>
      </c>
      <c r="E872" s="1" t="s">
        <v>310</v>
      </c>
      <c r="F872" s="14"/>
      <c r="G872" s="14"/>
      <c r="H872" s="14">
        <v>14</v>
      </c>
      <c r="I872" s="14">
        <v>17</v>
      </c>
      <c r="J872" s="225">
        <f>VLOOKUP(E872,'C'!P:Q,2,FALSE)</f>
        <v>8</v>
      </c>
    </row>
    <row r="873" spans="1:10" hidden="1" x14ac:dyDescent="0.35">
      <c r="A873" s="371" t="s">
        <v>82</v>
      </c>
      <c r="B873" s="351" t="s">
        <v>80</v>
      </c>
      <c r="C873" s="1" t="s">
        <v>75</v>
      </c>
      <c r="D873" s="114" t="s">
        <v>84</v>
      </c>
      <c r="E873" s="1" t="s">
        <v>315</v>
      </c>
      <c r="F873" s="14"/>
      <c r="G873" s="14"/>
      <c r="H873" s="14">
        <v>50</v>
      </c>
      <c r="I873" s="14">
        <v>100</v>
      </c>
      <c r="J873" s="225">
        <f>VLOOKUP(E873,'C'!P:Q,2,FALSE)</f>
        <v>9</v>
      </c>
    </row>
    <row r="874" spans="1:10" hidden="1" x14ac:dyDescent="0.35">
      <c r="A874" s="371" t="s">
        <v>82</v>
      </c>
      <c r="B874" s="351" t="s">
        <v>80</v>
      </c>
      <c r="C874" s="1" t="s">
        <v>75</v>
      </c>
      <c r="D874" s="114" t="s">
        <v>84</v>
      </c>
      <c r="E874" s="1" t="s">
        <v>316</v>
      </c>
      <c r="F874" s="1"/>
      <c r="G874" s="1"/>
      <c r="H874" s="1">
        <v>0.5</v>
      </c>
      <c r="I874" s="1">
        <v>1</v>
      </c>
      <c r="J874" s="225">
        <f>VLOOKUP(E874,'C'!P:Q,2,FALSE)</f>
        <v>10</v>
      </c>
    </row>
    <row r="875" spans="1:10" hidden="1" x14ac:dyDescent="0.35">
      <c r="A875" s="371" t="s">
        <v>82</v>
      </c>
      <c r="B875" s="351" t="s">
        <v>80</v>
      </c>
      <c r="C875" s="1" t="s">
        <v>75</v>
      </c>
      <c r="D875" s="114" t="s">
        <v>84</v>
      </c>
      <c r="E875" s="1" t="s">
        <v>140</v>
      </c>
      <c r="F875" s="14"/>
      <c r="G875" s="14"/>
      <c r="H875" s="14"/>
      <c r="I875" s="14"/>
      <c r="J875" s="225">
        <f>VLOOKUP(E875,'C'!P:Q,2,FALSE)</f>
        <v>11</v>
      </c>
    </row>
    <row r="876" spans="1:10" hidden="1" x14ac:dyDescent="0.35">
      <c r="A876" s="371" t="s">
        <v>82</v>
      </c>
      <c r="B876" s="351" t="s">
        <v>80</v>
      </c>
      <c r="C876" s="1" t="s">
        <v>75</v>
      </c>
      <c r="D876" s="114" t="s">
        <v>84</v>
      </c>
      <c r="E876" s="1" t="s">
        <v>288</v>
      </c>
      <c r="F876" s="14"/>
      <c r="G876" s="14"/>
      <c r="H876" s="14">
        <v>10.5</v>
      </c>
      <c r="I876" s="14">
        <v>12.5</v>
      </c>
      <c r="J876" s="225">
        <f>VLOOKUP(E876,'C'!P:Q,2,FALSE)</f>
        <v>12</v>
      </c>
    </row>
    <row r="877" spans="1:10" hidden="1" x14ac:dyDescent="0.35">
      <c r="A877" s="371" t="s">
        <v>82</v>
      </c>
      <c r="B877" s="351" t="s">
        <v>80</v>
      </c>
      <c r="C877" s="1" t="s">
        <v>75</v>
      </c>
      <c r="D877" s="114" t="s">
        <v>84</v>
      </c>
      <c r="E877" s="1" t="s">
        <v>306</v>
      </c>
      <c r="F877" s="14"/>
      <c r="G877" s="14"/>
      <c r="H877" s="14">
        <v>4</v>
      </c>
      <c r="I877" s="14">
        <v>5</v>
      </c>
      <c r="J877" s="225">
        <f>VLOOKUP(E877,'C'!P:Q,2,FALSE)</f>
        <v>13</v>
      </c>
    </row>
    <row r="878" spans="1:10" hidden="1" x14ac:dyDescent="0.35">
      <c r="A878" s="371" t="s">
        <v>82</v>
      </c>
      <c r="B878" s="351" t="s">
        <v>80</v>
      </c>
      <c r="C878" s="1" t="s">
        <v>75</v>
      </c>
      <c r="D878" s="114" t="s">
        <v>84</v>
      </c>
      <c r="E878" s="1" t="s">
        <v>290</v>
      </c>
      <c r="F878" s="14"/>
      <c r="G878" s="14"/>
      <c r="H878" s="14">
        <v>2</v>
      </c>
      <c r="I878" s="14">
        <v>3</v>
      </c>
      <c r="J878" s="225">
        <f>VLOOKUP(E878,'C'!P:Q,2,FALSE)</f>
        <v>14</v>
      </c>
    </row>
    <row r="879" spans="1:10" hidden="1" x14ac:dyDescent="0.35">
      <c r="A879" s="371" t="s">
        <v>82</v>
      </c>
      <c r="B879" s="351" t="s">
        <v>80</v>
      </c>
      <c r="C879" s="1" t="s">
        <v>75</v>
      </c>
      <c r="D879" s="114" t="s">
        <v>84</v>
      </c>
      <c r="E879" s="1" t="s">
        <v>291</v>
      </c>
      <c r="F879" s="14"/>
      <c r="G879" s="14"/>
      <c r="H879" s="14">
        <v>2</v>
      </c>
      <c r="I879" s="14">
        <v>3</v>
      </c>
      <c r="J879" s="225">
        <f>VLOOKUP(E879,'C'!P:Q,2,FALSE)</f>
        <v>15</v>
      </c>
    </row>
    <row r="880" spans="1:10" hidden="1" x14ac:dyDescent="0.35">
      <c r="A880" s="371" t="s">
        <v>82</v>
      </c>
      <c r="B880" s="351" t="s">
        <v>80</v>
      </c>
      <c r="C880" s="1" t="s">
        <v>75</v>
      </c>
      <c r="D880" s="114" t="s">
        <v>84</v>
      </c>
      <c r="E880" s="1" t="s">
        <v>292</v>
      </c>
      <c r="F880" s="14"/>
      <c r="G880" s="14"/>
      <c r="H880" s="14"/>
      <c r="I880" s="14"/>
      <c r="J880" s="225">
        <f>VLOOKUP(E880,'C'!P:Q,2,FALSE)</f>
        <v>16</v>
      </c>
    </row>
    <row r="881" spans="1:10" hidden="1" x14ac:dyDescent="0.35">
      <c r="A881" s="371" t="s">
        <v>82</v>
      </c>
      <c r="B881" s="351" t="s">
        <v>80</v>
      </c>
      <c r="C881" s="1" t="s">
        <v>75</v>
      </c>
      <c r="D881" s="114" t="s">
        <v>84</v>
      </c>
      <c r="E881" s="1" t="s">
        <v>289</v>
      </c>
      <c r="F881" s="14"/>
      <c r="G881" s="14"/>
      <c r="H881" s="14">
        <v>2.5</v>
      </c>
      <c r="I881" s="14">
        <v>3.5</v>
      </c>
      <c r="J881" s="225">
        <f>VLOOKUP(E881,'C'!P:Q,2,FALSE)</f>
        <v>17</v>
      </c>
    </row>
    <row r="882" spans="1:10" hidden="1" x14ac:dyDescent="0.35">
      <c r="A882" s="371" t="s">
        <v>82</v>
      </c>
      <c r="B882" s="351" t="s">
        <v>80</v>
      </c>
      <c r="C882" s="1" t="s">
        <v>75</v>
      </c>
      <c r="D882" s="114" t="s">
        <v>84</v>
      </c>
      <c r="E882" s="1" t="s">
        <v>293</v>
      </c>
      <c r="F882" s="14"/>
      <c r="G882" s="14"/>
      <c r="H882" s="14">
        <v>1.5</v>
      </c>
      <c r="I882" s="14">
        <v>2.5</v>
      </c>
      <c r="J882" s="225">
        <f>VLOOKUP(E882,'C'!P:Q,2,FALSE)</f>
        <v>18</v>
      </c>
    </row>
    <row r="883" spans="1:10" hidden="1" x14ac:dyDescent="0.35">
      <c r="A883" s="371" t="s">
        <v>82</v>
      </c>
      <c r="B883" s="351" t="s">
        <v>80</v>
      </c>
      <c r="C883" s="1" t="s">
        <v>75</v>
      </c>
      <c r="D883" s="114" t="s">
        <v>84</v>
      </c>
      <c r="E883" s="1" t="s">
        <v>294</v>
      </c>
      <c r="F883" s="14"/>
      <c r="G883" s="14"/>
      <c r="H883" s="372"/>
      <c r="I883" s="14"/>
      <c r="J883" s="225">
        <f>VLOOKUP(E883,'C'!P:Q,2,FALSE)</f>
        <v>19</v>
      </c>
    </row>
    <row r="884" spans="1:10" hidden="1" x14ac:dyDescent="0.35">
      <c r="A884" s="371" t="s">
        <v>82</v>
      </c>
      <c r="B884" s="351" t="s">
        <v>80</v>
      </c>
      <c r="C884" s="1" t="s">
        <v>75</v>
      </c>
      <c r="D884" s="114" t="s">
        <v>84</v>
      </c>
      <c r="E884" s="1" t="s">
        <v>295</v>
      </c>
      <c r="F884" s="14"/>
      <c r="G884" s="14"/>
      <c r="H884" s="14">
        <v>8.5</v>
      </c>
      <c r="I884" s="14">
        <v>9.5</v>
      </c>
      <c r="J884" s="225">
        <f>VLOOKUP(E884,'C'!P:Q,2,FALSE)</f>
        <v>20</v>
      </c>
    </row>
    <row r="885" spans="1:10" hidden="1" x14ac:dyDescent="0.35">
      <c r="A885" s="371" t="s">
        <v>82</v>
      </c>
      <c r="B885" s="351" t="s">
        <v>80</v>
      </c>
      <c r="C885" s="1" t="s">
        <v>75</v>
      </c>
      <c r="D885" s="114" t="s">
        <v>84</v>
      </c>
      <c r="E885" s="1" t="s">
        <v>296</v>
      </c>
      <c r="F885" s="14"/>
      <c r="G885" s="14"/>
      <c r="H885" s="14">
        <v>5</v>
      </c>
      <c r="I885" s="14">
        <v>8</v>
      </c>
      <c r="J885" s="225">
        <f>VLOOKUP(E885,'C'!P:Q,2,FALSE)</f>
        <v>21</v>
      </c>
    </row>
    <row r="886" spans="1:10" hidden="1" x14ac:dyDescent="0.35">
      <c r="A886" s="371" t="s">
        <v>82</v>
      </c>
      <c r="B886" s="351" t="s">
        <v>80</v>
      </c>
      <c r="C886" s="1" t="s">
        <v>75</v>
      </c>
      <c r="D886" s="114" t="s">
        <v>84</v>
      </c>
      <c r="E886" s="1" t="s">
        <v>297</v>
      </c>
      <c r="F886" s="14"/>
      <c r="G886" s="14"/>
      <c r="H886" s="14">
        <v>3</v>
      </c>
      <c r="I886" s="14">
        <v>4</v>
      </c>
      <c r="J886" s="225">
        <f>VLOOKUP(E886,'C'!P:Q,2,FALSE)</f>
        <v>22</v>
      </c>
    </row>
    <row r="887" spans="1:10" hidden="1" x14ac:dyDescent="0.35">
      <c r="A887" s="371" t="s">
        <v>82</v>
      </c>
      <c r="B887" s="351" t="s">
        <v>80</v>
      </c>
      <c r="C887" s="1" t="s">
        <v>75</v>
      </c>
      <c r="D887" s="114" t="s">
        <v>84</v>
      </c>
      <c r="E887" s="1" t="s">
        <v>300</v>
      </c>
      <c r="F887" s="14">
        <v>55</v>
      </c>
      <c r="G887" s="14">
        <v>50</v>
      </c>
      <c r="H887" s="372"/>
      <c r="I887" s="14"/>
      <c r="J887" s="225">
        <f>VLOOKUP(E887,'C'!P:Q,2,FALSE)</f>
        <v>23</v>
      </c>
    </row>
    <row r="888" spans="1:10" hidden="1" x14ac:dyDescent="0.35">
      <c r="A888" s="371" t="s">
        <v>82</v>
      </c>
      <c r="B888" s="351" t="s">
        <v>80</v>
      </c>
      <c r="C888" s="1" t="s">
        <v>75</v>
      </c>
      <c r="D888" s="114" t="s">
        <v>84</v>
      </c>
      <c r="E888" s="1" t="s">
        <v>302</v>
      </c>
      <c r="F888" s="14"/>
      <c r="G888" s="14"/>
      <c r="H888" s="372"/>
      <c r="I888" s="14"/>
      <c r="J888" s="225">
        <f>VLOOKUP(E888,'C'!P:Q,2,FALSE)</f>
        <v>24</v>
      </c>
    </row>
    <row r="889" spans="1:10" hidden="1" x14ac:dyDescent="0.35">
      <c r="A889" s="371" t="s">
        <v>82</v>
      </c>
      <c r="B889" s="351" t="s">
        <v>80</v>
      </c>
      <c r="C889" s="1" t="s">
        <v>75</v>
      </c>
      <c r="D889" s="114" t="s">
        <v>84</v>
      </c>
      <c r="E889" s="1" t="s">
        <v>303</v>
      </c>
      <c r="F889" s="14"/>
      <c r="G889" s="14"/>
      <c r="H889" s="14"/>
      <c r="I889" s="14"/>
      <c r="J889" s="225">
        <f>VLOOKUP(E889,'C'!P:Q,2,FALSE)</f>
        <v>25</v>
      </c>
    </row>
    <row r="890" spans="1:10" hidden="1" x14ac:dyDescent="0.35">
      <c r="A890" s="371" t="s">
        <v>82</v>
      </c>
      <c r="B890" s="351" t="s">
        <v>80</v>
      </c>
      <c r="C890" s="1" t="s">
        <v>75</v>
      </c>
      <c r="D890" s="114" t="s">
        <v>84</v>
      </c>
      <c r="E890" s="1" t="s">
        <v>299</v>
      </c>
      <c r="F890" s="14"/>
      <c r="G890" s="14"/>
      <c r="H890" s="372"/>
      <c r="I890" s="14"/>
      <c r="J890" s="225">
        <f>VLOOKUP(E890,'C'!P:Q,2,FALSE)</f>
        <v>26</v>
      </c>
    </row>
    <row r="891" spans="1:10" hidden="1" x14ac:dyDescent="0.35">
      <c r="A891" s="371" t="s">
        <v>82</v>
      </c>
      <c r="B891" s="351" t="s">
        <v>80</v>
      </c>
      <c r="C891" s="1" t="s">
        <v>75</v>
      </c>
      <c r="D891" s="114" t="s">
        <v>84</v>
      </c>
      <c r="E891" s="1" t="s">
        <v>298</v>
      </c>
      <c r="F891" s="14"/>
      <c r="G891" s="14"/>
      <c r="H891" s="372"/>
      <c r="I891" s="14"/>
      <c r="J891" s="225">
        <f>VLOOKUP(E891,'C'!P:Q,2,FALSE)</f>
        <v>27</v>
      </c>
    </row>
    <row r="892" spans="1:10" hidden="1" x14ac:dyDescent="0.35">
      <c r="A892" s="371" t="s">
        <v>82</v>
      </c>
      <c r="B892" s="351" t="s">
        <v>80</v>
      </c>
      <c r="C892" s="1" t="s">
        <v>75</v>
      </c>
      <c r="D892" s="114" t="s">
        <v>84</v>
      </c>
      <c r="E892" s="1" t="s">
        <v>311</v>
      </c>
      <c r="F892" s="14"/>
      <c r="G892" s="14"/>
      <c r="H892" s="14"/>
      <c r="I892" s="14"/>
      <c r="J892" s="225">
        <f>VLOOKUP(E892,'C'!P:Q,2,FALSE)</f>
        <v>28</v>
      </c>
    </row>
    <row r="893" spans="1:10" hidden="1" x14ac:dyDescent="0.35">
      <c r="A893" s="371" t="s">
        <v>82</v>
      </c>
      <c r="B893" s="351" t="s">
        <v>80</v>
      </c>
      <c r="C893" s="1" t="s">
        <v>75</v>
      </c>
      <c r="D893" s="114" t="s">
        <v>84</v>
      </c>
      <c r="E893" s="1" t="s">
        <v>301</v>
      </c>
      <c r="F893" s="14"/>
      <c r="G893" s="14"/>
      <c r="H893" s="372"/>
      <c r="I893" s="14"/>
      <c r="J893" s="225">
        <f>VLOOKUP(E893,'C'!P:Q,2,FALSE)</f>
        <v>29</v>
      </c>
    </row>
    <row r="894" spans="1:10" hidden="1" x14ac:dyDescent="0.35">
      <c r="A894" s="371" t="s">
        <v>82</v>
      </c>
      <c r="B894" s="351" t="s">
        <v>80</v>
      </c>
      <c r="C894" s="1" t="s">
        <v>75</v>
      </c>
      <c r="D894" s="114" t="s">
        <v>84</v>
      </c>
      <c r="E894" s="1" t="s">
        <v>317</v>
      </c>
      <c r="F894" s="1"/>
      <c r="G894" s="1"/>
      <c r="H894" s="1"/>
      <c r="I894" s="1"/>
      <c r="J894" s="225">
        <f>VLOOKUP(E894,'C'!P:Q,2,FALSE)</f>
        <v>30</v>
      </c>
    </row>
    <row r="895" spans="1:10" hidden="1" x14ac:dyDescent="0.35">
      <c r="A895" s="371" t="s">
        <v>82</v>
      </c>
      <c r="B895" s="351" t="s">
        <v>80</v>
      </c>
      <c r="C895" s="1" t="s">
        <v>75</v>
      </c>
      <c r="D895" s="114" t="s">
        <v>84</v>
      </c>
      <c r="E895" s="1" t="s">
        <v>304</v>
      </c>
      <c r="F895" s="14"/>
      <c r="G895" s="14"/>
      <c r="H895" s="14"/>
      <c r="I895" s="14"/>
      <c r="J895" s="225">
        <f>VLOOKUP(E895,'C'!P:Q,2,FALSE)</f>
        <v>31</v>
      </c>
    </row>
    <row r="896" spans="1:10" hidden="1" x14ac:dyDescent="0.35">
      <c r="A896" s="371" t="s">
        <v>82</v>
      </c>
      <c r="B896" s="351" t="s">
        <v>80</v>
      </c>
      <c r="C896" s="1" t="s">
        <v>75</v>
      </c>
      <c r="D896" s="114" t="s">
        <v>84</v>
      </c>
      <c r="E896" s="1" t="s">
        <v>318</v>
      </c>
      <c r="F896" s="1"/>
      <c r="G896" s="1"/>
      <c r="H896" s="1"/>
      <c r="I896" s="1"/>
      <c r="J896" s="225">
        <f>VLOOKUP(E896,'C'!P:Q,2,FALSE)</f>
        <v>32</v>
      </c>
    </row>
    <row r="897" spans="1:10" hidden="1" x14ac:dyDescent="0.35">
      <c r="A897" s="371" t="s">
        <v>82</v>
      </c>
      <c r="B897" s="351" t="s">
        <v>80</v>
      </c>
      <c r="C897" s="1" t="s">
        <v>75</v>
      </c>
      <c r="D897" s="114" t="s">
        <v>84</v>
      </c>
      <c r="E897" s="1" t="s">
        <v>305</v>
      </c>
      <c r="F897" s="14"/>
      <c r="G897" s="14"/>
      <c r="H897" s="14"/>
      <c r="I897" s="14"/>
      <c r="J897" s="225">
        <f>VLOOKUP(E897,'C'!P:Q,2,FALSE)</f>
        <v>33</v>
      </c>
    </row>
    <row r="898" spans="1:10" hidden="1" x14ac:dyDescent="0.35">
      <c r="A898" s="371" t="s">
        <v>82</v>
      </c>
      <c r="B898" s="351" t="s">
        <v>80</v>
      </c>
      <c r="C898" s="1" t="s">
        <v>75</v>
      </c>
      <c r="D898" s="114" t="s">
        <v>84</v>
      </c>
      <c r="E898" s="1" t="s">
        <v>319</v>
      </c>
      <c r="F898" s="1"/>
      <c r="G898" s="1"/>
      <c r="H898" s="1"/>
      <c r="I898" s="1"/>
      <c r="J898" s="225">
        <f>VLOOKUP(E898,'C'!P:Q,2,FALSE)</f>
        <v>34</v>
      </c>
    </row>
    <row r="899" spans="1:10" hidden="1" x14ac:dyDescent="0.35">
      <c r="A899" s="371" t="s">
        <v>82</v>
      </c>
      <c r="B899" s="351" t="s">
        <v>80</v>
      </c>
      <c r="C899" s="1" t="s">
        <v>75</v>
      </c>
      <c r="D899" s="114" t="s">
        <v>84</v>
      </c>
      <c r="E899" s="1" t="s">
        <v>312</v>
      </c>
      <c r="F899" s="14"/>
      <c r="G899" s="14"/>
      <c r="H899" s="14"/>
      <c r="I899" s="14"/>
      <c r="J899" s="225">
        <f>VLOOKUP(E899,'C'!P:Q,2,FALSE)</f>
        <v>35</v>
      </c>
    </row>
    <row r="900" spans="1:10" hidden="1" x14ac:dyDescent="0.35">
      <c r="A900" s="371" t="s">
        <v>82</v>
      </c>
      <c r="B900" s="351" t="s">
        <v>80</v>
      </c>
      <c r="C900" s="1" t="s">
        <v>75</v>
      </c>
      <c r="D900" s="114" t="s">
        <v>84</v>
      </c>
      <c r="E900" s="1" t="s">
        <v>313</v>
      </c>
      <c r="F900" s="14"/>
      <c r="G900" s="14"/>
      <c r="H900" s="14"/>
      <c r="I900" s="14"/>
      <c r="J900" s="225">
        <f>VLOOKUP(E900,'C'!P:Q,2,FALSE)</f>
        <v>36</v>
      </c>
    </row>
    <row r="901" spans="1:10" hidden="1" x14ac:dyDescent="0.35">
      <c r="A901" s="373" t="s">
        <v>82</v>
      </c>
      <c r="B901" s="352" t="s">
        <v>80</v>
      </c>
      <c r="C901" s="114" t="s">
        <v>75</v>
      </c>
      <c r="D901" s="114" t="s">
        <v>84</v>
      </c>
      <c r="E901" s="114" t="s">
        <v>314</v>
      </c>
      <c r="F901" s="226"/>
      <c r="G901" s="226"/>
      <c r="H901" s="226"/>
      <c r="I901" s="226"/>
      <c r="J901" s="225">
        <f>VLOOKUP(E901,'C'!P:Q,2,FALSE)</f>
        <v>37</v>
      </c>
    </row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FFC000"/>
  </sheetPr>
  <dimension ref="A1:CQ45"/>
  <sheetViews>
    <sheetView showGridLines="0" topLeftCell="A24" zoomScale="55" zoomScaleNormal="55" workbookViewId="0">
      <selection activeCell="F187" sqref="F187"/>
    </sheetView>
  </sheetViews>
  <sheetFormatPr baseColWidth="10" defaultColWidth="11.453125" defaultRowHeight="12.5" x14ac:dyDescent="0.35"/>
  <cols>
    <col min="1" max="1" width="26" style="60" customWidth="1"/>
    <col min="2" max="2" width="17.26953125" style="60" bestFit="1" customWidth="1"/>
    <col min="3" max="3" width="17.1796875" style="60" customWidth="1"/>
    <col min="4" max="4" width="16.26953125" style="60" customWidth="1"/>
    <col min="5" max="5" width="14.26953125" style="60" customWidth="1"/>
    <col min="6" max="6" width="17.453125" style="60" customWidth="1"/>
    <col min="7" max="7" width="14.7265625" style="60" customWidth="1"/>
    <col min="8" max="8" width="13.54296875" style="60" customWidth="1"/>
    <col min="9" max="11" width="13.7265625" style="60" customWidth="1"/>
    <col min="12" max="17" width="12.7265625" style="60" bestFit="1" customWidth="1" collapsed="1"/>
    <col min="18" max="26" width="12.7265625" style="60" bestFit="1" customWidth="1"/>
    <col min="27" max="27" width="11.453125" style="60"/>
    <col min="28" max="28" width="12.26953125" style="60" customWidth="1"/>
    <col min="29" max="29" width="12.7265625" style="60" bestFit="1" customWidth="1"/>
    <col min="30" max="30" width="13.453125" style="60" customWidth="1"/>
    <col min="31" max="34" width="12.7265625" style="60" customWidth="1"/>
    <col min="35" max="38" width="12.7265625" style="60" bestFit="1" customWidth="1"/>
    <col min="39" max="39" width="11.453125" style="60"/>
    <col min="40" max="40" width="12.81640625" style="60" customWidth="1"/>
    <col min="41" max="43" width="12.7265625" style="60" bestFit="1" customWidth="1"/>
    <col min="44" max="44" width="14.26953125" style="60" bestFit="1" customWidth="1"/>
    <col min="45" max="46" width="12.7265625" style="60" bestFit="1" customWidth="1"/>
    <col min="47" max="57" width="11.453125" style="60"/>
    <col min="58" max="58" width="28.453125" style="60" customWidth="1"/>
    <col min="59" max="59" width="19.26953125" style="60" customWidth="1"/>
    <col min="60" max="60" width="18.7265625" style="60" bestFit="1" customWidth="1"/>
    <col min="61" max="61" width="14.453125" style="60" customWidth="1"/>
    <col min="62" max="77" width="11.453125" style="60"/>
    <col min="78" max="78" width="19.7265625" style="318" customWidth="1"/>
    <col min="79" max="79" width="11.453125" style="318"/>
    <col min="80" max="80" width="11.453125" style="318" customWidth="1"/>
    <col min="81" max="83" width="11.453125" style="318"/>
    <col min="84" max="84" width="11.453125" style="318" customWidth="1"/>
    <col min="85" max="91" width="11.453125" style="318"/>
    <col min="92" max="93" width="11.453125" style="60"/>
    <col min="94" max="94" width="18.7265625" style="369" customWidth="1"/>
    <col min="95" max="95" width="19.7265625" style="369" customWidth="1"/>
    <col min="96" max="16384" width="11.453125" style="60"/>
  </cols>
  <sheetData>
    <row r="1" spans="1:95" x14ac:dyDescent="0.35">
      <c r="A1" s="56" t="s">
        <v>407</v>
      </c>
      <c r="B1" s="56" t="s">
        <v>1364</v>
      </c>
      <c r="C1" s="56" t="s">
        <v>1315</v>
      </c>
      <c r="D1" s="56" t="s">
        <v>1218</v>
      </c>
      <c r="E1" s="56" t="s">
        <v>1188</v>
      </c>
      <c r="F1" s="56" t="s">
        <v>956</v>
      </c>
      <c r="G1" s="56" t="s">
        <v>408</v>
      </c>
      <c r="H1" s="56" t="s">
        <v>409</v>
      </c>
      <c r="I1" s="56" t="s">
        <v>410</v>
      </c>
      <c r="J1" s="56" t="s">
        <v>411</v>
      </c>
      <c r="K1" s="297" t="s">
        <v>412</v>
      </c>
      <c r="L1" s="56" t="s">
        <v>413</v>
      </c>
      <c r="M1" s="56" t="s">
        <v>414</v>
      </c>
      <c r="N1" s="56" t="s">
        <v>415</v>
      </c>
      <c r="O1" s="56" t="s">
        <v>416</v>
      </c>
      <c r="P1" s="85" t="s">
        <v>416</v>
      </c>
      <c r="Q1" s="56" t="s">
        <v>417</v>
      </c>
      <c r="R1" s="56" t="s">
        <v>418</v>
      </c>
      <c r="S1" s="56" t="s">
        <v>419</v>
      </c>
      <c r="T1" s="56" t="s">
        <v>420</v>
      </c>
      <c r="U1" s="56" t="s">
        <v>421</v>
      </c>
      <c r="V1" s="56" t="s">
        <v>422</v>
      </c>
      <c r="W1" s="56" t="s">
        <v>423</v>
      </c>
      <c r="X1" s="56" t="s">
        <v>424</v>
      </c>
      <c r="Y1" s="56" t="s">
        <v>425</v>
      </c>
      <c r="Z1" s="56" t="s">
        <v>426</v>
      </c>
      <c r="AA1" s="56" t="s">
        <v>427</v>
      </c>
      <c r="AB1" s="56" t="s">
        <v>428</v>
      </c>
      <c r="AD1" s="56" t="s">
        <v>407</v>
      </c>
      <c r="AE1" s="56" t="s">
        <v>1382</v>
      </c>
      <c r="AF1" s="56" t="s">
        <v>1276</v>
      </c>
      <c r="AG1" s="56" t="s">
        <v>1277</v>
      </c>
      <c r="AH1" s="56" t="s">
        <v>1193</v>
      </c>
      <c r="AI1" s="56" t="s">
        <v>1194</v>
      </c>
      <c r="AJ1" s="56" t="s">
        <v>429</v>
      </c>
      <c r="AK1" s="56" t="s">
        <v>430</v>
      </c>
      <c r="AL1" s="56" t="s">
        <v>431</v>
      </c>
      <c r="AM1" s="56" t="s">
        <v>432</v>
      </c>
      <c r="AN1" s="56" t="s">
        <v>433</v>
      </c>
      <c r="AP1" s="56" t="s">
        <v>407</v>
      </c>
      <c r="AQ1" s="56" t="s">
        <v>434</v>
      </c>
      <c r="AR1" s="56" t="s">
        <v>435</v>
      </c>
      <c r="AS1" s="56" t="s">
        <v>436</v>
      </c>
      <c r="AT1" s="56" t="s">
        <v>437</v>
      </c>
      <c r="AU1" s="56" t="s">
        <v>438</v>
      </c>
      <c r="AV1" s="56" t="s">
        <v>439</v>
      </c>
      <c r="AX1" s="99" t="s">
        <v>407</v>
      </c>
      <c r="AY1" s="99" t="s">
        <v>440</v>
      </c>
      <c r="AZ1" s="99" t="s">
        <v>441</v>
      </c>
      <c r="BA1" s="99" t="s">
        <v>442</v>
      </c>
      <c r="BB1" s="99" t="s">
        <v>443</v>
      </c>
      <c r="BC1" s="99" t="s">
        <v>444</v>
      </c>
      <c r="BD1" s="99" t="s">
        <v>445</v>
      </c>
      <c r="BE1" s="99" t="s">
        <v>446</v>
      </c>
      <c r="BG1" s="99" t="s">
        <v>447</v>
      </c>
      <c r="BH1" s="99" t="s">
        <v>407</v>
      </c>
      <c r="BI1" s="99" t="s">
        <v>448</v>
      </c>
      <c r="BJ1" s="99" t="s">
        <v>449</v>
      </c>
      <c r="BN1" s="99" t="s">
        <v>447</v>
      </c>
      <c r="BO1" s="99" t="s">
        <v>407</v>
      </c>
      <c r="BP1" s="99" t="s">
        <v>1322</v>
      </c>
      <c r="BQ1" s="99" t="s">
        <v>1230</v>
      </c>
      <c r="BR1" s="99" t="s">
        <v>1213</v>
      </c>
      <c r="BS1" s="99" t="s">
        <v>450</v>
      </c>
      <c r="BT1" s="99" t="s">
        <v>451</v>
      </c>
      <c r="BU1" s="99" t="s">
        <v>452</v>
      </c>
      <c r="BV1" s="99" t="s">
        <v>453</v>
      </c>
      <c r="BW1" s="99" t="s">
        <v>454</v>
      </c>
      <c r="BX1" s="99" t="s">
        <v>455</v>
      </c>
      <c r="BY1" s="99" t="s">
        <v>456</v>
      </c>
      <c r="BZ1" s="60"/>
      <c r="CA1" s="326" t="s">
        <v>447</v>
      </c>
      <c r="CB1" s="326" t="s">
        <v>407</v>
      </c>
      <c r="CC1" s="326" t="s">
        <v>1250</v>
      </c>
      <c r="CD1" s="326" t="s">
        <v>1251</v>
      </c>
      <c r="CE1" s="326" t="s">
        <v>1252</v>
      </c>
      <c r="CF1" s="326" t="s">
        <v>1238</v>
      </c>
      <c r="CG1" s="326" t="s">
        <v>1134</v>
      </c>
      <c r="CH1" s="326" t="s">
        <v>1135</v>
      </c>
      <c r="CI1" s="326" t="s">
        <v>1136</v>
      </c>
      <c r="CJ1" s="326" t="s">
        <v>1137</v>
      </c>
      <c r="CK1" s="326" t="s">
        <v>1115</v>
      </c>
      <c r="CL1" s="326" t="s">
        <v>1116</v>
      </c>
      <c r="CM1" s="326" t="s">
        <v>1100</v>
      </c>
      <c r="CN1" s="326" t="s">
        <v>1101</v>
      </c>
      <c r="CP1" s="370" t="s">
        <v>1383</v>
      </c>
      <c r="CQ1" s="370" t="s">
        <v>1384</v>
      </c>
    </row>
    <row r="2" spans="1:95" ht="25" x14ac:dyDescent="0.35">
      <c r="A2" s="56" t="s">
        <v>457</v>
      </c>
      <c r="B2" s="57" t="s">
        <v>1344</v>
      </c>
      <c r="C2" s="57" t="s">
        <v>1316</v>
      </c>
      <c r="D2" s="57" t="s">
        <v>1219</v>
      </c>
      <c r="E2" s="57">
        <v>45179</v>
      </c>
      <c r="F2" s="57" t="s">
        <v>957</v>
      </c>
      <c r="G2" s="57" t="s">
        <v>458</v>
      </c>
      <c r="H2" s="57" t="s">
        <v>459</v>
      </c>
      <c r="I2" s="57" t="s">
        <v>460</v>
      </c>
      <c r="J2" s="57" t="s">
        <v>461</v>
      </c>
      <c r="K2" s="298" t="s">
        <v>462</v>
      </c>
      <c r="L2" s="57" t="s">
        <v>463</v>
      </c>
      <c r="M2" s="57" t="s">
        <v>464</v>
      </c>
      <c r="N2" s="57" t="s">
        <v>465</v>
      </c>
      <c r="O2" s="57" t="s">
        <v>466</v>
      </c>
      <c r="P2" s="86" t="s">
        <v>466</v>
      </c>
      <c r="Q2" s="57">
        <v>44677</v>
      </c>
      <c r="R2" s="57">
        <v>44653</v>
      </c>
      <c r="S2" s="57">
        <v>44493</v>
      </c>
      <c r="T2" s="56" t="s">
        <v>467</v>
      </c>
      <c r="U2" s="56" t="s">
        <v>468</v>
      </c>
      <c r="V2" s="56" t="s">
        <v>469</v>
      </c>
      <c r="W2" s="56" t="s">
        <v>470</v>
      </c>
      <c r="X2" s="56" t="s">
        <v>471</v>
      </c>
      <c r="Y2" s="56" t="s">
        <v>472</v>
      </c>
      <c r="Z2" s="56" t="s">
        <v>473</v>
      </c>
      <c r="AA2" s="56" t="s">
        <v>473</v>
      </c>
      <c r="AB2" s="56" t="s">
        <v>474</v>
      </c>
      <c r="AD2" s="56" t="s">
        <v>457</v>
      </c>
      <c r="AE2" s="57" t="s">
        <v>1365</v>
      </c>
      <c r="AF2" s="57" t="s">
        <v>1278</v>
      </c>
      <c r="AG2" s="57" t="s">
        <v>1279</v>
      </c>
      <c r="AH2" s="57" t="s">
        <v>1195</v>
      </c>
      <c r="AI2" s="57" t="s">
        <v>1196</v>
      </c>
      <c r="AJ2" s="57">
        <v>44527</v>
      </c>
      <c r="AK2" s="56" t="s">
        <v>475</v>
      </c>
      <c r="AL2" s="56" t="s">
        <v>476</v>
      </c>
      <c r="AM2" s="56" t="s">
        <v>477</v>
      </c>
      <c r="AN2" s="56" t="s">
        <v>478</v>
      </c>
      <c r="AP2" s="56" t="s">
        <v>457</v>
      </c>
      <c r="AQ2" s="57">
        <v>44677</v>
      </c>
      <c r="AR2" s="57">
        <v>44570</v>
      </c>
      <c r="AS2" s="56" t="s">
        <v>467</v>
      </c>
      <c r="AT2" s="56" t="s">
        <v>473</v>
      </c>
      <c r="AU2" s="56" t="s">
        <v>473</v>
      </c>
      <c r="AV2" s="56" t="s">
        <v>479</v>
      </c>
      <c r="AX2" s="99" t="s">
        <v>457</v>
      </c>
      <c r="AY2" s="100" t="s">
        <v>480</v>
      </c>
      <c r="AZ2" s="100" t="s">
        <v>481</v>
      </c>
      <c r="BA2" s="100" t="s">
        <v>482</v>
      </c>
      <c r="BB2" s="100" t="s">
        <v>475</v>
      </c>
      <c r="BC2" s="100" t="s">
        <v>472</v>
      </c>
      <c r="BD2" s="100" t="s">
        <v>477</v>
      </c>
      <c r="BE2" s="100" t="s">
        <v>478</v>
      </c>
      <c r="BG2" s="99" t="s">
        <v>483</v>
      </c>
      <c r="BH2" s="99" t="s">
        <v>457</v>
      </c>
      <c r="BI2" s="99" t="s">
        <v>458</v>
      </c>
      <c r="BJ2" s="99" t="s">
        <v>484</v>
      </c>
      <c r="BN2" s="99" t="s">
        <v>483</v>
      </c>
      <c r="BO2" s="99" t="s">
        <v>457</v>
      </c>
      <c r="BP2" s="99" t="s">
        <v>1316</v>
      </c>
      <c r="BQ2" s="99" t="s">
        <v>1219</v>
      </c>
      <c r="BR2" s="99" t="s">
        <v>1195</v>
      </c>
      <c r="BS2" s="99" t="s">
        <v>485</v>
      </c>
      <c r="BT2" s="99" t="s">
        <v>475</v>
      </c>
      <c r="BU2" s="99" t="s">
        <v>477</v>
      </c>
      <c r="BV2" s="99" t="s">
        <v>486</v>
      </c>
      <c r="BW2" s="99" t="s">
        <v>486</v>
      </c>
      <c r="BX2" s="99" t="s">
        <v>486</v>
      </c>
      <c r="BY2" s="99" t="s">
        <v>478</v>
      </c>
      <c r="BZ2" s="60"/>
      <c r="CA2" s="327" t="s">
        <v>483</v>
      </c>
      <c r="CB2" s="327" t="s">
        <v>457</v>
      </c>
      <c r="CC2" s="317" t="s">
        <v>1253</v>
      </c>
      <c r="CD2" s="317" t="s">
        <v>1254</v>
      </c>
      <c r="CE2" s="317" t="s">
        <v>1254</v>
      </c>
      <c r="CF2" s="317" t="s">
        <v>1239</v>
      </c>
      <c r="CG2" s="317" t="s">
        <v>1138</v>
      </c>
      <c r="CH2" s="317" t="s">
        <v>1139</v>
      </c>
      <c r="CI2" s="317" t="s">
        <v>1139</v>
      </c>
      <c r="CJ2" s="317" t="s">
        <v>1139</v>
      </c>
      <c r="CK2" s="317" t="s">
        <v>1117</v>
      </c>
      <c r="CL2" s="317" t="s">
        <v>1118</v>
      </c>
      <c r="CM2" s="317" t="s">
        <v>1102</v>
      </c>
      <c r="CN2" s="317" t="s">
        <v>1103</v>
      </c>
      <c r="CP2" s="370" t="s">
        <v>1385</v>
      </c>
      <c r="CQ2" s="370" t="s">
        <v>1386</v>
      </c>
    </row>
    <row r="3" spans="1:95" ht="25" x14ac:dyDescent="0.35">
      <c r="A3" s="56" t="s">
        <v>487</v>
      </c>
      <c r="B3" s="56" t="s">
        <v>1345</v>
      </c>
      <c r="C3" s="56" t="s">
        <v>488</v>
      </c>
      <c r="D3" s="56" t="s">
        <v>488</v>
      </c>
      <c r="E3" s="56" t="s">
        <v>488</v>
      </c>
      <c r="F3" s="56" t="s">
        <v>488</v>
      </c>
      <c r="G3" s="56" t="s">
        <v>488</v>
      </c>
      <c r="H3" s="56" t="s">
        <v>488</v>
      </c>
      <c r="I3" s="56" t="s">
        <v>488</v>
      </c>
      <c r="J3" s="56" t="s">
        <v>488</v>
      </c>
      <c r="K3" s="297" t="s">
        <v>488</v>
      </c>
      <c r="L3" s="56" t="s">
        <v>488</v>
      </c>
      <c r="M3" s="56" t="s">
        <v>488</v>
      </c>
      <c r="N3" s="56" t="s">
        <v>488</v>
      </c>
      <c r="O3" s="56" t="s">
        <v>488</v>
      </c>
      <c r="P3" s="85" t="s">
        <v>488</v>
      </c>
      <c r="Q3" s="56" t="s">
        <v>488</v>
      </c>
      <c r="R3" s="56" t="s">
        <v>488</v>
      </c>
      <c r="S3" s="56" t="s">
        <v>488</v>
      </c>
      <c r="T3" s="56" t="s">
        <v>488</v>
      </c>
      <c r="U3" s="56" t="s">
        <v>488</v>
      </c>
      <c r="V3" s="56" t="s">
        <v>488</v>
      </c>
      <c r="W3" s="56" t="s">
        <v>488</v>
      </c>
      <c r="X3" s="56" t="s">
        <v>488</v>
      </c>
      <c r="Y3" s="56" t="s">
        <v>488</v>
      </c>
      <c r="Z3" s="56" t="s">
        <v>488</v>
      </c>
      <c r="AA3" s="56" t="s">
        <v>488</v>
      </c>
      <c r="AB3" s="56" t="s">
        <v>488</v>
      </c>
      <c r="AD3" s="56" t="s">
        <v>487</v>
      </c>
      <c r="AE3" s="56" t="s">
        <v>1345</v>
      </c>
      <c r="AF3" s="56" t="s">
        <v>488</v>
      </c>
      <c r="AG3" s="56" t="s">
        <v>488</v>
      </c>
      <c r="AH3" s="56" t="s">
        <v>488</v>
      </c>
      <c r="AI3" s="56" t="s">
        <v>488</v>
      </c>
      <c r="AJ3" s="56" t="s">
        <v>488</v>
      </c>
      <c r="AK3" s="56" t="s">
        <v>488</v>
      </c>
      <c r="AL3" s="56" t="s">
        <v>488</v>
      </c>
      <c r="AM3" s="56" t="s">
        <v>488</v>
      </c>
      <c r="AN3" s="56" t="s">
        <v>488</v>
      </c>
      <c r="AP3" s="56" t="s">
        <v>487</v>
      </c>
      <c r="AQ3" s="56" t="s">
        <v>488</v>
      </c>
      <c r="AR3" s="56" t="s">
        <v>488</v>
      </c>
      <c r="AS3" s="56" t="s">
        <v>488</v>
      </c>
      <c r="AT3" s="56" t="s">
        <v>488</v>
      </c>
      <c r="AU3" s="56" t="s">
        <v>488</v>
      </c>
      <c r="AV3" s="56" t="s">
        <v>488</v>
      </c>
      <c r="AX3" s="99" t="s">
        <v>487</v>
      </c>
      <c r="AY3" s="100" t="s">
        <v>488</v>
      </c>
      <c r="AZ3" s="100" t="s">
        <v>488</v>
      </c>
      <c r="BA3" s="100" t="s">
        <v>488</v>
      </c>
      <c r="BB3" s="100" t="s">
        <v>488</v>
      </c>
      <c r="BC3" s="100" t="s">
        <v>488</v>
      </c>
      <c r="BD3" s="100" t="s">
        <v>488</v>
      </c>
      <c r="BE3" s="100" t="s">
        <v>488</v>
      </c>
      <c r="BG3" s="99" t="s">
        <v>483</v>
      </c>
      <c r="BH3" s="99" t="s">
        <v>489</v>
      </c>
      <c r="BI3" s="99" t="s">
        <v>490</v>
      </c>
      <c r="BJ3" s="99" t="s">
        <v>490</v>
      </c>
      <c r="BN3" s="99" t="s">
        <v>483</v>
      </c>
      <c r="BO3" s="99" t="s">
        <v>487</v>
      </c>
      <c r="BP3" s="99" t="s">
        <v>488</v>
      </c>
      <c r="BQ3" s="99" t="s">
        <v>488</v>
      </c>
      <c r="BR3" s="99" t="s">
        <v>488</v>
      </c>
      <c r="BS3" s="99" t="s">
        <v>488</v>
      </c>
      <c r="BT3" s="99" t="s">
        <v>488</v>
      </c>
      <c r="BU3" s="99" t="s">
        <v>488</v>
      </c>
      <c r="BV3" s="99" t="s">
        <v>488</v>
      </c>
      <c r="BW3" s="99" t="s">
        <v>488</v>
      </c>
      <c r="BX3" s="99" t="s">
        <v>488</v>
      </c>
      <c r="BY3" s="99" t="s">
        <v>488</v>
      </c>
      <c r="BZ3" s="60"/>
      <c r="CA3" s="327" t="s">
        <v>483</v>
      </c>
      <c r="CB3" s="327" t="s">
        <v>489</v>
      </c>
      <c r="CC3" s="317" t="s">
        <v>490</v>
      </c>
      <c r="CD3" s="317" t="s">
        <v>490</v>
      </c>
      <c r="CE3" s="317" t="s">
        <v>490</v>
      </c>
      <c r="CF3" s="317" t="s">
        <v>490</v>
      </c>
      <c r="CG3" s="317" t="s">
        <v>490</v>
      </c>
      <c r="CH3" s="317" t="s">
        <v>490</v>
      </c>
      <c r="CI3" s="317" t="s">
        <v>490</v>
      </c>
      <c r="CJ3" s="317" t="s">
        <v>490</v>
      </c>
      <c r="CK3" s="317" t="s">
        <v>490</v>
      </c>
      <c r="CL3" s="317" t="s">
        <v>490</v>
      </c>
      <c r="CM3" s="317" t="s">
        <v>490</v>
      </c>
      <c r="CN3" s="317" t="s">
        <v>490</v>
      </c>
      <c r="CP3" s="370" t="s">
        <v>1387</v>
      </c>
      <c r="CQ3" s="370" t="s">
        <v>1388</v>
      </c>
    </row>
    <row r="4" spans="1:95" ht="37.5" x14ac:dyDescent="0.35">
      <c r="A4" s="56" t="s">
        <v>491</v>
      </c>
      <c r="B4" s="56" t="s">
        <v>1220</v>
      </c>
      <c r="C4" s="56" t="s">
        <v>245</v>
      </c>
      <c r="D4" s="56" t="s">
        <v>1220</v>
      </c>
      <c r="E4" s="56" t="s">
        <v>245</v>
      </c>
      <c r="F4" s="56" t="s">
        <v>245</v>
      </c>
      <c r="G4" s="56" t="s">
        <v>245</v>
      </c>
      <c r="H4" s="56" t="s">
        <v>245</v>
      </c>
      <c r="I4" s="56" t="s">
        <v>245</v>
      </c>
      <c r="J4" s="56" t="s">
        <v>245</v>
      </c>
      <c r="K4" s="297" t="s">
        <v>386</v>
      </c>
      <c r="L4" s="56" t="s">
        <v>386</v>
      </c>
      <c r="M4" s="56" t="s">
        <v>386</v>
      </c>
      <c r="N4" s="56" t="s">
        <v>386</v>
      </c>
      <c r="O4" s="56" t="s">
        <v>386</v>
      </c>
      <c r="P4" s="85" t="s">
        <v>245</v>
      </c>
      <c r="Q4" s="56" t="s">
        <v>386</v>
      </c>
      <c r="R4" s="56" t="s">
        <v>386</v>
      </c>
      <c r="S4" s="56" t="s">
        <v>386</v>
      </c>
      <c r="T4" s="56" t="s">
        <v>386</v>
      </c>
      <c r="U4" s="56" t="s">
        <v>386</v>
      </c>
      <c r="V4" s="56" t="s">
        <v>386</v>
      </c>
      <c r="W4" s="56" t="s">
        <v>386</v>
      </c>
      <c r="X4" s="56" t="s">
        <v>386</v>
      </c>
      <c r="Y4" s="56" t="s">
        <v>386</v>
      </c>
      <c r="Z4" s="56" t="s">
        <v>386</v>
      </c>
      <c r="AA4" s="56" t="s">
        <v>386</v>
      </c>
      <c r="AB4" s="56" t="s">
        <v>386</v>
      </c>
      <c r="AD4" s="56" t="s">
        <v>491</v>
      </c>
      <c r="AE4" s="56" t="s">
        <v>152</v>
      </c>
      <c r="AF4" s="56" t="s">
        <v>152</v>
      </c>
      <c r="AG4" s="56" t="s">
        <v>152</v>
      </c>
      <c r="AH4" s="56" t="s">
        <v>152</v>
      </c>
      <c r="AI4" s="56" t="s">
        <v>152</v>
      </c>
      <c r="AJ4" s="56" t="s">
        <v>152</v>
      </c>
      <c r="AK4" s="56" t="s">
        <v>152</v>
      </c>
      <c r="AL4" s="56" t="s">
        <v>152</v>
      </c>
      <c r="AM4" s="56" t="s">
        <v>152</v>
      </c>
      <c r="AN4" s="56" t="s">
        <v>152</v>
      </c>
      <c r="AP4" s="56" t="s">
        <v>491</v>
      </c>
      <c r="AQ4" s="56" t="s">
        <v>149</v>
      </c>
      <c r="AR4" s="56" t="s">
        <v>149</v>
      </c>
      <c r="AS4" s="56" t="s">
        <v>149</v>
      </c>
      <c r="AT4" s="56" t="s">
        <v>149</v>
      </c>
      <c r="AU4" s="56" t="s">
        <v>149</v>
      </c>
      <c r="AV4" s="56" t="s">
        <v>149</v>
      </c>
      <c r="AX4" s="99" t="s">
        <v>491</v>
      </c>
      <c r="AY4" s="100" t="s">
        <v>492</v>
      </c>
      <c r="AZ4" s="100" t="s">
        <v>492</v>
      </c>
      <c r="BA4" s="100" t="s">
        <v>492</v>
      </c>
      <c r="BB4" s="100" t="s">
        <v>492</v>
      </c>
      <c r="BC4" s="100" t="s">
        <v>492</v>
      </c>
      <c r="BD4" s="100" t="s">
        <v>492</v>
      </c>
      <c r="BE4" s="100" t="s">
        <v>492</v>
      </c>
      <c r="BG4" s="99" t="s">
        <v>483</v>
      </c>
      <c r="BH4" s="99" t="s">
        <v>487</v>
      </c>
      <c r="BI4" s="99" t="s">
        <v>488</v>
      </c>
      <c r="BJ4" s="99" t="s">
        <v>488</v>
      </c>
      <c r="BN4" s="99" t="s">
        <v>483</v>
      </c>
      <c r="BO4" s="99" t="s">
        <v>491</v>
      </c>
      <c r="BP4" s="99" t="s">
        <v>1231</v>
      </c>
      <c r="BQ4" s="99" t="s">
        <v>1231</v>
      </c>
      <c r="BR4" s="99" t="s">
        <v>155</v>
      </c>
      <c r="BS4" s="99" t="s">
        <v>155</v>
      </c>
      <c r="BT4" s="99" t="s">
        <v>155</v>
      </c>
      <c r="BU4" s="99" t="s">
        <v>155</v>
      </c>
      <c r="BV4" s="99" t="s">
        <v>155</v>
      </c>
      <c r="BW4" s="99" t="s">
        <v>155</v>
      </c>
      <c r="BX4" s="99" t="s">
        <v>155</v>
      </c>
      <c r="BY4" s="99" t="s">
        <v>155</v>
      </c>
      <c r="BZ4" s="60"/>
      <c r="CA4" s="327" t="s">
        <v>483</v>
      </c>
      <c r="CB4" s="327" t="s">
        <v>487</v>
      </c>
      <c r="CC4" s="317" t="s">
        <v>488</v>
      </c>
      <c r="CD4" s="317" t="s">
        <v>488</v>
      </c>
      <c r="CE4" s="317" t="s">
        <v>488</v>
      </c>
      <c r="CF4" s="317" t="s">
        <v>488</v>
      </c>
      <c r="CG4" s="317" t="s">
        <v>488</v>
      </c>
      <c r="CH4" s="317" t="s">
        <v>488</v>
      </c>
      <c r="CI4" s="317" t="s">
        <v>488</v>
      </c>
      <c r="CJ4" s="317" t="s">
        <v>488</v>
      </c>
      <c r="CK4" s="317" t="s">
        <v>488</v>
      </c>
      <c r="CL4" s="317" t="s">
        <v>488</v>
      </c>
      <c r="CM4" s="317" t="s">
        <v>488</v>
      </c>
      <c r="CN4" s="317" t="s">
        <v>488</v>
      </c>
      <c r="CP4" s="370" t="s">
        <v>1389</v>
      </c>
      <c r="CQ4" s="370" t="s">
        <v>1390</v>
      </c>
    </row>
    <row r="5" spans="1:95" ht="37.5" x14ac:dyDescent="0.35">
      <c r="A5" s="56" t="s">
        <v>493</v>
      </c>
      <c r="B5" s="59" t="s">
        <v>1346</v>
      </c>
      <c r="C5" s="59" t="s">
        <v>1317</v>
      </c>
      <c r="D5" s="59" t="s">
        <v>1221</v>
      </c>
      <c r="E5" s="59" t="s">
        <v>1189</v>
      </c>
      <c r="F5" s="59" t="s">
        <v>958</v>
      </c>
      <c r="G5" s="59" t="s">
        <v>280</v>
      </c>
      <c r="H5" s="59" t="s">
        <v>494</v>
      </c>
      <c r="I5" s="59" t="s">
        <v>495</v>
      </c>
      <c r="J5" s="59" t="s">
        <v>496</v>
      </c>
      <c r="K5" s="59">
        <v>81.58</v>
      </c>
      <c r="L5" s="59">
        <v>80.73</v>
      </c>
      <c r="M5" s="59" t="s">
        <v>226</v>
      </c>
      <c r="N5" s="59" t="s">
        <v>497</v>
      </c>
      <c r="O5" s="59" t="s">
        <v>498</v>
      </c>
      <c r="P5" s="59" t="s">
        <v>499</v>
      </c>
      <c r="Q5" s="59">
        <v>76.91</v>
      </c>
      <c r="R5" s="59">
        <v>77.8</v>
      </c>
      <c r="S5" s="59">
        <v>77.900000000000006</v>
      </c>
      <c r="T5" s="59">
        <v>78.67</v>
      </c>
      <c r="U5" s="59">
        <v>76.95</v>
      </c>
      <c r="V5" s="59">
        <v>76.319999999999993</v>
      </c>
      <c r="W5" s="59">
        <v>76.53</v>
      </c>
      <c r="X5" s="59">
        <v>77.040000000000006</v>
      </c>
      <c r="Y5" s="59">
        <v>74.010000000000005</v>
      </c>
      <c r="Z5" s="59">
        <v>74.03</v>
      </c>
      <c r="AA5" s="59">
        <v>73.5</v>
      </c>
      <c r="AB5" s="59">
        <v>75.39</v>
      </c>
      <c r="AD5" s="56" t="s">
        <v>526</v>
      </c>
      <c r="AE5" s="59" t="s">
        <v>501</v>
      </c>
      <c r="AF5" s="58"/>
      <c r="AG5" s="58"/>
      <c r="AH5" s="58"/>
      <c r="AI5" s="58"/>
      <c r="AJ5" s="58"/>
      <c r="AK5" s="58"/>
      <c r="AL5" s="58"/>
      <c r="AM5" s="58"/>
      <c r="AN5" s="58"/>
      <c r="AP5" s="56" t="s">
        <v>493</v>
      </c>
      <c r="AQ5" s="58">
        <v>18.760000000000002</v>
      </c>
      <c r="AR5" s="59">
        <v>17.47</v>
      </c>
      <c r="AS5" s="59">
        <v>18.64</v>
      </c>
      <c r="AT5" s="59">
        <v>18.27</v>
      </c>
      <c r="AU5" s="59">
        <v>18.21</v>
      </c>
      <c r="AV5" s="59">
        <v>18.53</v>
      </c>
      <c r="AX5" s="99" t="s">
        <v>493</v>
      </c>
      <c r="AY5" s="98" t="s">
        <v>226</v>
      </c>
      <c r="AZ5" s="98">
        <v>15.27</v>
      </c>
      <c r="BA5" s="98">
        <v>14.42</v>
      </c>
      <c r="BB5" s="98">
        <v>14.33</v>
      </c>
      <c r="BC5" s="98">
        <v>14.5</v>
      </c>
      <c r="BD5" s="98">
        <v>14.25</v>
      </c>
      <c r="BE5" s="98">
        <v>14.53</v>
      </c>
      <c r="BG5" s="99" t="s">
        <v>483</v>
      </c>
      <c r="BH5" s="99" t="s">
        <v>500</v>
      </c>
      <c r="BI5" s="99" t="s">
        <v>501</v>
      </c>
      <c r="BJ5" s="99" t="s">
        <v>501</v>
      </c>
      <c r="BN5" s="99" t="s">
        <v>502</v>
      </c>
      <c r="BO5" s="99" t="s">
        <v>493</v>
      </c>
      <c r="BP5" s="98" t="s">
        <v>1323</v>
      </c>
      <c r="BQ5" s="98" t="s">
        <v>1232</v>
      </c>
      <c r="BR5" s="98" t="s">
        <v>1214</v>
      </c>
      <c r="BS5" s="98" t="s">
        <v>503</v>
      </c>
      <c r="BT5" s="98" t="s">
        <v>504</v>
      </c>
      <c r="BU5" s="98" t="s">
        <v>505</v>
      </c>
      <c r="BV5" s="98" t="s">
        <v>506</v>
      </c>
      <c r="BW5" s="98" t="s">
        <v>507</v>
      </c>
      <c r="BX5" s="98" t="s">
        <v>508</v>
      </c>
      <c r="BY5" s="98" t="s">
        <v>509</v>
      </c>
      <c r="BZ5" s="60"/>
      <c r="CA5" s="327" t="s">
        <v>483</v>
      </c>
      <c r="CB5" s="327" t="s">
        <v>500</v>
      </c>
      <c r="CC5" s="317" t="s">
        <v>501</v>
      </c>
      <c r="CD5" s="317" t="s">
        <v>501</v>
      </c>
      <c r="CE5" s="317" t="s">
        <v>501</v>
      </c>
      <c r="CF5" s="317" t="s">
        <v>501</v>
      </c>
      <c r="CG5" s="317" t="s">
        <v>501</v>
      </c>
      <c r="CH5" s="317" t="s">
        <v>501</v>
      </c>
      <c r="CI5" s="317" t="s">
        <v>501</v>
      </c>
      <c r="CJ5" s="317" t="s">
        <v>501</v>
      </c>
      <c r="CK5" s="317" t="s">
        <v>501</v>
      </c>
      <c r="CL5" s="317" t="s">
        <v>501</v>
      </c>
      <c r="CM5" s="317" t="s">
        <v>501</v>
      </c>
      <c r="CN5" s="317" t="s">
        <v>501</v>
      </c>
      <c r="CP5" s="370" t="s">
        <v>1391</v>
      </c>
      <c r="CQ5" s="370" t="s">
        <v>1392</v>
      </c>
    </row>
    <row r="6" spans="1:95" ht="37.5" x14ac:dyDescent="0.35">
      <c r="A6" s="56" t="s">
        <v>510</v>
      </c>
      <c r="B6" s="59"/>
      <c r="C6" s="59"/>
      <c r="D6" s="59"/>
      <c r="E6" s="59" t="s">
        <v>226</v>
      </c>
      <c r="F6" s="59" t="s">
        <v>226</v>
      </c>
      <c r="G6" s="59" t="s">
        <v>501</v>
      </c>
      <c r="H6" s="59" t="s">
        <v>501</v>
      </c>
      <c r="I6" s="59" t="s">
        <v>501</v>
      </c>
      <c r="J6" s="59" t="s">
        <v>501</v>
      </c>
      <c r="K6" s="59" t="s">
        <v>226</v>
      </c>
      <c r="L6" s="59" t="s">
        <v>501</v>
      </c>
      <c r="M6" s="59" t="s">
        <v>501</v>
      </c>
      <c r="N6" s="59" t="s">
        <v>501</v>
      </c>
      <c r="O6" s="59" t="s">
        <v>226</v>
      </c>
      <c r="P6" s="59" t="s">
        <v>226</v>
      </c>
      <c r="Q6" s="59" t="s">
        <v>226</v>
      </c>
      <c r="R6" s="59">
        <v>0</v>
      </c>
      <c r="S6" s="59">
        <v>0</v>
      </c>
      <c r="T6" s="59">
        <v>0</v>
      </c>
      <c r="U6" s="59">
        <v>0</v>
      </c>
      <c r="V6" s="59">
        <v>0</v>
      </c>
      <c r="W6" s="58" t="s">
        <v>226</v>
      </c>
      <c r="X6" s="59">
        <v>0</v>
      </c>
      <c r="Y6" s="58" t="s">
        <v>226</v>
      </c>
      <c r="Z6" s="59">
        <v>0</v>
      </c>
      <c r="AA6" s="59">
        <v>0</v>
      </c>
      <c r="AB6" s="59">
        <v>0</v>
      </c>
      <c r="AD6" s="56" t="s">
        <v>549</v>
      </c>
      <c r="AE6" s="59" t="s">
        <v>501</v>
      </c>
      <c r="AF6" s="58"/>
      <c r="AG6" s="58"/>
      <c r="AH6" s="58"/>
      <c r="AI6" s="58"/>
      <c r="AJ6" s="58"/>
      <c r="AK6" s="58"/>
      <c r="AL6" s="58"/>
      <c r="AM6" s="58"/>
      <c r="AN6" s="58"/>
      <c r="AP6" s="56" t="s">
        <v>510</v>
      </c>
      <c r="AQ6" s="58">
        <v>0</v>
      </c>
      <c r="AR6" s="59">
        <v>0</v>
      </c>
      <c r="AS6" s="59">
        <v>0</v>
      </c>
      <c r="AT6" s="59">
        <v>0</v>
      </c>
      <c r="AU6" s="59">
        <v>0</v>
      </c>
      <c r="AV6" s="59">
        <v>0</v>
      </c>
      <c r="AX6" s="99" t="s">
        <v>510</v>
      </c>
      <c r="AY6" s="98" t="s">
        <v>501</v>
      </c>
      <c r="AZ6" s="98">
        <v>0</v>
      </c>
      <c r="BA6" s="98">
        <v>0</v>
      </c>
      <c r="BB6" s="98">
        <v>0</v>
      </c>
      <c r="BC6" s="98">
        <v>0</v>
      </c>
      <c r="BD6" s="98">
        <v>0</v>
      </c>
      <c r="BE6" s="98">
        <v>107</v>
      </c>
      <c r="BG6" s="99" t="s">
        <v>483</v>
      </c>
      <c r="BH6" s="99" t="s">
        <v>512</v>
      </c>
      <c r="BI6" s="99" t="s">
        <v>501</v>
      </c>
      <c r="BJ6" s="99" t="s">
        <v>501</v>
      </c>
      <c r="BN6" s="99" t="s">
        <v>502</v>
      </c>
      <c r="BO6" s="99" t="s">
        <v>510</v>
      </c>
      <c r="BP6" s="98"/>
      <c r="BQ6" s="98"/>
      <c r="BR6" s="98" t="s">
        <v>226</v>
      </c>
      <c r="BS6" s="98" t="s">
        <v>501</v>
      </c>
      <c r="BT6" s="98" t="s">
        <v>501</v>
      </c>
      <c r="BU6" s="98" t="s">
        <v>501</v>
      </c>
      <c r="BV6" s="98" t="s">
        <v>501</v>
      </c>
      <c r="BW6" s="98" t="s">
        <v>501</v>
      </c>
      <c r="BX6" s="98" t="s">
        <v>501</v>
      </c>
      <c r="BY6" s="98" t="s">
        <v>513</v>
      </c>
      <c r="BZ6" s="60"/>
      <c r="CA6" s="327" t="s">
        <v>483</v>
      </c>
      <c r="CB6" s="327" t="s">
        <v>512</v>
      </c>
      <c r="CC6" s="317" t="s">
        <v>501</v>
      </c>
      <c r="CD6" s="317" t="s">
        <v>501</v>
      </c>
      <c r="CE6" s="317" t="s">
        <v>501</v>
      </c>
      <c r="CF6" s="317" t="s">
        <v>501</v>
      </c>
      <c r="CG6" s="317" t="s">
        <v>501</v>
      </c>
      <c r="CH6" s="317" t="s">
        <v>501</v>
      </c>
      <c r="CI6" s="317" t="s">
        <v>501</v>
      </c>
      <c r="CJ6" s="317" t="s">
        <v>501</v>
      </c>
      <c r="CK6" s="317" t="s">
        <v>501</v>
      </c>
      <c r="CL6" s="317" t="s">
        <v>501</v>
      </c>
      <c r="CM6" s="317" t="s">
        <v>501</v>
      </c>
      <c r="CN6" s="317" t="s">
        <v>501</v>
      </c>
      <c r="CP6" s="370" t="s">
        <v>1393</v>
      </c>
      <c r="CQ6" s="370" t="s">
        <v>1345</v>
      </c>
    </row>
    <row r="7" spans="1:95" ht="34.5" x14ac:dyDescent="0.35">
      <c r="A7" s="56" t="s">
        <v>511</v>
      </c>
      <c r="B7" s="59" t="s">
        <v>1348</v>
      </c>
      <c r="C7" s="59" t="s">
        <v>514</v>
      </c>
      <c r="D7" s="59" t="s">
        <v>501</v>
      </c>
      <c r="E7" s="59" t="s">
        <v>514</v>
      </c>
      <c r="F7" s="59" t="s">
        <v>501</v>
      </c>
      <c r="G7" s="59" t="s">
        <v>501</v>
      </c>
      <c r="H7" s="59" t="s">
        <v>514</v>
      </c>
      <c r="I7" s="59" t="s">
        <v>501</v>
      </c>
      <c r="J7" s="59" t="s">
        <v>514</v>
      </c>
      <c r="K7" s="59" t="s">
        <v>501</v>
      </c>
      <c r="L7" s="59" t="s">
        <v>514</v>
      </c>
      <c r="M7" s="59" t="s">
        <v>501</v>
      </c>
      <c r="N7" s="59" t="s">
        <v>501</v>
      </c>
      <c r="O7" s="59" t="s">
        <v>501</v>
      </c>
      <c r="P7" s="59" t="s">
        <v>501</v>
      </c>
      <c r="Q7" s="59">
        <v>0</v>
      </c>
      <c r="R7" s="59">
        <v>0</v>
      </c>
      <c r="S7" s="59">
        <v>0</v>
      </c>
      <c r="T7" s="59">
        <v>0</v>
      </c>
      <c r="U7" s="59">
        <v>0</v>
      </c>
      <c r="V7" s="59">
        <v>0</v>
      </c>
      <c r="W7" s="59">
        <v>0</v>
      </c>
      <c r="X7" s="59">
        <v>0</v>
      </c>
      <c r="Y7" s="59">
        <v>0</v>
      </c>
      <c r="Z7" s="59">
        <v>0</v>
      </c>
      <c r="AA7" s="59">
        <v>0</v>
      </c>
      <c r="AB7" s="59">
        <v>0</v>
      </c>
      <c r="AD7" s="56" t="s">
        <v>525</v>
      </c>
      <c r="AE7" s="59" t="s">
        <v>1367</v>
      </c>
      <c r="AF7" s="58"/>
      <c r="AG7" s="58"/>
      <c r="AH7" s="58"/>
      <c r="AI7" s="58"/>
      <c r="AJ7" s="58"/>
      <c r="AK7" s="58"/>
      <c r="AL7" s="58"/>
      <c r="AM7" s="58"/>
      <c r="AN7" s="58"/>
      <c r="AP7" s="56" t="s">
        <v>511</v>
      </c>
      <c r="AQ7" s="58">
        <v>2</v>
      </c>
      <c r="AR7" s="59">
        <v>1</v>
      </c>
      <c r="AS7" s="59">
        <v>1</v>
      </c>
      <c r="AT7" s="59">
        <v>2</v>
      </c>
      <c r="AU7" s="59">
        <v>2</v>
      </c>
      <c r="AV7" s="59">
        <v>2</v>
      </c>
      <c r="AX7" s="99" t="s">
        <v>511</v>
      </c>
      <c r="AY7" s="98" t="s">
        <v>514</v>
      </c>
      <c r="AZ7" s="98">
        <v>1</v>
      </c>
      <c r="BA7" s="98">
        <v>1</v>
      </c>
      <c r="BB7" s="98">
        <v>1</v>
      </c>
      <c r="BC7" s="98">
        <v>1</v>
      </c>
      <c r="BD7" s="98">
        <v>1</v>
      </c>
      <c r="BE7" s="98">
        <v>0</v>
      </c>
      <c r="BG7" s="99" t="s">
        <v>483</v>
      </c>
      <c r="BH7" s="99" t="s">
        <v>491</v>
      </c>
      <c r="BI7" s="99" t="s">
        <v>265</v>
      </c>
      <c r="BJ7" s="99" t="s">
        <v>265</v>
      </c>
      <c r="BN7" s="99" t="s">
        <v>516</v>
      </c>
      <c r="BO7" s="99" t="s">
        <v>511</v>
      </c>
      <c r="BP7" s="98" t="s">
        <v>596</v>
      </c>
      <c r="BQ7" s="98" t="s">
        <v>517</v>
      </c>
      <c r="BR7" s="98" t="s">
        <v>514</v>
      </c>
      <c r="BS7" s="98" t="s">
        <v>514</v>
      </c>
      <c r="BT7" s="98" t="s">
        <v>517</v>
      </c>
      <c r="BU7" s="98" t="s">
        <v>517</v>
      </c>
      <c r="BV7" s="98" t="s">
        <v>501</v>
      </c>
      <c r="BW7" s="98" t="s">
        <v>514</v>
      </c>
      <c r="BX7" s="98" t="s">
        <v>501</v>
      </c>
      <c r="BY7" s="98" t="s">
        <v>514</v>
      </c>
      <c r="BZ7" s="60"/>
      <c r="CA7" s="327" t="s">
        <v>483</v>
      </c>
      <c r="CB7" s="327" t="s">
        <v>491</v>
      </c>
      <c r="CC7" s="317" t="s">
        <v>1104</v>
      </c>
      <c r="CD7" s="317" t="s">
        <v>1104</v>
      </c>
      <c r="CE7" s="317" t="s">
        <v>1104</v>
      </c>
      <c r="CF7" s="317" t="s">
        <v>1104</v>
      </c>
      <c r="CG7" s="317" t="s">
        <v>1104</v>
      </c>
      <c r="CH7" s="317" t="s">
        <v>1104</v>
      </c>
      <c r="CI7" s="317" t="s">
        <v>1104</v>
      </c>
      <c r="CJ7" s="317" t="s">
        <v>1104</v>
      </c>
      <c r="CK7" s="317" t="s">
        <v>1104</v>
      </c>
      <c r="CL7" s="317" t="s">
        <v>1104</v>
      </c>
      <c r="CM7" s="317" t="s">
        <v>1104</v>
      </c>
      <c r="CN7" s="317" t="s">
        <v>1104</v>
      </c>
      <c r="CP7" s="370" t="s">
        <v>1394</v>
      </c>
      <c r="CQ7" s="370" t="s">
        <v>490</v>
      </c>
    </row>
    <row r="8" spans="1:95" ht="37.5" x14ac:dyDescent="0.35">
      <c r="A8" s="56" t="s">
        <v>515</v>
      </c>
      <c r="B8" s="59" t="s">
        <v>1349</v>
      </c>
      <c r="C8" s="59" t="s">
        <v>501</v>
      </c>
      <c r="D8" s="59" t="s">
        <v>501</v>
      </c>
      <c r="E8" s="59" t="s">
        <v>501</v>
      </c>
      <c r="F8" s="59" t="s">
        <v>501</v>
      </c>
      <c r="G8" s="59" t="s">
        <v>501</v>
      </c>
      <c r="H8" s="59" t="s">
        <v>501</v>
      </c>
      <c r="I8" s="59" t="s">
        <v>501</v>
      </c>
      <c r="J8" s="59" t="s">
        <v>501</v>
      </c>
      <c r="K8" s="59" t="s">
        <v>501</v>
      </c>
      <c r="L8" s="59" t="s">
        <v>501</v>
      </c>
      <c r="M8" s="59" t="s">
        <v>501</v>
      </c>
      <c r="N8" s="59" t="s">
        <v>501</v>
      </c>
      <c r="O8" s="59" t="s">
        <v>501</v>
      </c>
      <c r="P8" s="59" t="s">
        <v>501</v>
      </c>
      <c r="Q8" s="59">
        <v>0</v>
      </c>
      <c r="R8" s="59">
        <v>0</v>
      </c>
      <c r="S8" s="59">
        <v>0</v>
      </c>
      <c r="T8" s="59">
        <v>0</v>
      </c>
      <c r="U8" s="59">
        <v>0</v>
      </c>
      <c r="V8" s="59">
        <v>0</v>
      </c>
      <c r="W8" s="59">
        <v>0</v>
      </c>
      <c r="X8" s="59">
        <v>0</v>
      </c>
      <c r="Y8" s="59">
        <v>0</v>
      </c>
      <c r="Z8" s="59">
        <v>0</v>
      </c>
      <c r="AA8" s="59">
        <v>0</v>
      </c>
      <c r="AB8" s="59">
        <v>0</v>
      </c>
      <c r="AD8" s="56" t="s">
        <v>493</v>
      </c>
      <c r="AE8" s="59" t="s">
        <v>1366</v>
      </c>
      <c r="AF8" s="59" t="s">
        <v>1280</v>
      </c>
      <c r="AG8" s="59" t="s">
        <v>1281</v>
      </c>
      <c r="AH8" s="59" t="s">
        <v>1197</v>
      </c>
      <c r="AI8" s="59" t="s">
        <v>1198</v>
      </c>
      <c r="AJ8" s="59">
        <v>6.54</v>
      </c>
      <c r="AK8" s="59">
        <v>6.2640000000000002</v>
      </c>
      <c r="AL8" s="59">
        <v>6.0289999999999999</v>
      </c>
      <c r="AM8" s="59">
        <v>5.9409999999999998</v>
      </c>
      <c r="AN8" s="59">
        <v>6.1760000000000002</v>
      </c>
      <c r="AP8" s="56" t="s">
        <v>515</v>
      </c>
      <c r="AQ8" s="58">
        <v>0</v>
      </c>
      <c r="AR8" s="59">
        <v>0</v>
      </c>
      <c r="AS8" s="59">
        <v>0</v>
      </c>
      <c r="AT8" s="59">
        <v>0</v>
      </c>
      <c r="AU8" s="59">
        <v>0</v>
      </c>
      <c r="AV8" s="59">
        <v>0</v>
      </c>
      <c r="AX8" s="99" t="s">
        <v>515</v>
      </c>
      <c r="AY8" s="98" t="s">
        <v>501</v>
      </c>
      <c r="AZ8" s="98">
        <v>0</v>
      </c>
      <c r="BA8" s="98">
        <v>0</v>
      </c>
      <c r="BB8" s="98">
        <v>0</v>
      </c>
      <c r="BC8" s="98">
        <v>0</v>
      </c>
      <c r="BD8" s="98">
        <v>0</v>
      </c>
      <c r="BE8" s="98">
        <v>0</v>
      </c>
      <c r="BG8" s="99" t="s">
        <v>502</v>
      </c>
      <c r="BH8" s="99" t="s">
        <v>493</v>
      </c>
      <c r="BI8" s="98" t="s">
        <v>519</v>
      </c>
      <c r="BJ8" s="98" t="s">
        <v>266</v>
      </c>
      <c r="BN8" s="99" t="s">
        <v>516</v>
      </c>
      <c r="BO8" s="99" t="s">
        <v>515</v>
      </c>
      <c r="BP8" s="98" t="s">
        <v>501</v>
      </c>
      <c r="BQ8" s="98" t="s">
        <v>501</v>
      </c>
      <c r="BR8" s="98" t="s">
        <v>501</v>
      </c>
      <c r="BS8" s="98" t="s">
        <v>501</v>
      </c>
      <c r="BT8" s="98" t="s">
        <v>501</v>
      </c>
      <c r="BU8" s="98" t="s">
        <v>501</v>
      </c>
      <c r="BV8" s="98" t="s">
        <v>501</v>
      </c>
      <c r="BW8" s="98" t="s">
        <v>501</v>
      </c>
      <c r="BX8" s="98" t="s">
        <v>501</v>
      </c>
      <c r="BY8" s="98" t="s">
        <v>501</v>
      </c>
      <c r="BZ8" s="60"/>
      <c r="CA8" s="327" t="s">
        <v>502</v>
      </c>
      <c r="CB8" s="327" t="s">
        <v>493</v>
      </c>
      <c r="CC8" s="316" t="s">
        <v>1255</v>
      </c>
      <c r="CD8" s="316" t="s">
        <v>1256</v>
      </c>
      <c r="CE8" s="316" t="s">
        <v>1257</v>
      </c>
      <c r="CF8" s="316" t="s">
        <v>1240</v>
      </c>
      <c r="CG8" s="316">
        <v>16.577500000000001</v>
      </c>
      <c r="CH8" s="316">
        <v>15.505000000000001</v>
      </c>
      <c r="CI8" s="316">
        <v>15.910600000000001</v>
      </c>
      <c r="CJ8" s="316">
        <v>15.9573</v>
      </c>
      <c r="CK8" s="316">
        <v>16.2699</v>
      </c>
      <c r="CL8" s="316">
        <v>16.126899999999999</v>
      </c>
      <c r="CM8" s="316">
        <v>17.04</v>
      </c>
      <c r="CN8" s="316">
        <v>16.48</v>
      </c>
      <c r="CP8" s="370" t="s">
        <v>1395</v>
      </c>
      <c r="CQ8" s="370" t="s">
        <v>501</v>
      </c>
    </row>
    <row r="9" spans="1:95" ht="34.5" x14ac:dyDescent="0.35">
      <c r="A9" s="56" t="s">
        <v>518</v>
      </c>
      <c r="B9" s="59" t="s">
        <v>1350</v>
      </c>
      <c r="C9" s="59" t="s">
        <v>501</v>
      </c>
      <c r="D9" s="59" t="s">
        <v>514</v>
      </c>
      <c r="E9" s="59" t="s">
        <v>501</v>
      </c>
      <c r="F9" s="59" t="s">
        <v>501</v>
      </c>
      <c r="G9" s="59" t="s">
        <v>501</v>
      </c>
      <c r="H9" s="59" t="s">
        <v>501</v>
      </c>
      <c r="I9" s="59" t="s">
        <v>501</v>
      </c>
      <c r="J9" s="59" t="s">
        <v>501</v>
      </c>
      <c r="K9" s="59" t="s">
        <v>501</v>
      </c>
      <c r="L9" s="59" t="s">
        <v>514</v>
      </c>
      <c r="M9" s="59" t="s">
        <v>501</v>
      </c>
      <c r="N9" s="59" t="s">
        <v>501</v>
      </c>
      <c r="O9" s="59" t="s">
        <v>501</v>
      </c>
      <c r="P9" s="59" t="s">
        <v>501</v>
      </c>
      <c r="Q9" s="59">
        <v>0</v>
      </c>
      <c r="R9" s="59">
        <v>0</v>
      </c>
      <c r="S9" s="59">
        <v>0</v>
      </c>
      <c r="T9" s="59">
        <v>0</v>
      </c>
      <c r="U9" s="59">
        <v>0</v>
      </c>
      <c r="V9" s="59">
        <v>0</v>
      </c>
      <c r="W9" s="59">
        <v>0</v>
      </c>
      <c r="X9" s="59">
        <v>0</v>
      </c>
      <c r="Y9" s="59">
        <v>0</v>
      </c>
      <c r="Z9" s="59">
        <v>0</v>
      </c>
      <c r="AA9" s="59">
        <v>0</v>
      </c>
      <c r="AB9" s="59">
        <v>0</v>
      </c>
      <c r="AD9" s="56" t="s">
        <v>511</v>
      </c>
      <c r="AE9" s="59" t="s">
        <v>1368</v>
      </c>
      <c r="AF9" s="59" t="s">
        <v>514</v>
      </c>
      <c r="AG9" s="59" t="s">
        <v>514</v>
      </c>
      <c r="AH9" s="59" t="s">
        <v>514</v>
      </c>
      <c r="AI9" s="59" t="s">
        <v>514</v>
      </c>
      <c r="AJ9" s="59">
        <v>1</v>
      </c>
      <c r="AK9" s="59">
        <v>2</v>
      </c>
      <c r="AL9" s="59">
        <v>2</v>
      </c>
      <c r="AM9" s="59">
        <v>3</v>
      </c>
      <c r="AN9" s="59">
        <v>1</v>
      </c>
      <c r="AP9" s="56" t="s">
        <v>518</v>
      </c>
      <c r="AQ9" s="58">
        <v>0</v>
      </c>
      <c r="AR9" s="59">
        <v>0</v>
      </c>
      <c r="AS9" s="59">
        <v>0</v>
      </c>
      <c r="AT9" s="59">
        <v>0</v>
      </c>
      <c r="AU9" s="59">
        <v>0</v>
      </c>
      <c r="AV9" s="59">
        <v>1</v>
      </c>
      <c r="AX9" s="99" t="s">
        <v>518</v>
      </c>
      <c r="AY9" s="98" t="s">
        <v>501</v>
      </c>
      <c r="AZ9" s="98">
        <v>0</v>
      </c>
      <c r="BA9" s="98">
        <v>0</v>
      </c>
      <c r="BB9" s="98">
        <v>0</v>
      </c>
      <c r="BC9" s="98">
        <v>0</v>
      </c>
      <c r="BD9" s="98">
        <v>0</v>
      </c>
      <c r="BE9" s="98">
        <v>0</v>
      </c>
      <c r="BG9" s="99" t="s">
        <v>521</v>
      </c>
      <c r="BH9" s="99" t="s">
        <v>522</v>
      </c>
      <c r="BI9" s="98" t="s">
        <v>523</v>
      </c>
      <c r="BJ9" s="98" t="s">
        <v>226</v>
      </c>
      <c r="BN9" s="99" t="s">
        <v>516</v>
      </c>
      <c r="BO9" s="99" t="s">
        <v>518</v>
      </c>
      <c r="BP9" s="98" t="s">
        <v>501</v>
      </c>
      <c r="BQ9" s="98" t="s">
        <v>501</v>
      </c>
      <c r="BR9" s="98" t="s">
        <v>514</v>
      </c>
      <c r="BS9" s="98" t="s">
        <v>501</v>
      </c>
      <c r="BT9" s="98" t="s">
        <v>501</v>
      </c>
      <c r="BU9" s="98" t="s">
        <v>501</v>
      </c>
      <c r="BV9" s="98" t="s">
        <v>514</v>
      </c>
      <c r="BW9" s="98" t="s">
        <v>514</v>
      </c>
      <c r="BX9" s="98" t="s">
        <v>514</v>
      </c>
      <c r="BY9" s="98" t="s">
        <v>501</v>
      </c>
      <c r="BZ9" s="60"/>
      <c r="CA9" s="327" t="s">
        <v>521</v>
      </c>
      <c r="CB9" s="327" t="s">
        <v>522</v>
      </c>
      <c r="CC9" s="316"/>
      <c r="CD9" s="316"/>
      <c r="CE9" s="316"/>
      <c r="CF9" s="316"/>
      <c r="CG9" s="316"/>
      <c r="CH9" s="316"/>
      <c r="CI9" s="316"/>
      <c r="CJ9" s="316"/>
      <c r="CK9" s="316" t="s">
        <v>523</v>
      </c>
      <c r="CL9" s="316" t="s">
        <v>523</v>
      </c>
      <c r="CM9" s="316" t="s">
        <v>523</v>
      </c>
      <c r="CN9" s="316" t="s">
        <v>523</v>
      </c>
      <c r="CP9" s="370" t="s">
        <v>500</v>
      </c>
      <c r="CQ9" s="370" t="s">
        <v>501</v>
      </c>
    </row>
    <row r="10" spans="1:95" ht="34.5" x14ac:dyDescent="0.35">
      <c r="A10" s="56" t="s">
        <v>520</v>
      </c>
      <c r="B10" s="59" t="s">
        <v>1351</v>
      </c>
      <c r="C10" s="59" t="s">
        <v>501</v>
      </c>
      <c r="D10" s="59" t="s">
        <v>501</v>
      </c>
      <c r="E10" s="59" t="s">
        <v>501</v>
      </c>
      <c r="F10" s="59" t="s">
        <v>501</v>
      </c>
      <c r="G10" s="59" t="s">
        <v>501</v>
      </c>
      <c r="H10" s="59" t="s">
        <v>501</v>
      </c>
      <c r="I10" s="59" t="s">
        <v>501</v>
      </c>
      <c r="J10" s="59" t="s">
        <v>501</v>
      </c>
      <c r="K10" s="59" t="s">
        <v>501</v>
      </c>
      <c r="L10" s="59" t="s">
        <v>501</v>
      </c>
      <c r="M10" s="59" t="s">
        <v>501</v>
      </c>
      <c r="N10" s="59" t="s">
        <v>501</v>
      </c>
      <c r="O10" s="59" t="s">
        <v>501</v>
      </c>
      <c r="P10" s="59" t="s">
        <v>501</v>
      </c>
      <c r="Q10" s="59">
        <v>0</v>
      </c>
      <c r="R10" s="59">
        <v>0</v>
      </c>
      <c r="S10" s="59">
        <v>0</v>
      </c>
      <c r="T10" s="59">
        <v>0</v>
      </c>
      <c r="U10" s="59">
        <v>0</v>
      </c>
      <c r="V10" s="59">
        <v>0</v>
      </c>
      <c r="W10" s="59">
        <v>0</v>
      </c>
      <c r="X10" s="59">
        <v>0</v>
      </c>
      <c r="Y10" s="59">
        <v>0</v>
      </c>
      <c r="Z10" s="59">
        <v>0</v>
      </c>
      <c r="AA10" s="59">
        <v>0</v>
      </c>
      <c r="AB10" s="59">
        <v>0</v>
      </c>
      <c r="AD10" s="56" t="s">
        <v>515</v>
      </c>
      <c r="AE10" s="59" t="s">
        <v>1369</v>
      </c>
      <c r="AF10" s="59" t="s">
        <v>501</v>
      </c>
      <c r="AG10" s="59" t="s">
        <v>501</v>
      </c>
      <c r="AH10" s="59" t="s">
        <v>501</v>
      </c>
      <c r="AI10" s="59" t="s">
        <v>501</v>
      </c>
      <c r="AJ10" s="59">
        <v>0</v>
      </c>
      <c r="AK10" s="59">
        <v>0</v>
      </c>
      <c r="AL10" s="59">
        <v>0</v>
      </c>
      <c r="AM10" s="59">
        <v>0</v>
      </c>
      <c r="AN10" s="59">
        <v>0</v>
      </c>
      <c r="AP10" s="56" t="s">
        <v>520</v>
      </c>
      <c r="AQ10" s="58">
        <v>0</v>
      </c>
      <c r="AR10" s="59">
        <v>0</v>
      </c>
      <c r="AS10" s="59">
        <v>0</v>
      </c>
      <c r="AT10" s="59">
        <v>0</v>
      </c>
      <c r="AU10" s="59">
        <v>0</v>
      </c>
      <c r="AV10" s="59">
        <v>0</v>
      </c>
      <c r="AX10" s="99" t="s">
        <v>520</v>
      </c>
      <c r="AY10" s="98" t="s">
        <v>501</v>
      </c>
      <c r="AZ10" s="98">
        <v>0</v>
      </c>
      <c r="BA10" s="98">
        <v>0</v>
      </c>
      <c r="BB10" s="98">
        <v>0</v>
      </c>
      <c r="BC10" s="98">
        <v>0</v>
      </c>
      <c r="BD10" s="98">
        <v>0</v>
      </c>
      <c r="BE10" s="98">
        <v>0</v>
      </c>
      <c r="BG10" s="99" t="s">
        <v>521</v>
      </c>
      <c r="BH10" s="99" t="s">
        <v>525</v>
      </c>
      <c r="BI10" s="98" t="s">
        <v>226</v>
      </c>
      <c r="BJ10" s="98" t="s">
        <v>226</v>
      </c>
      <c r="BN10" s="99" t="s">
        <v>516</v>
      </c>
      <c r="BO10" s="99" t="s">
        <v>520</v>
      </c>
      <c r="BP10" s="98" t="s">
        <v>501</v>
      </c>
      <c r="BQ10" s="98" t="s">
        <v>501</v>
      </c>
      <c r="BR10" s="98" t="s">
        <v>501</v>
      </c>
      <c r="BS10" s="98" t="s">
        <v>501</v>
      </c>
      <c r="BT10" s="98" t="s">
        <v>501</v>
      </c>
      <c r="BU10" s="98" t="s">
        <v>501</v>
      </c>
      <c r="BV10" s="98" t="s">
        <v>501</v>
      </c>
      <c r="BW10" s="98" t="s">
        <v>501</v>
      </c>
      <c r="BX10" s="98" t="s">
        <v>501</v>
      </c>
      <c r="BY10" s="98" t="s">
        <v>501</v>
      </c>
      <c r="BZ10" s="60"/>
      <c r="CA10" s="327" t="s">
        <v>521</v>
      </c>
      <c r="CB10" s="327" t="s">
        <v>526</v>
      </c>
      <c r="CC10" s="316"/>
      <c r="CD10" s="316"/>
      <c r="CE10" s="316"/>
      <c r="CF10" s="316"/>
      <c r="CG10" s="316"/>
      <c r="CH10" s="316"/>
      <c r="CI10" s="316"/>
      <c r="CJ10" s="316"/>
      <c r="CK10" s="316" t="s">
        <v>501</v>
      </c>
      <c r="CL10" s="316" t="s">
        <v>501</v>
      </c>
      <c r="CM10" s="316" t="s">
        <v>501</v>
      </c>
      <c r="CN10" s="316" t="s">
        <v>501</v>
      </c>
      <c r="CP10" s="370" t="s">
        <v>493</v>
      </c>
      <c r="CQ10" s="368" t="s">
        <v>1396</v>
      </c>
    </row>
    <row r="11" spans="1:95" ht="34.5" x14ac:dyDescent="0.35">
      <c r="A11" s="56" t="s">
        <v>524</v>
      </c>
      <c r="B11" s="59" t="s">
        <v>1349</v>
      </c>
      <c r="C11" s="59" t="s">
        <v>501</v>
      </c>
      <c r="D11" s="59" t="s">
        <v>501</v>
      </c>
      <c r="E11" s="59" t="s">
        <v>501</v>
      </c>
      <c r="F11" s="59" t="s">
        <v>501</v>
      </c>
      <c r="G11" s="59" t="s">
        <v>501</v>
      </c>
      <c r="H11" s="59" t="s">
        <v>501</v>
      </c>
      <c r="I11" s="59" t="s">
        <v>514</v>
      </c>
      <c r="J11" s="59" t="s">
        <v>501</v>
      </c>
      <c r="K11" s="59" t="s">
        <v>501</v>
      </c>
      <c r="L11" s="59" t="s">
        <v>501</v>
      </c>
      <c r="M11" s="59" t="s">
        <v>514</v>
      </c>
      <c r="N11" s="59" t="s">
        <v>501</v>
      </c>
      <c r="O11" s="59" t="s">
        <v>501</v>
      </c>
      <c r="P11" s="59" t="s">
        <v>501</v>
      </c>
      <c r="Q11" s="59">
        <v>0</v>
      </c>
      <c r="R11" s="59">
        <v>1</v>
      </c>
      <c r="S11" s="59">
        <v>0</v>
      </c>
      <c r="T11" s="59">
        <v>0</v>
      </c>
      <c r="U11" s="59">
        <v>0</v>
      </c>
      <c r="V11" s="59">
        <v>0</v>
      </c>
      <c r="W11" s="59">
        <v>2</v>
      </c>
      <c r="X11" s="59">
        <v>2</v>
      </c>
      <c r="Y11" s="59">
        <v>1</v>
      </c>
      <c r="Z11" s="59">
        <v>2</v>
      </c>
      <c r="AA11" s="59">
        <v>1</v>
      </c>
      <c r="AB11" s="59">
        <v>1</v>
      </c>
      <c r="AD11" s="56" t="s">
        <v>518</v>
      </c>
      <c r="AE11" s="59" t="s">
        <v>1355</v>
      </c>
      <c r="AF11" s="59" t="s">
        <v>501</v>
      </c>
      <c r="AG11" s="59" t="s">
        <v>501</v>
      </c>
      <c r="AH11" s="59" t="s">
        <v>514</v>
      </c>
      <c r="AI11" s="59" t="s">
        <v>501</v>
      </c>
      <c r="AJ11" s="59">
        <v>0</v>
      </c>
      <c r="AK11" s="59">
        <v>0</v>
      </c>
      <c r="AL11" s="59">
        <v>0</v>
      </c>
      <c r="AM11" s="59">
        <v>0</v>
      </c>
      <c r="AN11" s="59">
        <v>1</v>
      </c>
      <c r="AP11" s="56" t="s">
        <v>524</v>
      </c>
      <c r="AQ11" s="58">
        <v>4</v>
      </c>
      <c r="AR11" s="59">
        <v>0</v>
      </c>
      <c r="AS11" s="59">
        <v>0</v>
      </c>
      <c r="AT11" s="59">
        <v>0</v>
      </c>
      <c r="AU11" s="59">
        <v>0</v>
      </c>
      <c r="AV11" s="59">
        <v>0</v>
      </c>
      <c r="AX11" s="99" t="s">
        <v>524</v>
      </c>
      <c r="AY11" s="98" t="s">
        <v>501</v>
      </c>
      <c r="AZ11" s="98">
        <v>0</v>
      </c>
      <c r="BA11" s="98">
        <v>1</v>
      </c>
      <c r="BB11" s="98">
        <v>0</v>
      </c>
      <c r="BC11" s="98">
        <v>0</v>
      </c>
      <c r="BD11" s="98">
        <v>0</v>
      </c>
      <c r="BE11" s="98">
        <v>0</v>
      </c>
      <c r="BG11" s="99" t="s">
        <v>521</v>
      </c>
      <c r="BH11" s="99" t="s">
        <v>526</v>
      </c>
      <c r="BI11" s="98" t="s">
        <v>501</v>
      </c>
      <c r="BJ11" s="98" t="s">
        <v>226</v>
      </c>
      <c r="BN11" s="99" t="s">
        <v>516</v>
      </c>
      <c r="BO11" s="99" t="s">
        <v>524</v>
      </c>
      <c r="BP11" s="98" t="s">
        <v>501</v>
      </c>
      <c r="BQ11" s="98" t="s">
        <v>501</v>
      </c>
      <c r="BR11" s="98" t="s">
        <v>501</v>
      </c>
      <c r="BS11" s="98" t="s">
        <v>501</v>
      </c>
      <c r="BT11" s="98" t="s">
        <v>501</v>
      </c>
      <c r="BU11" s="98" t="s">
        <v>501</v>
      </c>
      <c r="BV11" s="98" t="s">
        <v>501</v>
      </c>
      <c r="BW11" s="98" t="s">
        <v>501</v>
      </c>
      <c r="BX11" s="98" t="s">
        <v>501</v>
      </c>
      <c r="BY11" s="98" t="s">
        <v>514</v>
      </c>
      <c r="BZ11" s="60"/>
      <c r="CA11" s="327" t="s">
        <v>521</v>
      </c>
      <c r="CB11" s="327" t="s">
        <v>528</v>
      </c>
      <c r="CC11" s="316"/>
      <c r="CD11" s="316"/>
      <c r="CE11" s="316"/>
      <c r="CF11" s="316"/>
      <c r="CG11" s="316"/>
      <c r="CH11" s="316"/>
      <c r="CI11" s="316"/>
      <c r="CJ11" s="316"/>
      <c r="CK11" s="316" t="s">
        <v>501</v>
      </c>
      <c r="CL11" s="316" t="s">
        <v>501</v>
      </c>
      <c r="CM11" s="316" t="s">
        <v>501</v>
      </c>
      <c r="CN11" s="316" t="s">
        <v>276</v>
      </c>
      <c r="CP11" s="370" t="s">
        <v>535</v>
      </c>
      <c r="CQ11" s="368" t="s">
        <v>501</v>
      </c>
    </row>
    <row r="12" spans="1:95" ht="34.5" x14ac:dyDescent="0.35">
      <c r="A12" s="56" t="s">
        <v>406</v>
      </c>
      <c r="B12" s="59" t="s">
        <v>1349</v>
      </c>
      <c r="C12" s="59" t="s">
        <v>501</v>
      </c>
      <c r="D12" s="59" t="s">
        <v>501</v>
      </c>
      <c r="E12" s="59" t="s">
        <v>501</v>
      </c>
      <c r="F12" s="59" t="s">
        <v>501</v>
      </c>
      <c r="G12" s="59" t="s">
        <v>501</v>
      </c>
      <c r="H12" s="59" t="s">
        <v>501</v>
      </c>
      <c r="I12" s="59" t="s">
        <v>501</v>
      </c>
      <c r="J12" s="59" t="s">
        <v>501</v>
      </c>
      <c r="K12" s="59" t="s">
        <v>501</v>
      </c>
      <c r="L12" s="59" t="s">
        <v>501</v>
      </c>
      <c r="M12" s="59" t="s">
        <v>501</v>
      </c>
      <c r="N12" s="59" t="s">
        <v>501</v>
      </c>
      <c r="O12" s="59" t="s">
        <v>501</v>
      </c>
      <c r="P12" s="59" t="s">
        <v>501</v>
      </c>
      <c r="Q12" s="59">
        <v>0</v>
      </c>
      <c r="R12" s="59">
        <v>0</v>
      </c>
      <c r="S12" s="59">
        <v>0</v>
      </c>
      <c r="T12" s="59">
        <v>1</v>
      </c>
      <c r="U12" s="59">
        <v>0</v>
      </c>
      <c r="V12" s="59">
        <v>1</v>
      </c>
      <c r="W12" s="59">
        <v>0</v>
      </c>
      <c r="X12" s="59">
        <v>0</v>
      </c>
      <c r="Y12" s="59">
        <v>0</v>
      </c>
      <c r="Z12" s="59">
        <v>1</v>
      </c>
      <c r="AA12" s="59">
        <v>0</v>
      </c>
      <c r="AB12" s="59">
        <v>0</v>
      </c>
      <c r="AD12" s="56" t="s">
        <v>520</v>
      </c>
      <c r="AE12" s="59" t="s">
        <v>1351</v>
      </c>
      <c r="AF12" s="59" t="s">
        <v>501</v>
      </c>
      <c r="AG12" s="59" t="s">
        <v>501</v>
      </c>
      <c r="AH12" s="59" t="s">
        <v>501</v>
      </c>
      <c r="AI12" s="59" t="s">
        <v>501</v>
      </c>
      <c r="AJ12" s="59">
        <v>0</v>
      </c>
      <c r="AK12" s="59">
        <v>0</v>
      </c>
      <c r="AL12" s="59">
        <v>0</v>
      </c>
      <c r="AM12" s="59">
        <v>0</v>
      </c>
      <c r="AN12" s="59">
        <v>0</v>
      </c>
      <c r="AP12" s="56" t="s">
        <v>406</v>
      </c>
      <c r="AQ12" s="58">
        <v>1</v>
      </c>
      <c r="AR12" s="59">
        <v>1</v>
      </c>
      <c r="AS12" s="59">
        <v>1</v>
      </c>
      <c r="AT12" s="59">
        <v>1</v>
      </c>
      <c r="AU12" s="59">
        <v>1</v>
      </c>
      <c r="AV12" s="59">
        <v>1</v>
      </c>
      <c r="AX12" s="99" t="s">
        <v>406</v>
      </c>
      <c r="AY12" s="98" t="s">
        <v>501</v>
      </c>
      <c r="AZ12" s="98">
        <v>0</v>
      </c>
      <c r="BA12" s="98">
        <v>1</v>
      </c>
      <c r="BB12" s="98">
        <v>0</v>
      </c>
      <c r="BC12" s="98">
        <v>0</v>
      </c>
      <c r="BD12" s="98">
        <v>1</v>
      </c>
      <c r="BE12" s="98">
        <v>0</v>
      </c>
      <c r="BG12" s="99" t="s">
        <v>521</v>
      </c>
      <c r="BH12" s="99" t="s">
        <v>528</v>
      </c>
      <c r="BI12" s="98" t="s">
        <v>501</v>
      </c>
      <c r="BJ12" s="98" t="s">
        <v>226</v>
      </c>
      <c r="BN12" s="99" t="s">
        <v>516</v>
      </c>
      <c r="BO12" s="99" t="s">
        <v>406</v>
      </c>
      <c r="BP12" s="98" t="s">
        <v>517</v>
      </c>
      <c r="BQ12" s="98" t="s">
        <v>514</v>
      </c>
      <c r="BR12" s="98" t="s">
        <v>514</v>
      </c>
      <c r="BS12" s="98" t="s">
        <v>514</v>
      </c>
      <c r="BT12" s="98" t="s">
        <v>514</v>
      </c>
      <c r="BU12" s="98" t="s">
        <v>514</v>
      </c>
      <c r="BV12" s="98" t="s">
        <v>501</v>
      </c>
      <c r="BW12" s="98" t="s">
        <v>501</v>
      </c>
      <c r="BX12" s="98" t="s">
        <v>501</v>
      </c>
      <c r="BY12" s="98" t="s">
        <v>514</v>
      </c>
      <c r="BZ12" s="60"/>
      <c r="CA12" s="327" t="s">
        <v>521</v>
      </c>
      <c r="CB12" s="327" t="s">
        <v>530</v>
      </c>
      <c r="CC12" s="316"/>
      <c r="CD12" s="316"/>
      <c r="CE12" s="316"/>
      <c r="CF12" s="316"/>
      <c r="CG12" s="316"/>
      <c r="CH12" s="316"/>
      <c r="CI12" s="316"/>
      <c r="CJ12" s="316"/>
      <c r="CK12" s="316" t="s">
        <v>501</v>
      </c>
      <c r="CL12" s="316" t="s">
        <v>501</v>
      </c>
      <c r="CM12" s="316" t="s">
        <v>501</v>
      </c>
      <c r="CN12" s="316" t="s">
        <v>501</v>
      </c>
      <c r="CP12" s="370" t="s">
        <v>526</v>
      </c>
      <c r="CQ12" s="368" t="s">
        <v>501</v>
      </c>
    </row>
    <row r="13" spans="1:95" ht="34.5" x14ac:dyDescent="0.35">
      <c r="A13" s="56" t="s">
        <v>527</v>
      </c>
      <c r="B13" s="59" t="s">
        <v>1352</v>
      </c>
      <c r="C13" s="59" t="s">
        <v>501</v>
      </c>
      <c r="D13" s="59" t="s">
        <v>514</v>
      </c>
      <c r="E13" s="59" t="s">
        <v>501</v>
      </c>
      <c r="F13" s="59" t="s">
        <v>501</v>
      </c>
      <c r="G13" s="59" t="s">
        <v>501</v>
      </c>
      <c r="H13" s="59" t="s">
        <v>501</v>
      </c>
      <c r="I13" s="59" t="s">
        <v>501</v>
      </c>
      <c r="J13" s="59" t="s">
        <v>501</v>
      </c>
      <c r="K13" s="59" t="s">
        <v>501</v>
      </c>
      <c r="L13" s="59" t="s">
        <v>501</v>
      </c>
      <c r="M13" s="59" t="s">
        <v>501</v>
      </c>
      <c r="N13" s="59" t="s">
        <v>501</v>
      </c>
      <c r="O13" s="59" t="s">
        <v>501</v>
      </c>
      <c r="P13" s="59" t="s">
        <v>501</v>
      </c>
      <c r="Q13" s="59">
        <v>0</v>
      </c>
      <c r="R13" s="59">
        <v>0</v>
      </c>
      <c r="S13" s="59">
        <v>0</v>
      </c>
      <c r="T13" s="59">
        <v>0</v>
      </c>
      <c r="U13" s="59">
        <v>0</v>
      </c>
      <c r="V13" s="59">
        <v>0</v>
      </c>
      <c r="W13" s="59">
        <v>0</v>
      </c>
      <c r="X13" s="59">
        <v>0</v>
      </c>
      <c r="Y13" s="59">
        <v>0</v>
      </c>
      <c r="Z13" s="59">
        <v>0</v>
      </c>
      <c r="AA13" s="59">
        <v>0</v>
      </c>
      <c r="AB13" s="59">
        <v>0</v>
      </c>
      <c r="AD13" s="56" t="s">
        <v>524</v>
      </c>
      <c r="AE13" s="59" t="s">
        <v>1370</v>
      </c>
      <c r="AF13" s="59" t="s">
        <v>501</v>
      </c>
      <c r="AG13" s="59" t="s">
        <v>501</v>
      </c>
      <c r="AH13" s="59" t="s">
        <v>501</v>
      </c>
      <c r="AI13" s="59" t="s">
        <v>501</v>
      </c>
      <c r="AJ13" s="59">
        <v>0</v>
      </c>
      <c r="AK13" s="59">
        <v>0</v>
      </c>
      <c r="AL13" s="59">
        <v>0</v>
      </c>
      <c r="AM13" s="59">
        <v>0</v>
      </c>
      <c r="AN13" s="59">
        <v>0</v>
      </c>
      <c r="AP13" s="56" t="s">
        <v>527</v>
      </c>
      <c r="AQ13" s="58">
        <v>0</v>
      </c>
      <c r="AR13" s="59">
        <v>0</v>
      </c>
      <c r="AS13" s="59">
        <v>0</v>
      </c>
      <c r="AT13" s="59">
        <v>0</v>
      </c>
      <c r="AU13" s="59">
        <v>0</v>
      </c>
      <c r="AV13" s="59">
        <v>0</v>
      </c>
      <c r="AX13" s="99" t="s">
        <v>527</v>
      </c>
      <c r="AY13" s="98" t="s">
        <v>501</v>
      </c>
      <c r="AZ13" s="98">
        <v>0</v>
      </c>
      <c r="BA13" s="98">
        <v>0</v>
      </c>
      <c r="BB13" s="98">
        <v>0</v>
      </c>
      <c r="BC13" s="98">
        <v>0</v>
      </c>
      <c r="BD13" s="98">
        <v>1</v>
      </c>
      <c r="BE13" s="98">
        <v>0</v>
      </c>
      <c r="BG13" s="99" t="s">
        <v>521</v>
      </c>
      <c r="BH13" s="99" t="s">
        <v>530</v>
      </c>
      <c r="BI13" s="98" t="s">
        <v>501</v>
      </c>
      <c r="BJ13" s="98" t="s">
        <v>226</v>
      </c>
      <c r="BN13" s="99" t="s">
        <v>516</v>
      </c>
      <c r="BO13" s="99" t="s">
        <v>527</v>
      </c>
      <c r="BP13" s="98" t="s">
        <v>501</v>
      </c>
      <c r="BQ13" s="98" t="s">
        <v>514</v>
      </c>
      <c r="BR13" s="98" t="s">
        <v>501</v>
      </c>
      <c r="BS13" s="98" t="s">
        <v>501</v>
      </c>
      <c r="BT13" s="98" t="s">
        <v>501</v>
      </c>
      <c r="BU13" s="98" t="s">
        <v>501</v>
      </c>
      <c r="BV13" s="98" t="s">
        <v>501</v>
      </c>
      <c r="BW13" s="98" t="s">
        <v>514</v>
      </c>
      <c r="BX13" s="98" t="s">
        <v>514</v>
      </c>
      <c r="BY13" s="98" t="s">
        <v>501</v>
      </c>
      <c r="BZ13" s="60"/>
      <c r="CA13" s="327" t="s">
        <v>534</v>
      </c>
      <c r="CB13" s="327" t="s">
        <v>535</v>
      </c>
      <c r="CC13" s="316"/>
      <c r="CD13" s="316"/>
      <c r="CE13" s="316"/>
      <c r="CF13" s="316"/>
      <c r="CG13" s="316"/>
      <c r="CH13" s="316"/>
      <c r="CI13" s="316"/>
      <c r="CJ13" s="316"/>
      <c r="CK13" s="316" t="s">
        <v>501</v>
      </c>
      <c r="CL13" s="316" t="s">
        <v>501</v>
      </c>
      <c r="CM13" s="316" t="s">
        <v>501</v>
      </c>
      <c r="CN13" s="316" t="s">
        <v>501</v>
      </c>
      <c r="CP13" s="370" t="s">
        <v>528</v>
      </c>
      <c r="CQ13" s="368" t="s">
        <v>501</v>
      </c>
    </row>
    <row r="14" spans="1:95" ht="34.5" x14ac:dyDescent="0.35">
      <c r="A14" s="56" t="s">
        <v>529</v>
      </c>
      <c r="B14" s="59" t="s">
        <v>1349</v>
      </c>
      <c r="C14" s="59" t="s">
        <v>501</v>
      </c>
      <c r="D14" s="59" t="s">
        <v>501</v>
      </c>
      <c r="E14" s="59" t="s">
        <v>501</v>
      </c>
      <c r="F14" s="59" t="s">
        <v>501</v>
      </c>
      <c r="G14" s="59" t="s">
        <v>501</v>
      </c>
      <c r="H14" s="59" t="s">
        <v>501</v>
      </c>
      <c r="I14" s="59" t="s">
        <v>501</v>
      </c>
      <c r="J14" s="59" t="s">
        <v>501</v>
      </c>
      <c r="K14" s="59" t="s">
        <v>501</v>
      </c>
      <c r="L14" s="59" t="s">
        <v>501</v>
      </c>
      <c r="M14" s="59" t="s">
        <v>501</v>
      </c>
      <c r="N14" s="59" t="s">
        <v>501</v>
      </c>
      <c r="O14" s="59" t="s">
        <v>501</v>
      </c>
      <c r="P14" s="59" t="s">
        <v>501</v>
      </c>
      <c r="Q14" s="59">
        <v>0</v>
      </c>
      <c r="R14" s="59">
        <v>0</v>
      </c>
      <c r="S14" s="59">
        <v>0</v>
      </c>
      <c r="T14" s="59">
        <v>0</v>
      </c>
      <c r="U14" s="59">
        <v>0</v>
      </c>
      <c r="V14" s="59">
        <v>0</v>
      </c>
      <c r="W14" s="59">
        <v>0</v>
      </c>
      <c r="X14" s="59">
        <v>0</v>
      </c>
      <c r="Y14" s="59">
        <v>0</v>
      </c>
      <c r="Z14" s="59">
        <v>1</v>
      </c>
      <c r="AA14" s="59">
        <v>1</v>
      </c>
      <c r="AB14" s="59">
        <v>0</v>
      </c>
      <c r="AD14" s="56" t="s">
        <v>406</v>
      </c>
      <c r="AE14" s="59" t="s">
        <v>1375</v>
      </c>
      <c r="AF14" s="59" t="s">
        <v>501</v>
      </c>
      <c r="AG14" s="59" t="s">
        <v>514</v>
      </c>
      <c r="AH14" s="59" t="s">
        <v>514</v>
      </c>
      <c r="AI14" s="59" t="s">
        <v>514</v>
      </c>
      <c r="AJ14" s="59">
        <v>1</v>
      </c>
      <c r="AK14" s="59">
        <v>1</v>
      </c>
      <c r="AL14" s="59">
        <v>1</v>
      </c>
      <c r="AM14" s="59">
        <v>1</v>
      </c>
      <c r="AN14" s="59">
        <v>1</v>
      </c>
      <c r="AP14" s="56" t="s">
        <v>529</v>
      </c>
      <c r="AQ14" s="58">
        <v>0</v>
      </c>
      <c r="AR14" s="59">
        <v>0</v>
      </c>
      <c r="AS14" s="59">
        <v>0</v>
      </c>
      <c r="AT14" s="59">
        <v>1</v>
      </c>
      <c r="AU14" s="59">
        <v>1</v>
      </c>
      <c r="AV14" s="59">
        <v>0</v>
      </c>
      <c r="AX14" s="99" t="s">
        <v>529</v>
      </c>
      <c r="AY14" s="98" t="s">
        <v>501</v>
      </c>
      <c r="AZ14" s="98">
        <v>0</v>
      </c>
      <c r="BA14" s="98">
        <v>0</v>
      </c>
      <c r="BB14" s="98">
        <v>0</v>
      </c>
      <c r="BC14" s="98">
        <v>0</v>
      </c>
      <c r="BD14" s="98">
        <v>0</v>
      </c>
      <c r="BE14" s="98">
        <v>0</v>
      </c>
      <c r="BG14" s="99" t="s">
        <v>521</v>
      </c>
      <c r="BH14" s="99" t="s">
        <v>532</v>
      </c>
      <c r="BI14" s="98" t="s">
        <v>533</v>
      </c>
      <c r="BJ14" s="98" t="s">
        <v>226</v>
      </c>
      <c r="BN14" s="99" t="s">
        <v>516</v>
      </c>
      <c r="BO14" s="99" t="s">
        <v>529</v>
      </c>
      <c r="BP14" s="98" t="s">
        <v>501</v>
      </c>
      <c r="BQ14" s="98" t="s">
        <v>501</v>
      </c>
      <c r="BR14" s="98" t="s">
        <v>501</v>
      </c>
      <c r="BS14" s="98" t="s">
        <v>501</v>
      </c>
      <c r="BT14" s="98" t="s">
        <v>501</v>
      </c>
      <c r="BU14" s="98" t="s">
        <v>501</v>
      </c>
      <c r="BV14" s="98" t="s">
        <v>501</v>
      </c>
      <c r="BW14" s="98" t="s">
        <v>501</v>
      </c>
      <c r="BX14" s="98" t="s">
        <v>501</v>
      </c>
      <c r="BY14" s="98" t="s">
        <v>501</v>
      </c>
      <c r="BZ14" s="60"/>
      <c r="CA14" s="327" t="s">
        <v>534</v>
      </c>
      <c r="CB14" s="327" t="s">
        <v>536</v>
      </c>
      <c r="CC14" s="316"/>
      <c r="CD14" s="316"/>
      <c r="CE14" s="316"/>
      <c r="CF14" s="316"/>
      <c r="CG14" s="316"/>
      <c r="CH14" s="316"/>
      <c r="CI14" s="316"/>
      <c r="CJ14" s="316"/>
      <c r="CK14" s="316" t="s">
        <v>501</v>
      </c>
      <c r="CL14" s="316" t="s">
        <v>501</v>
      </c>
      <c r="CM14" s="316" t="s">
        <v>501</v>
      </c>
      <c r="CN14" s="316" t="s">
        <v>501</v>
      </c>
      <c r="CP14" s="370" t="s">
        <v>530</v>
      </c>
      <c r="CQ14" s="368" t="s">
        <v>501</v>
      </c>
    </row>
    <row r="15" spans="1:95" ht="34.5" x14ac:dyDescent="0.35">
      <c r="A15" s="56" t="s">
        <v>531</v>
      </c>
      <c r="B15" s="59" t="s">
        <v>1353</v>
      </c>
      <c r="C15" s="59" t="s">
        <v>501</v>
      </c>
      <c r="D15" s="59" t="s">
        <v>501</v>
      </c>
      <c r="E15" s="59" t="s">
        <v>501</v>
      </c>
      <c r="F15" s="59" t="s">
        <v>501</v>
      </c>
      <c r="G15" s="59" t="s">
        <v>501</v>
      </c>
      <c r="H15" s="59" t="s">
        <v>501</v>
      </c>
      <c r="I15" s="59" t="s">
        <v>501</v>
      </c>
      <c r="J15" s="59" t="s">
        <v>501</v>
      </c>
      <c r="K15" s="59" t="s">
        <v>501</v>
      </c>
      <c r="L15" s="59" t="s">
        <v>501</v>
      </c>
      <c r="M15" s="59" t="s">
        <v>501</v>
      </c>
      <c r="N15" s="59" t="s">
        <v>501</v>
      </c>
      <c r="O15" s="59" t="s">
        <v>501</v>
      </c>
      <c r="P15" s="59" t="s">
        <v>501</v>
      </c>
      <c r="Q15" s="59">
        <v>0</v>
      </c>
      <c r="R15" s="59">
        <v>0</v>
      </c>
      <c r="S15" s="59">
        <v>0</v>
      </c>
      <c r="T15" s="59">
        <v>0</v>
      </c>
      <c r="U15" s="59">
        <v>0</v>
      </c>
      <c r="V15" s="59">
        <v>0</v>
      </c>
      <c r="W15" s="59">
        <v>0</v>
      </c>
      <c r="X15" s="59">
        <v>0</v>
      </c>
      <c r="Y15" s="59">
        <v>0</v>
      </c>
      <c r="Z15" s="59">
        <v>0</v>
      </c>
      <c r="AA15" s="59">
        <v>0</v>
      </c>
      <c r="AB15" s="59">
        <v>0</v>
      </c>
      <c r="AD15" s="56" t="s">
        <v>527</v>
      </c>
      <c r="AE15" s="59" t="s">
        <v>1371</v>
      </c>
      <c r="AF15" s="59" t="s">
        <v>501</v>
      </c>
      <c r="AG15" s="59" t="s">
        <v>501</v>
      </c>
      <c r="AH15" s="59" t="s">
        <v>514</v>
      </c>
      <c r="AI15" s="59" t="s">
        <v>501</v>
      </c>
      <c r="AJ15" s="59">
        <v>0</v>
      </c>
      <c r="AK15" s="59">
        <v>0</v>
      </c>
      <c r="AL15" s="59">
        <v>0</v>
      </c>
      <c r="AM15" s="59">
        <v>0</v>
      </c>
      <c r="AN15" s="59">
        <v>0</v>
      </c>
      <c r="AP15" s="56" t="s">
        <v>531</v>
      </c>
      <c r="AQ15" s="58">
        <v>0</v>
      </c>
      <c r="AR15" s="59">
        <v>0</v>
      </c>
      <c r="AS15" s="59">
        <v>0</v>
      </c>
      <c r="AT15" s="59">
        <v>0</v>
      </c>
      <c r="AU15" s="59">
        <v>1</v>
      </c>
      <c r="AV15" s="59">
        <v>0</v>
      </c>
      <c r="AX15" s="99" t="s">
        <v>531</v>
      </c>
      <c r="AY15" s="98" t="s">
        <v>501</v>
      </c>
      <c r="AZ15" s="98">
        <v>1</v>
      </c>
      <c r="BA15" s="98">
        <v>1</v>
      </c>
      <c r="BB15" s="98">
        <v>0</v>
      </c>
      <c r="BC15" s="98">
        <v>0</v>
      </c>
      <c r="BD15" s="98">
        <v>0</v>
      </c>
      <c r="BE15" s="98">
        <v>1</v>
      </c>
      <c r="BG15" s="99" t="s">
        <v>534</v>
      </c>
      <c r="BH15" s="99" t="s">
        <v>535</v>
      </c>
      <c r="BI15" s="98" t="s">
        <v>501</v>
      </c>
      <c r="BJ15" s="98" t="s">
        <v>226</v>
      </c>
      <c r="BN15" s="99" t="s">
        <v>516</v>
      </c>
      <c r="BO15" s="99" t="s">
        <v>531</v>
      </c>
      <c r="BP15" s="98" t="s">
        <v>514</v>
      </c>
      <c r="BQ15" s="98" t="s">
        <v>501</v>
      </c>
      <c r="BR15" s="98" t="s">
        <v>501</v>
      </c>
      <c r="BS15" s="98" t="s">
        <v>514</v>
      </c>
      <c r="BT15" s="98" t="s">
        <v>501</v>
      </c>
      <c r="BU15" s="98" t="s">
        <v>501</v>
      </c>
      <c r="BV15" s="98" t="s">
        <v>501</v>
      </c>
      <c r="BW15" s="98" t="s">
        <v>501</v>
      </c>
      <c r="BX15" s="98" t="s">
        <v>501</v>
      </c>
      <c r="BY15" s="98" t="s">
        <v>501</v>
      </c>
      <c r="BZ15" s="60"/>
      <c r="CA15" s="327" t="s">
        <v>534</v>
      </c>
      <c r="CB15" s="327" t="s">
        <v>546</v>
      </c>
      <c r="CC15" s="316"/>
      <c r="CD15" s="316"/>
      <c r="CE15" s="316"/>
      <c r="CF15" s="316"/>
      <c r="CG15" s="316"/>
      <c r="CH15" s="316"/>
      <c r="CI15" s="316"/>
      <c r="CJ15" s="316"/>
      <c r="CK15" s="316" t="s">
        <v>501</v>
      </c>
      <c r="CL15" s="316" t="s">
        <v>501</v>
      </c>
      <c r="CM15" s="316" t="s">
        <v>501</v>
      </c>
      <c r="CN15" s="316" t="s">
        <v>501</v>
      </c>
      <c r="CP15" s="370" t="s">
        <v>532</v>
      </c>
      <c r="CQ15" s="368" t="s">
        <v>1397</v>
      </c>
    </row>
    <row r="16" spans="1:95" ht="46" x14ac:dyDescent="0.35">
      <c r="A16" s="56" t="s">
        <v>400</v>
      </c>
      <c r="B16" s="59" t="s">
        <v>1354</v>
      </c>
      <c r="C16" s="59" t="s">
        <v>501</v>
      </c>
      <c r="D16" s="59" t="s">
        <v>501</v>
      </c>
      <c r="E16" s="59" t="s">
        <v>501</v>
      </c>
      <c r="F16" s="59" t="s">
        <v>501</v>
      </c>
      <c r="G16" s="59" t="s">
        <v>501</v>
      </c>
      <c r="H16" s="59" t="s">
        <v>501</v>
      </c>
      <c r="I16" s="59" t="s">
        <v>501</v>
      </c>
      <c r="J16" s="59" t="s">
        <v>501</v>
      </c>
      <c r="K16" s="59" t="s">
        <v>501</v>
      </c>
      <c r="L16" s="59" t="s">
        <v>501</v>
      </c>
      <c r="M16" s="59" t="s">
        <v>501</v>
      </c>
      <c r="N16" s="59" t="s">
        <v>501</v>
      </c>
      <c r="O16" s="59" t="s">
        <v>501</v>
      </c>
      <c r="P16" s="59" t="s">
        <v>501</v>
      </c>
      <c r="Q16" s="59">
        <v>0</v>
      </c>
      <c r="R16" s="59">
        <v>0</v>
      </c>
      <c r="S16" s="59">
        <v>0</v>
      </c>
      <c r="T16" s="59">
        <v>0</v>
      </c>
      <c r="U16" s="59">
        <v>0</v>
      </c>
      <c r="V16" s="59">
        <v>0</v>
      </c>
      <c r="W16" s="59">
        <v>0</v>
      </c>
      <c r="X16" s="59">
        <v>0</v>
      </c>
      <c r="Y16" s="59">
        <v>0</v>
      </c>
      <c r="Z16" s="59">
        <v>0</v>
      </c>
      <c r="AA16" s="59">
        <v>0</v>
      </c>
      <c r="AB16" s="59">
        <v>0</v>
      </c>
      <c r="AD16" s="56" t="s">
        <v>529</v>
      </c>
      <c r="AE16" s="59" t="s">
        <v>1349</v>
      </c>
      <c r="AF16" s="59" t="s">
        <v>501</v>
      </c>
      <c r="AG16" s="59" t="s">
        <v>501</v>
      </c>
      <c r="AH16" s="59" t="s">
        <v>501</v>
      </c>
      <c r="AI16" s="59" t="s">
        <v>501</v>
      </c>
      <c r="AJ16" s="59">
        <v>0</v>
      </c>
      <c r="AK16" s="59">
        <v>0</v>
      </c>
      <c r="AL16" s="59">
        <v>1</v>
      </c>
      <c r="AM16" s="59">
        <v>0</v>
      </c>
      <c r="AN16" s="59">
        <v>0</v>
      </c>
      <c r="AP16" s="56" t="s">
        <v>400</v>
      </c>
      <c r="AQ16" s="58">
        <v>1</v>
      </c>
      <c r="AR16" s="59">
        <v>0</v>
      </c>
      <c r="AS16" s="59">
        <v>0</v>
      </c>
      <c r="AT16" s="59">
        <v>1</v>
      </c>
      <c r="AU16" s="59">
        <v>1</v>
      </c>
      <c r="AV16" s="59">
        <v>1</v>
      </c>
      <c r="AX16" s="99" t="s">
        <v>400</v>
      </c>
      <c r="AY16" s="98" t="s">
        <v>501</v>
      </c>
      <c r="AZ16" s="98">
        <v>0</v>
      </c>
      <c r="BA16" s="98">
        <v>0</v>
      </c>
      <c r="BB16" s="98">
        <v>0</v>
      </c>
      <c r="BC16" s="98">
        <v>0</v>
      </c>
      <c r="BD16" s="98">
        <v>0</v>
      </c>
      <c r="BE16" s="98">
        <v>0</v>
      </c>
      <c r="BG16" s="99" t="s">
        <v>534</v>
      </c>
      <c r="BH16" s="99" t="s">
        <v>536</v>
      </c>
      <c r="BI16" s="98" t="s">
        <v>276</v>
      </c>
      <c r="BJ16" s="98" t="s">
        <v>226</v>
      </c>
      <c r="BN16" s="99" t="s">
        <v>537</v>
      </c>
      <c r="BO16" s="99" t="s">
        <v>400</v>
      </c>
      <c r="BP16" s="98" t="s">
        <v>501</v>
      </c>
      <c r="BQ16" s="98" t="s">
        <v>501</v>
      </c>
      <c r="BR16" s="98" t="s">
        <v>501</v>
      </c>
      <c r="BS16" s="98" t="s">
        <v>501</v>
      </c>
      <c r="BT16" s="98" t="s">
        <v>501</v>
      </c>
      <c r="BU16" s="98" t="s">
        <v>501</v>
      </c>
      <c r="BV16" s="98" t="s">
        <v>501</v>
      </c>
      <c r="BW16" s="98" t="s">
        <v>501</v>
      </c>
      <c r="BX16" s="98" t="s">
        <v>501</v>
      </c>
      <c r="BY16" s="98" t="s">
        <v>514</v>
      </c>
      <c r="BZ16" s="60"/>
      <c r="CA16" s="327" t="s">
        <v>534</v>
      </c>
      <c r="CB16" s="327" t="s">
        <v>549</v>
      </c>
      <c r="CC16" s="316"/>
      <c r="CD16" s="316"/>
      <c r="CE16" s="316"/>
      <c r="CF16" s="316"/>
      <c r="CG16" s="316"/>
      <c r="CH16" s="316"/>
      <c r="CI16" s="316"/>
      <c r="CJ16" s="316"/>
      <c r="CK16" s="316" t="s">
        <v>501</v>
      </c>
      <c r="CL16" s="316" t="s">
        <v>501</v>
      </c>
      <c r="CM16" s="316" t="s">
        <v>501</v>
      </c>
      <c r="CN16" s="316" t="s">
        <v>501</v>
      </c>
      <c r="CP16" s="370" t="s">
        <v>1398</v>
      </c>
      <c r="CQ16" s="368" t="s">
        <v>501</v>
      </c>
    </row>
    <row r="17" spans="1:95" ht="46" x14ac:dyDescent="0.35">
      <c r="A17" s="56" t="s">
        <v>392</v>
      </c>
      <c r="B17" s="59" t="s">
        <v>1356</v>
      </c>
      <c r="C17" s="59" t="s">
        <v>1222</v>
      </c>
      <c r="D17" s="59" t="s">
        <v>1222</v>
      </c>
      <c r="E17" s="59" t="s">
        <v>538</v>
      </c>
      <c r="F17" s="59" t="s">
        <v>959</v>
      </c>
      <c r="G17" s="59" t="s">
        <v>538</v>
      </c>
      <c r="H17" s="59" t="s">
        <v>539</v>
      </c>
      <c r="I17" s="59" t="s">
        <v>540</v>
      </c>
      <c r="J17" s="59" t="s">
        <v>538</v>
      </c>
      <c r="K17" s="59" t="s">
        <v>541</v>
      </c>
      <c r="L17" s="59" t="s">
        <v>542</v>
      </c>
      <c r="M17" s="59" t="s">
        <v>540</v>
      </c>
      <c r="N17" s="59" t="s">
        <v>543</v>
      </c>
      <c r="O17" s="59" t="s">
        <v>541</v>
      </c>
      <c r="P17" s="59" t="s">
        <v>544</v>
      </c>
      <c r="Q17" s="59">
        <v>26</v>
      </c>
      <c r="R17" s="59">
        <v>18</v>
      </c>
      <c r="S17" s="59">
        <v>20</v>
      </c>
      <c r="T17" s="59">
        <v>14</v>
      </c>
      <c r="U17" s="59">
        <v>16</v>
      </c>
      <c r="V17" s="59">
        <v>19</v>
      </c>
      <c r="W17" s="59">
        <v>17</v>
      </c>
      <c r="X17" s="59">
        <v>20</v>
      </c>
      <c r="Y17" s="59">
        <v>20</v>
      </c>
      <c r="Z17" s="59">
        <v>22</v>
      </c>
      <c r="AA17" s="59">
        <v>22</v>
      </c>
      <c r="AB17" s="59">
        <v>11</v>
      </c>
      <c r="AD17" s="56" t="s">
        <v>531</v>
      </c>
      <c r="AE17" s="59" t="s">
        <v>1349</v>
      </c>
      <c r="AF17" s="59" t="s">
        <v>501</v>
      </c>
      <c r="AG17" s="59" t="s">
        <v>501</v>
      </c>
      <c r="AH17" s="59" t="s">
        <v>501</v>
      </c>
      <c r="AI17" s="59" t="s">
        <v>501</v>
      </c>
      <c r="AJ17" s="59">
        <v>0</v>
      </c>
      <c r="AK17" s="59">
        <v>0</v>
      </c>
      <c r="AL17" s="59">
        <v>0</v>
      </c>
      <c r="AM17" s="59">
        <v>0</v>
      </c>
      <c r="AN17" s="59">
        <v>0</v>
      </c>
      <c r="AP17" s="56" t="s">
        <v>392</v>
      </c>
      <c r="AQ17" s="58">
        <v>7</v>
      </c>
      <c r="AR17" s="59">
        <v>6</v>
      </c>
      <c r="AS17" s="59">
        <v>3</v>
      </c>
      <c r="AT17" s="59">
        <v>7</v>
      </c>
      <c r="AU17" s="59">
        <v>7</v>
      </c>
      <c r="AV17" s="59">
        <v>6</v>
      </c>
      <c r="AX17" s="99" t="s">
        <v>392</v>
      </c>
      <c r="AY17" s="98" t="s">
        <v>545</v>
      </c>
      <c r="AZ17" s="98">
        <v>7</v>
      </c>
      <c r="BA17" s="98">
        <v>8</v>
      </c>
      <c r="BB17" s="98">
        <v>8</v>
      </c>
      <c r="BC17" s="98">
        <v>9</v>
      </c>
      <c r="BD17" s="98">
        <v>10</v>
      </c>
      <c r="BE17" s="98">
        <v>8</v>
      </c>
      <c r="BG17" s="99" t="s">
        <v>534</v>
      </c>
      <c r="BH17" s="99" t="s">
        <v>546</v>
      </c>
      <c r="BI17" s="98" t="s">
        <v>501</v>
      </c>
      <c r="BJ17" s="98" t="s">
        <v>226</v>
      </c>
      <c r="BN17" s="99" t="s">
        <v>537</v>
      </c>
      <c r="BO17" s="99" t="s">
        <v>392</v>
      </c>
      <c r="BP17" s="98" t="s">
        <v>544</v>
      </c>
      <c r="BQ17" s="98" t="s">
        <v>542</v>
      </c>
      <c r="BR17" s="98" t="s">
        <v>593</v>
      </c>
      <c r="BS17" s="98" t="s">
        <v>547</v>
      </c>
      <c r="BT17" s="98" t="s">
        <v>548</v>
      </c>
      <c r="BU17" s="98" t="s">
        <v>548</v>
      </c>
      <c r="BV17" s="98" t="s">
        <v>517</v>
      </c>
      <c r="BW17" s="98" t="s">
        <v>517</v>
      </c>
      <c r="BX17" s="98" t="s">
        <v>517</v>
      </c>
      <c r="BY17" s="98" t="s">
        <v>548</v>
      </c>
      <c r="BZ17" s="60"/>
      <c r="CA17" s="327" t="s">
        <v>516</v>
      </c>
      <c r="CB17" s="327" t="s">
        <v>511</v>
      </c>
      <c r="CC17" s="316" t="s">
        <v>501</v>
      </c>
      <c r="CD17" s="316" t="s">
        <v>517</v>
      </c>
      <c r="CE17" s="316" t="s">
        <v>501</v>
      </c>
      <c r="CF17" s="316" t="s">
        <v>514</v>
      </c>
      <c r="CG17" s="316" t="s">
        <v>514</v>
      </c>
      <c r="CH17" s="316" t="s">
        <v>514</v>
      </c>
      <c r="CI17" s="316" t="s">
        <v>517</v>
      </c>
      <c r="CJ17" s="316" t="s">
        <v>517</v>
      </c>
      <c r="CK17" s="316" t="s">
        <v>514</v>
      </c>
      <c r="CL17" s="316" t="s">
        <v>514</v>
      </c>
      <c r="CM17" s="316" t="s">
        <v>514</v>
      </c>
      <c r="CN17" s="316" t="s">
        <v>514</v>
      </c>
      <c r="CP17" s="370" t="s">
        <v>549</v>
      </c>
      <c r="CQ17" s="368" t="s">
        <v>501</v>
      </c>
    </row>
    <row r="18" spans="1:95" ht="46" x14ac:dyDescent="0.35">
      <c r="A18" s="56" t="s">
        <v>393</v>
      </c>
      <c r="B18" s="59" t="s">
        <v>1355</v>
      </c>
      <c r="C18" s="59" t="s">
        <v>501</v>
      </c>
      <c r="D18" s="59" t="s">
        <v>501</v>
      </c>
      <c r="E18" s="59" t="s">
        <v>501</v>
      </c>
      <c r="F18" s="59" t="s">
        <v>501</v>
      </c>
      <c r="G18" s="59" t="s">
        <v>501</v>
      </c>
      <c r="H18" s="59" t="s">
        <v>501</v>
      </c>
      <c r="I18" s="59" t="s">
        <v>501</v>
      </c>
      <c r="J18" s="59" t="s">
        <v>501</v>
      </c>
      <c r="K18" s="59" t="s">
        <v>501</v>
      </c>
      <c r="L18" s="59" t="s">
        <v>501</v>
      </c>
      <c r="M18" s="59" t="s">
        <v>501</v>
      </c>
      <c r="N18" s="59" t="s">
        <v>501</v>
      </c>
      <c r="O18" s="59" t="s">
        <v>501</v>
      </c>
      <c r="P18" s="59" t="s">
        <v>501</v>
      </c>
      <c r="Q18" s="59">
        <v>0</v>
      </c>
      <c r="R18" s="59">
        <v>31</v>
      </c>
      <c r="S18" s="59">
        <v>32</v>
      </c>
      <c r="T18" s="59">
        <v>24</v>
      </c>
      <c r="U18" s="59">
        <v>27</v>
      </c>
      <c r="V18" s="59">
        <v>29</v>
      </c>
      <c r="W18" s="59">
        <v>26</v>
      </c>
      <c r="X18" s="59">
        <v>27</v>
      </c>
      <c r="Y18" s="59">
        <v>33</v>
      </c>
      <c r="Z18" s="59">
        <v>35</v>
      </c>
      <c r="AA18" s="59">
        <v>34</v>
      </c>
      <c r="AB18" s="59">
        <v>29</v>
      </c>
      <c r="AD18" s="56" t="s">
        <v>400</v>
      </c>
      <c r="AE18" s="59" t="s">
        <v>1372</v>
      </c>
      <c r="AF18" s="59" t="s">
        <v>514</v>
      </c>
      <c r="AG18" s="59" t="s">
        <v>501</v>
      </c>
      <c r="AH18" s="59" t="s">
        <v>501</v>
      </c>
      <c r="AI18" s="59" t="s">
        <v>514</v>
      </c>
      <c r="AJ18" s="59">
        <v>0</v>
      </c>
      <c r="AK18" s="59">
        <v>0</v>
      </c>
      <c r="AL18" s="59">
        <v>0</v>
      </c>
      <c r="AM18" s="59">
        <v>1</v>
      </c>
      <c r="AN18" s="59">
        <v>1</v>
      </c>
      <c r="AP18" s="56" t="s">
        <v>393</v>
      </c>
      <c r="AQ18" s="58">
        <v>1</v>
      </c>
      <c r="AR18" s="59">
        <v>1</v>
      </c>
      <c r="AS18" s="59">
        <v>0</v>
      </c>
      <c r="AT18" s="59">
        <v>1</v>
      </c>
      <c r="AU18" s="59">
        <v>1</v>
      </c>
      <c r="AV18" s="59">
        <v>0</v>
      </c>
      <c r="AX18" s="99" t="s">
        <v>393</v>
      </c>
      <c r="AY18" s="98" t="s">
        <v>514</v>
      </c>
      <c r="AZ18" s="98">
        <v>0</v>
      </c>
      <c r="BA18" s="98">
        <v>0</v>
      </c>
      <c r="BB18" s="98">
        <v>0</v>
      </c>
      <c r="BC18" s="98">
        <v>0</v>
      </c>
      <c r="BD18" s="98">
        <v>0</v>
      </c>
      <c r="BE18" s="98">
        <v>0</v>
      </c>
      <c r="BG18" s="99" t="s">
        <v>534</v>
      </c>
      <c r="BH18" s="99" t="s">
        <v>549</v>
      </c>
      <c r="BI18" s="98" t="s">
        <v>501</v>
      </c>
      <c r="BJ18" s="98" t="s">
        <v>226</v>
      </c>
      <c r="BN18" s="99" t="s">
        <v>537</v>
      </c>
      <c r="BO18" s="99" t="s">
        <v>393</v>
      </c>
      <c r="BP18" s="98" t="s">
        <v>501</v>
      </c>
      <c r="BQ18" s="98" t="s">
        <v>501</v>
      </c>
      <c r="BR18" s="98" t="s">
        <v>501</v>
      </c>
      <c r="BS18" s="98" t="s">
        <v>501</v>
      </c>
      <c r="BT18" s="98" t="s">
        <v>501</v>
      </c>
      <c r="BU18" s="98" t="s">
        <v>501</v>
      </c>
      <c r="BV18" s="98" t="s">
        <v>550</v>
      </c>
      <c r="BW18" s="98" t="s">
        <v>550</v>
      </c>
      <c r="BX18" s="98" t="s">
        <v>551</v>
      </c>
      <c r="BY18" s="98" t="s">
        <v>501</v>
      </c>
      <c r="BZ18" s="60"/>
      <c r="CA18" s="327" t="s">
        <v>516</v>
      </c>
      <c r="CB18" s="327" t="s">
        <v>515</v>
      </c>
      <c r="CC18" s="316" t="s">
        <v>501</v>
      </c>
      <c r="CD18" s="316" t="s">
        <v>501</v>
      </c>
      <c r="CE18" s="316" t="s">
        <v>501</v>
      </c>
      <c r="CF18" s="316" t="s">
        <v>501</v>
      </c>
      <c r="CG18" s="316" t="s">
        <v>501</v>
      </c>
      <c r="CH18" s="316" t="s">
        <v>501</v>
      </c>
      <c r="CI18" s="316" t="s">
        <v>501</v>
      </c>
      <c r="CJ18" s="316" t="s">
        <v>501</v>
      </c>
      <c r="CK18" s="316" t="s">
        <v>501</v>
      </c>
      <c r="CL18" s="316" t="s">
        <v>501</v>
      </c>
      <c r="CM18" s="316" t="s">
        <v>501</v>
      </c>
      <c r="CN18" s="316" t="s">
        <v>501</v>
      </c>
      <c r="CP18" s="370" t="s">
        <v>522</v>
      </c>
      <c r="CQ18" s="368" t="s">
        <v>1399</v>
      </c>
    </row>
    <row r="19" spans="1:95" ht="46" x14ac:dyDescent="0.35">
      <c r="A19" s="56" t="s">
        <v>398</v>
      </c>
      <c r="B19" s="59" t="s">
        <v>1349</v>
      </c>
      <c r="C19" s="59" t="s">
        <v>501</v>
      </c>
      <c r="D19" s="59" t="s">
        <v>501</v>
      </c>
      <c r="E19" s="59" t="s">
        <v>501</v>
      </c>
      <c r="F19" s="59" t="s">
        <v>501</v>
      </c>
      <c r="G19" s="59" t="s">
        <v>501</v>
      </c>
      <c r="H19" s="59" t="s">
        <v>501</v>
      </c>
      <c r="I19" s="59" t="s">
        <v>501</v>
      </c>
      <c r="J19" s="59" t="s">
        <v>501</v>
      </c>
      <c r="K19" s="59" t="s">
        <v>501</v>
      </c>
      <c r="L19" s="59" t="s">
        <v>501</v>
      </c>
      <c r="M19" s="59" t="s">
        <v>501</v>
      </c>
      <c r="N19" s="59" t="s">
        <v>501</v>
      </c>
      <c r="O19" s="59" t="s">
        <v>501</v>
      </c>
      <c r="P19" s="59" t="s">
        <v>501</v>
      </c>
      <c r="Q19" s="59">
        <v>0</v>
      </c>
      <c r="R19" s="59">
        <v>0</v>
      </c>
      <c r="S19" s="59">
        <v>0</v>
      </c>
      <c r="T19" s="59">
        <v>0</v>
      </c>
      <c r="U19" s="59">
        <v>0</v>
      </c>
      <c r="V19" s="59">
        <v>0</v>
      </c>
      <c r="W19" s="59">
        <v>0</v>
      </c>
      <c r="X19" s="59">
        <v>0</v>
      </c>
      <c r="Y19" s="59">
        <v>0</v>
      </c>
      <c r="Z19" s="59">
        <v>0</v>
      </c>
      <c r="AA19" s="59">
        <v>0</v>
      </c>
      <c r="AB19" s="59">
        <v>0</v>
      </c>
      <c r="AD19" s="56" t="s">
        <v>392</v>
      </c>
      <c r="AE19" s="59" t="s">
        <v>1374</v>
      </c>
      <c r="AF19" s="59" t="s">
        <v>593</v>
      </c>
      <c r="AG19" s="59" t="s">
        <v>1105</v>
      </c>
      <c r="AH19" s="59" t="s">
        <v>545</v>
      </c>
      <c r="AI19" s="59" t="s">
        <v>587</v>
      </c>
      <c r="AJ19" s="59">
        <v>6</v>
      </c>
      <c r="AK19" s="59">
        <v>7</v>
      </c>
      <c r="AL19" s="59">
        <v>8</v>
      </c>
      <c r="AM19" s="59">
        <v>7</v>
      </c>
      <c r="AN19" s="59">
        <v>7</v>
      </c>
      <c r="AP19" s="56" t="s">
        <v>398</v>
      </c>
      <c r="AQ19" s="58">
        <v>4</v>
      </c>
      <c r="AR19" s="59">
        <v>3</v>
      </c>
      <c r="AS19" s="59">
        <v>3</v>
      </c>
      <c r="AT19" s="59">
        <v>3</v>
      </c>
      <c r="AU19" s="59">
        <v>3</v>
      </c>
      <c r="AV19" s="59">
        <v>5</v>
      </c>
      <c r="AX19" s="99" t="s">
        <v>398</v>
      </c>
      <c r="AY19" s="98" t="s">
        <v>514</v>
      </c>
      <c r="AZ19" s="98">
        <v>3</v>
      </c>
      <c r="BA19" s="98">
        <v>1</v>
      </c>
      <c r="BB19" s="98">
        <v>1</v>
      </c>
      <c r="BC19" s="98">
        <v>2</v>
      </c>
      <c r="BD19" s="98">
        <v>2</v>
      </c>
      <c r="BE19" s="98">
        <v>1</v>
      </c>
      <c r="BG19" s="99" t="s">
        <v>516</v>
      </c>
      <c r="BH19" s="99" t="s">
        <v>511</v>
      </c>
      <c r="BI19" s="98" t="s">
        <v>514</v>
      </c>
      <c r="BJ19" s="98" t="s">
        <v>514</v>
      </c>
      <c r="BN19" s="99" t="s">
        <v>537</v>
      </c>
      <c r="BO19" s="99" t="s">
        <v>398</v>
      </c>
      <c r="BP19" s="98" t="s">
        <v>501</v>
      </c>
      <c r="BQ19" s="98" t="s">
        <v>501</v>
      </c>
      <c r="BR19" s="98" t="s">
        <v>501</v>
      </c>
      <c r="BS19" s="98" t="s">
        <v>514</v>
      </c>
      <c r="BT19" s="98" t="s">
        <v>517</v>
      </c>
      <c r="BU19" s="98" t="s">
        <v>517</v>
      </c>
      <c r="BV19" s="98" t="s">
        <v>553</v>
      </c>
      <c r="BW19" s="98" t="s">
        <v>553</v>
      </c>
      <c r="BX19" s="98" t="s">
        <v>553</v>
      </c>
      <c r="BY19" s="98" t="s">
        <v>517</v>
      </c>
      <c r="BZ19" s="60"/>
      <c r="CA19" s="327" t="s">
        <v>516</v>
      </c>
      <c r="CB19" s="327" t="s">
        <v>518</v>
      </c>
      <c r="CC19" s="316" t="s">
        <v>501</v>
      </c>
      <c r="CD19" s="316" t="s">
        <v>501</v>
      </c>
      <c r="CE19" s="316" t="s">
        <v>501</v>
      </c>
      <c r="CF19" s="316" t="s">
        <v>501</v>
      </c>
      <c r="CG19" s="316" t="s">
        <v>501</v>
      </c>
      <c r="CH19" s="316" t="s">
        <v>501</v>
      </c>
      <c r="CI19" s="316" t="s">
        <v>501</v>
      </c>
      <c r="CJ19" s="316" t="s">
        <v>501</v>
      </c>
      <c r="CK19" s="316" t="s">
        <v>501</v>
      </c>
      <c r="CL19" s="316" t="s">
        <v>501</v>
      </c>
      <c r="CM19" s="316" t="s">
        <v>501</v>
      </c>
      <c r="CN19" s="316" t="s">
        <v>501</v>
      </c>
      <c r="CP19" s="370" t="s">
        <v>1347</v>
      </c>
      <c r="CQ19" s="368" t="s">
        <v>517</v>
      </c>
    </row>
    <row r="20" spans="1:95" ht="46" x14ac:dyDescent="0.35">
      <c r="A20" s="56" t="s">
        <v>552</v>
      </c>
      <c r="B20" s="59" t="s">
        <v>1349</v>
      </c>
      <c r="C20" s="59" t="s">
        <v>514</v>
      </c>
      <c r="D20" s="59" t="s">
        <v>501</v>
      </c>
      <c r="E20" s="59" t="s">
        <v>514</v>
      </c>
      <c r="F20" s="59" t="s">
        <v>514</v>
      </c>
      <c r="G20" s="59" t="s">
        <v>501</v>
      </c>
      <c r="H20" s="59" t="s">
        <v>501</v>
      </c>
      <c r="I20" s="59" t="s">
        <v>501</v>
      </c>
      <c r="J20" s="59" t="s">
        <v>501</v>
      </c>
      <c r="K20" s="59" t="s">
        <v>501</v>
      </c>
      <c r="L20" s="59" t="s">
        <v>501</v>
      </c>
      <c r="M20" s="59" t="s">
        <v>501</v>
      </c>
      <c r="N20" s="59" t="s">
        <v>501</v>
      </c>
      <c r="O20" s="59" t="s">
        <v>501</v>
      </c>
      <c r="P20" s="59" t="s">
        <v>501</v>
      </c>
      <c r="Q20" s="59">
        <v>0</v>
      </c>
      <c r="R20" s="59">
        <v>0</v>
      </c>
      <c r="S20" s="59">
        <v>0</v>
      </c>
      <c r="T20" s="59">
        <v>0</v>
      </c>
      <c r="U20" s="59">
        <v>0</v>
      </c>
      <c r="V20" s="59">
        <v>0</v>
      </c>
      <c r="W20" s="59">
        <v>0</v>
      </c>
      <c r="X20" s="59">
        <v>0</v>
      </c>
      <c r="Y20" s="59">
        <v>0</v>
      </c>
      <c r="Z20" s="59">
        <v>1</v>
      </c>
      <c r="AA20" s="59">
        <v>0</v>
      </c>
      <c r="AB20" s="59">
        <v>0</v>
      </c>
      <c r="AD20" s="56" t="s">
        <v>393</v>
      </c>
      <c r="AE20" s="59" t="s">
        <v>1373</v>
      </c>
      <c r="AF20" s="59" t="s">
        <v>501</v>
      </c>
      <c r="AG20" s="59" t="s">
        <v>501</v>
      </c>
      <c r="AH20" s="59" t="s">
        <v>501</v>
      </c>
      <c r="AI20" s="59" t="s">
        <v>501</v>
      </c>
      <c r="AJ20" s="59">
        <v>0</v>
      </c>
      <c r="AK20" s="59">
        <v>0</v>
      </c>
      <c r="AL20" s="59">
        <v>0</v>
      </c>
      <c r="AM20" s="59">
        <v>0</v>
      </c>
      <c r="AN20" s="59">
        <v>0</v>
      </c>
      <c r="AP20" s="56" t="s">
        <v>552</v>
      </c>
      <c r="AQ20" s="58">
        <v>2</v>
      </c>
      <c r="AR20" s="59">
        <v>0</v>
      </c>
      <c r="AS20" s="59">
        <v>0</v>
      </c>
      <c r="AT20" s="59">
        <v>1</v>
      </c>
      <c r="AU20" s="59">
        <v>1</v>
      </c>
      <c r="AV20" s="59">
        <v>1</v>
      </c>
      <c r="AX20" s="99" t="s">
        <v>552</v>
      </c>
      <c r="AY20" s="98" t="s">
        <v>555</v>
      </c>
      <c r="AZ20" s="98">
        <v>31</v>
      </c>
      <c r="BA20" s="98">
        <v>44</v>
      </c>
      <c r="BB20" s="98">
        <v>42</v>
      </c>
      <c r="BC20" s="98">
        <v>47</v>
      </c>
      <c r="BD20" s="98">
        <v>49</v>
      </c>
      <c r="BE20" s="98">
        <v>41</v>
      </c>
      <c r="BG20" s="99" t="s">
        <v>516</v>
      </c>
      <c r="BH20" s="99" t="s">
        <v>515</v>
      </c>
      <c r="BI20" s="98" t="s">
        <v>501</v>
      </c>
      <c r="BJ20" s="98" t="s">
        <v>501</v>
      </c>
      <c r="BN20" s="99" t="s">
        <v>537</v>
      </c>
      <c r="BO20" s="99" t="s">
        <v>552</v>
      </c>
      <c r="BP20" s="98" t="s">
        <v>517</v>
      </c>
      <c r="BQ20" s="98" t="s">
        <v>501</v>
      </c>
      <c r="BR20" s="98" t="s">
        <v>514</v>
      </c>
      <c r="BS20" s="98" t="s">
        <v>514</v>
      </c>
      <c r="BT20" s="98" t="s">
        <v>514</v>
      </c>
      <c r="BU20" s="98" t="s">
        <v>501</v>
      </c>
      <c r="BV20" s="98" t="s">
        <v>501</v>
      </c>
      <c r="BW20" s="98" t="s">
        <v>501</v>
      </c>
      <c r="BX20" s="98" t="s">
        <v>501</v>
      </c>
      <c r="BY20" s="98" t="s">
        <v>517</v>
      </c>
      <c r="BZ20" s="60"/>
      <c r="CA20" s="327" t="s">
        <v>516</v>
      </c>
      <c r="CB20" s="327" t="s">
        <v>520</v>
      </c>
      <c r="CC20" s="316" t="s">
        <v>501</v>
      </c>
      <c r="CD20" s="316" t="s">
        <v>501</v>
      </c>
      <c r="CE20" s="316" t="s">
        <v>501</v>
      </c>
      <c r="CF20" s="316" t="s">
        <v>501</v>
      </c>
      <c r="CG20" s="316" t="s">
        <v>501</v>
      </c>
      <c r="CH20" s="316" t="s">
        <v>501</v>
      </c>
      <c r="CI20" s="316" t="s">
        <v>501</v>
      </c>
      <c r="CJ20" s="316" t="s">
        <v>501</v>
      </c>
      <c r="CK20" s="316" t="s">
        <v>501</v>
      </c>
      <c r="CL20" s="316" t="s">
        <v>501</v>
      </c>
      <c r="CM20" s="316" t="s">
        <v>501</v>
      </c>
      <c r="CN20" s="316" t="s">
        <v>501</v>
      </c>
      <c r="CP20" s="370" t="s">
        <v>511</v>
      </c>
      <c r="CQ20" s="368" t="s">
        <v>1400</v>
      </c>
    </row>
    <row r="21" spans="1:95" ht="46" x14ac:dyDescent="0.35">
      <c r="A21" s="56" t="s">
        <v>554</v>
      </c>
      <c r="B21" s="59" t="s">
        <v>1349</v>
      </c>
      <c r="C21" s="59" t="s">
        <v>501</v>
      </c>
      <c r="D21" s="59" t="s">
        <v>501</v>
      </c>
      <c r="E21" s="59" t="s">
        <v>501</v>
      </c>
      <c r="F21" s="59" t="s">
        <v>501</v>
      </c>
      <c r="G21" s="59" t="s">
        <v>501</v>
      </c>
      <c r="H21" s="59" t="s">
        <v>501</v>
      </c>
      <c r="I21" s="59" t="s">
        <v>501</v>
      </c>
      <c r="J21" s="59" t="s">
        <v>501</v>
      </c>
      <c r="K21" s="59" t="s">
        <v>501</v>
      </c>
      <c r="L21" s="59" t="s">
        <v>501</v>
      </c>
      <c r="M21" s="59" t="s">
        <v>501</v>
      </c>
      <c r="N21" s="59" t="s">
        <v>501</v>
      </c>
      <c r="O21" s="59" t="s">
        <v>501</v>
      </c>
      <c r="P21" s="59" t="s">
        <v>501</v>
      </c>
      <c r="Q21" s="59">
        <v>0</v>
      </c>
      <c r="R21" s="59">
        <v>0</v>
      </c>
      <c r="S21" s="59">
        <v>0</v>
      </c>
      <c r="T21" s="59">
        <v>0</v>
      </c>
      <c r="U21" s="59">
        <v>0</v>
      </c>
      <c r="V21" s="59">
        <v>0</v>
      </c>
      <c r="W21" s="59">
        <v>0</v>
      </c>
      <c r="X21" s="59">
        <v>0</v>
      </c>
      <c r="Y21" s="59">
        <v>0</v>
      </c>
      <c r="Z21" s="59">
        <v>0</v>
      </c>
      <c r="AA21" s="59">
        <v>0</v>
      </c>
      <c r="AB21" s="59">
        <v>0</v>
      </c>
      <c r="AD21" s="56" t="s">
        <v>398</v>
      </c>
      <c r="AE21" s="59" t="s">
        <v>1349</v>
      </c>
      <c r="AF21" s="59" t="s">
        <v>501</v>
      </c>
      <c r="AG21" s="59" t="s">
        <v>501</v>
      </c>
      <c r="AH21" s="59" t="s">
        <v>501</v>
      </c>
      <c r="AI21" s="59" t="s">
        <v>517</v>
      </c>
      <c r="AJ21" s="59">
        <v>2</v>
      </c>
      <c r="AK21" s="59">
        <v>3</v>
      </c>
      <c r="AL21" s="59">
        <v>3</v>
      </c>
      <c r="AM21" s="59">
        <v>3</v>
      </c>
      <c r="AN21" s="59">
        <v>3</v>
      </c>
      <c r="AP21" s="56" t="s">
        <v>554</v>
      </c>
      <c r="AQ21" s="58">
        <v>0</v>
      </c>
      <c r="AR21" s="59">
        <v>0</v>
      </c>
      <c r="AS21" s="59">
        <v>0</v>
      </c>
      <c r="AT21" s="59">
        <v>0</v>
      </c>
      <c r="AU21" s="59">
        <v>0</v>
      </c>
      <c r="AV21" s="59">
        <v>1</v>
      </c>
      <c r="AX21" s="99" t="s">
        <v>554</v>
      </c>
      <c r="AY21" s="98" t="s">
        <v>501</v>
      </c>
      <c r="AZ21" s="98">
        <v>0</v>
      </c>
      <c r="BA21" s="98">
        <v>0</v>
      </c>
      <c r="BB21" s="98">
        <v>0</v>
      </c>
      <c r="BC21" s="98">
        <v>0</v>
      </c>
      <c r="BD21" s="98">
        <v>0</v>
      </c>
      <c r="BE21" s="98">
        <v>0</v>
      </c>
      <c r="BG21" s="99" t="s">
        <v>516</v>
      </c>
      <c r="BH21" s="99" t="s">
        <v>518</v>
      </c>
      <c r="BI21" s="98" t="s">
        <v>501</v>
      </c>
      <c r="BJ21" s="98" t="s">
        <v>501</v>
      </c>
      <c r="BN21" s="99" t="s">
        <v>537</v>
      </c>
      <c r="BO21" s="99" t="s">
        <v>554</v>
      </c>
      <c r="BP21" s="98" t="s">
        <v>501</v>
      </c>
      <c r="BQ21" s="98" t="s">
        <v>501</v>
      </c>
      <c r="BR21" s="98" t="s">
        <v>501</v>
      </c>
      <c r="BS21" s="98" t="s">
        <v>501</v>
      </c>
      <c r="BT21" s="98" t="s">
        <v>501</v>
      </c>
      <c r="BU21" s="98" t="s">
        <v>501</v>
      </c>
      <c r="BV21" s="98" t="s">
        <v>501</v>
      </c>
      <c r="BW21" s="98" t="s">
        <v>501</v>
      </c>
      <c r="BX21" s="98" t="s">
        <v>501</v>
      </c>
      <c r="BY21" s="98" t="s">
        <v>501</v>
      </c>
      <c r="BZ21" s="60"/>
      <c r="CA21" s="327" t="s">
        <v>516</v>
      </c>
      <c r="CB21" s="327" t="s">
        <v>524</v>
      </c>
      <c r="CC21" s="316" t="s">
        <v>501</v>
      </c>
      <c r="CD21" s="316" t="s">
        <v>501</v>
      </c>
      <c r="CE21" s="316" t="s">
        <v>501</v>
      </c>
      <c r="CF21" s="316" t="s">
        <v>514</v>
      </c>
      <c r="CG21" s="316" t="s">
        <v>514</v>
      </c>
      <c r="CH21" s="316" t="s">
        <v>517</v>
      </c>
      <c r="CI21" s="316" t="s">
        <v>514</v>
      </c>
      <c r="CJ21" s="316" t="s">
        <v>517</v>
      </c>
      <c r="CK21" s="316" t="s">
        <v>501</v>
      </c>
      <c r="CL21" s="316" t="s">
        <v>501</v>
      </c>
      <c r="CM21" s="316" t="s">
        <v>501</v>
      </c>
      <c r="CN21" s="316" t="s">
        <v>501</v>
      </c>
      <c r="CP21" s="370" t="s">
        <v>515</v>
      </c>
      <c r="CQ21" s="368" t="s">
        <v>1361</v>
      </c>
    </row>
    <row r="22" spans="1:95" ht="34.5" x14ac:dyDescent="0.35">
      <c r="A22" s="56" t="s">
        <v>399</v>
      </c>
      <c r="B22" s="59" t="s">
        <v>1357</v>
      </c>
      <c r="C22" s="59" t="s">
        <v>501</v>
      </c>
      <c r="D22" s="59" t="s">
        <v>501</v>
      </c>
      <c r="E22" s="59" t="s">
        <v>501</v>
      </c>
      <c r="F22" s="59" t="s">
        <v>501</v>
      </c>
      <c r="G22" s="59" t="s">
        <v>501</v>
      </c>
      <c r="H22" s="59" t="s">
        <v>501</v>
      </c>
      <c r="I22" s="59" t="s">
        <v>501</v>
      </c>
      <c r="J22" s="59" t="s">
        <v>501</v>
      </c>
      <c r="K22" s="59" t="s">
        <v>501</v>
      </c>
      <c r="L22" s="59" t="s">
        <v>501</v>
      </c>
      <c r="M22" s="59" t="s">
        <v>501</v>
      </c>
      <c r="N22" s="59" t="s">
        <v>501</v>
      </c>
      <c r="O22" s="59" t="s">
        <v>501</v>
      </c>
      <c r="P22" s="59" t="s">
        <v>501</v>
      </c>
      <c r="Q22" s="59">
        <v>0</v>
      </c>
      <c r="R22" s="59">
        <v>0</v>
      </c>
      <c r="S22" s="59">
        <v>0</v>
      </c>
      <c r="T22" s="59">
        <v>0</v>
      </c>
      <c r="U22" s="59">
        <v>0</v>
      </c>
      <c r="V22" s="59">
        <v>0</v>
      </c>
      <c r="W22" s="59">
        <v>0</v>
      </c>
      <c r="X22" s="59">
        <v>0</v>
      </c>
      <c r="Y22" s="59">
        <v>0</v>
      </c>
      <c r="Z22" s="59">
        <v>0</v>
      </c>
      <c r="AA22" s="59">
        <v>0</v>
      </c>
      <c r="AB22" s="59">
        <v>1</v>
      </c>
      <c r="AD22" s="56" t="s">
        <v>552</v>
      </c>
      <c r="AE22" s="59" t="s">
        <v>1349</v>
      </c>
      <c r="AF22" s="59" t="s">
        <v>501</v>
      </c>
      <c r="AG22" s="59" t="s">
        <v>501</v>
      </c>
      <c r="AH22" s="59" t="s">
        <v>501</v>
      </c>
      <c r="AI22" s="59" t="s">
        <v>501</v>
      </c>
      <c r="AJ22" s="59">
        <v>1</v>
      </c>
      <c r="AK22" s="59">
        <v>1</v>
      </c>
      <c r="AL22" s="59">
        <v>0</v>
      </c>
      <c r="AM22" s="59">
        <v>0</v>
      </c>
      <c r="AN22" s="59">
        <v>1</v>
      </c>
      <c r="AP22" s="56" t="s">
        <v>399</v>
      </c>
      <c r="AQ22" s="58">
        <v>21</v>
      </c>
      <c r="AR22" s="59">
        <v>13</v>
      </c>
      <c r="AS22" s="59">
        <v>20</v>
      </c>
      <c r="AT22" s="59">
        <v>18</v>
      </c>
      <c r="AU22" s="59">
        <v>18</v>
      </c>
      <c r="AV22" s="59">
        <v>12</v>
      </c>
      <c r="AX22" s="99" t="s">
        <v>399</v>
      </c>
      <c r="AY22" s="98" t="s">
        <v>556</v>
      </c>
      <c r="AZ22" s="98">
        <v>1121</v>
      </c>
      <c r="BA22" s="98">
        <v>1727</v>
      </c>
      <c r="BB22" s="98">
        <v>1905</v>
      </c>
      <c r="BC22" s="98">
        <v>1443</v>
      </c>
      <c r="BD22" s="98">
        <v>1386</v>
      </c>
      <c r="BE22" s="98">
        <v>1505</v>
      </c>
      <c r="BG22" s="99" t="s">
        <v>516</v>
      </c>
      <c r="BH22" s="99" t="s">
        <v>520</v>
      </c>
      <c r="BI22" s="98" t="s">
        <v>501</v>
      </c>
      <c r="BJ22" s="98" t="s">
        <v>501</v>
      </c>
      <c r="BN22" s="99" t="s">
        <v>557</v>
      </c>
      <c r="BO22" s="99" t="s">
        <v>399</v>
      </c>
      <c r="BP22" s="98" t="s">
        <v>1225</v>
      </c>
      <c r="BQ22" s="98" t="s">
        <v>547</v>
      </c>
      <c r="BR22" s="98" t="s">
        <v>594</v>
      </c>
      <c r="BS22" s="98" t="s">
        <v>558</v>
      </c>
      <c r="BT22" s="98" t="s">
        <v>547</v>
      </c>
      <c r="BU22" s="98" t="s">
        <v>559</v>
      </c>
      <c r="BV22" s="98" t="s">
        <v>514</v>
      </c>
      <c r="BW22" s="98" t="s">
        <v>514</v>
      </c>
      <c r="BX22" s="98" t="s">
        <v>514</v>
      </c>
      <c r="BY22" s="98" t="s">
        <v>558</v>
      </c>
      <c r="BZ22" s="60"/>
      <c r="CA22" s="327" t="s">
        <v>516</v>
      </c>
      <c r="CB22" s="327" t="s">
        <v>406</v>
      </c>
      <c r="CC22" s="316" t="s">
        <v>501</v>
      </c>
      <c r="CD22" s="316" t="s">
        <v>501</v>
      </c>
      <c r="CE22" s="316" t="s">
        <v>501</v>
      </c>
      <c r="CF22" s="316" t="s">
        <v>501</v>
      </c>
      <c r="CG22" s="316" t="s">
        <v>501</v>
      </c>
      <c r="CH22" s="316" t="s">
        <v>514</v>
      </c>
      <c r="CI22" s="316" t="s">
        <v>514</v>
      </c>
      <c r="CJ22" s="316" t="s">
        <v>514</v>
      </c>
      <c r="CK22" s="316" t="s">
        <v>501</v>
      </c>
      <c r="CL22" s="316" t="s">
        <v>501</v>
      </c>
      <c r="CM22" s="316" t="s">
        <v>501</v>
      </c>
      <c r="CN22" s="316" t="s">
        <v>501</v>
      </c>
      <c r="CP22" s="370" t="s">
        <v>518</v>
      </c>
      <c r="CQ22" s="368" t="s">
        <v>1401</v>
      </c>
    </row>
    <row r="23" spans="1:95" ht="34.5" x14ac:dyDescent="0.35">
      <c r="A23" s="56" t="s">
        <v>401</v>
      </c>
      <c r="B23" s="59" t="s">
        <v>1358</v>
      </c>
      <c r="C23" s="59" t="s">
        <v>501</v>
      </c>
      <c r="D23" s="59" t="s">
        <v>501</v>
      </c>
      <c r="E23" s="59" t="s">
        <v>514</v>
      </c>
      <c r="F23" s="59" t="s">
        <v>514</v>
      </c>
      <c r="G23" s="59" t="s">
        <v>501</v>
      </c>
      <c r="H23" s="59" t="s">
        <v>514</v>
      </c>
      <c r="I23" s="59" t="s">
        <v>501</v>
      </c>
      <c r="J23" s="59" t="s">
        <v>501</v>
      </c>
      <c r="K23" s="59" t="s">
        <v>501</v>
      </c>
      <c r="L23" s="59" t="s">
        <v>501</v>
      </c>
      <c r="M23" s="59" t="s">
        <v>501</v>
      </c>
      <c r="N23" s="59" t="s">
        <v>501</v>
      </c>
      <c r="O23" s="59" t="s">
        <v>501</v>
      </c>
      <c r="P23" s="59" t="s">
        <v>501</v>
      </c>
      <c r="Q23" s="59">
        <v>0</v>
      </c>
      <c r="R23" s="59">
        <v>0</v>
      </c>
      <c r="S23" s="59">
        <v>0</v>
      </c>
      <c r="T23" s="59">
        <v>7</v>
      </c>
      <c r="U23" s="59">
        <v>0</v>
      </c>
      <c r="V23" s="59">
        <v>0</v>
      </c>
      <c r="W23" s="59">
        <v>0</v>
      </c>
      <c r="X23" s="59">
        <v>0</v>
      </c>
      <c r="Y23" s="59">
        <v>1</v>
      </c>
      <c r="Z23" s="59">
        <v>29</v>
      </c>
      <c r="AA23" s="59">
        <v>0</v>
      </c>
      <c r="AB23" s="59">
        <v>0</v>
      </c>
      <c r="AD23" s="56" t="s">
        <v>554</v>
      </c>
      <c r="AE23" s="59" t="s">
        <v>1349</v>
      </c>
      <c r="AF23" s="59" t="s">
        <v>501</v>
      </c>
      <c r="AG23" s="59" t="s">
        <v>501</v>
      </c>
      <c r="AH23" s="59" t="s">
        <v>501</v>
      </c>
      <c r="AI23" s="59" t="s">
        <v>501</v>
      </c>
      <c r="AJ23" s="59">
        <v>0</v>
      </c>
      <c r="AK23" s="59">
        <v>0</v>
      </c>
      <c r="AL23" s="59">
        <v>0</v>
      </c>
      <c r="AM23" s="59">
        <v>0</v>
      </c>
      <c r="AN23" s="59">
        <v>0</v>
      </c>
      <c r="AP23" s="56" t="s">
        <v>401</v>
      </c>
      <c r="AQ23" s="58">
        <v>3643</v>
      </c>
      <c r="AR23" s="59">
        <v>3339</v>
      </c>
      <c r="AS23" s="59">
        <v>3021</v>
      </c>
      <c r="AT23" s="59">
        <v>3676</v>
      </c>
      <c r="AU23" s="59">
        <v>3795</v>
      </c>
      <c r="AV23" s="59">
        <v>2380</v>
      </c>
      <c r="AX23" s="99" t="s">
        <v>401</v>
      </c>
      <c r="AY23" s="98" t="s">
        <v>560</v>
      </c>
      <c r="AZ23" s="98">
        <v>1253</v>
      </c>
      <c r="BA23" s="98">
        <v>1535</v>
      </c>
      <c r="BB23" s="98">
        <v>1556</v>
      </c>
      <c r="BC23" s="98">
        <v>1266</v>
      </c>
      <c r="BD23" s="98">
        <v>1171</v>
      </c>
      <c r="BE23" s="98">
        <v>911</v>
      </c>
      <c r="BG23" s="99" t="s">
        <v>516</v>
      </c>
      <c r="BH23" s="99" t="s">
        <v>524</v>
      </c>
      <c r="BI23" s="98" t="s">
        <v>501</v>
      </c>
      <c r="BJ23" s="98" t="s">
        <v>501</v>
      </c>
      <c r="BN23" s="99" t="s">
        <v>557</v>
      </c>
      <c r="BO23" s="99" t="s">
        <v>401</v>
      </c>
      <c r="BP23" s="98" t="s">
        <v>1324</v>
      </c>
      <c r="BQ23" s="98">
        <v>2758</v>
      </c>
      <c r="BR23" s="98">
        <v>3236</v>
      </c>
      <c r="BS23" s="98">
        <v>1960</v>
      </c>
      <c r="BT23" s="98">
        <v>2987</v>
      </c>
      <c r="BU23" s="98">
        <v>2710</v>
      </c>
      <c r="BV23" s="98">
        <v>170</v>
      </c>
      <c r="BW23" s="98">
        <v>164</v>
      </c>
      <c r="BX23" s="98">
        <v>162</v>
      </c>
      <c r="BY23" s="98">
        <v>2060</v>
      </c>
      <c r="BZ23" s="60"/>
      <c r="CA23" s="327" t="s">
        <v>516</v>
      </c>
      <c r="CB23" s="327" t="s">
        <v>527</v>
      </c>
      <c r="CC23" s="316" t="s">
        <v>501</v>
      </c>
      <c r="CD23" s="316" t="s">
        <v>501</v>
      </c>
      <c r="CE23" s="316" t="s">
        <v>501</v>
      </c>
      <c r="CF23" s="316" t="s">
        <v>514</v>
      </c>
      <c r="CG23" s="316" t="s">
        <v>501</v>
      </c>
      <c r="CH23" s="316" t="s">
        <v>501</v>
      </c>
      <c r="CI23" s="316" t="s">
        <v>501</v>
      </c>
      <c r="CJ23" s="316" t="s">
        <v>501</v>
      </c>
      <c r="CK23" s="316" t="s">
        <v>501</v>
      </c>
      <c r="CL23" s="316" t="s">
        <v>501</v>
      </c>
      <c r="CM23" s="316" t="s">
        <v>501</v>
      </c>
      <c r="CN23" s="316" t="s">
        <v>514</v>
      </c>
      <c r="CP23" s="370" t="s">
        <v>520</v>
      </c>
      <c r="CQ23" s="368" t="s">
        <v>501</v>
      </c>
    </row>
    <row r="24" spans="1:95" ht="34.5" x14ac:dyDescent="0.35">
      <c r="A24" s="56" t="s">
        <v>402</v>
      </c>
      <c r="B24" s="59" t="s">
        <v>1359</v>
      </c>
      <c r="C24" s="59" t="s">
        <v>501</v>
      </c>
      <c r="D24" s="59" t="s">
        <v>1223</v>
      </c>
      <c r="E24" s="59" t="s">
        <v>501</v>
      </c>
      <c r="F24" s="59" t="s">
        <v>501</v>
      </c>
      <c r="G24" s="59" t="s">
        <v>501</v>
      </c>
      <c r="H24" s="59" t="s">
        <v>501</v>
      </c>
      <c r="I24" s="59" t="s">
        <v>501</v>
      </c>
      <c r="J24" s="59" t="s">
        <v>501</v>
      </c>
      <c r="K24" s="59" t="s">
        <v>501</v>
      </c>
      <c r="L24" s="59" t="s">
        <v>501</v>
      </c>
      <c r="M24" s="59" t="s">
        <v>501</v>
      </c>
      <c r="N24" s="59" t="s">
        <v>501</v>
      </c>
      <c r="O24" s="59" t="s">
        <v>501</v>
      </c>
      <c r="P24" s="59" t="s">
        <v>501</v>
      </c>
      <c r="Q24" s="59">
        <v>1</v>
      </c>
      <c r="R24" s="59">
        <v>0</v>
      </c>
      <c r="S24" s="59">
        <v>0</v>
      </c>
      <c r="T24" s="59">
        <v>2</v>
      </c>
      <c r="U24" s="59">
        <v>0</v>
      </c>
      <c r="V24" s="59">
        <v>0</v>
      </c>
      <c r="W24" s="59">
        <v>0</v>
      </c>
      <c r="X24" s="59">
        <v>0</v>
      </c>
      <c r="Y24" s="59">
        <v>0</v>
      </c>
      <c r="Z24" s="59">
        <v>21</v>
      </c>
      <c r="AA24" s="59">
        <v>0</v>
      </c>
      <c r="AB24" s="59">
        <v>2</v>
      </c>
      <c r="AD24" s="56" t="s">
        <v>399</v>
      </c>
      <c r="AE24" s="59" t="s">
        <v>1376</v>
      </c>
      <c r="AF24" s="59" t="s">
        <v>559</v>
      </c>
      <c r="AG24" s="59" t="s">
        <v>587</v>
      </c>
      <c r="AH24" s="59" t="s">
        <v>558</v>
      </c>
      <c r="AI24" s="59" t="s">
        <v>558</v>
      </c>
      <c r="AJ24" s="59">
        <v>13</v>
      </c>
      <c r="AK24" s="59">
        <v>14</v>
      </c>
      <c r="AL24" s="59">
        <v>16</v>
      </c>
      <c r="AM24" s="59">
        <v>17</v>
      </c>
      <c r="AN24" s="59">
        <v>14</v>
      </c>
      <c r="AP24" s="56" t="s">
        <v>402</v>
      </c>
      <c r="AQ24" s="58">
        <v>1571</v>
      </c>
      <c r="AR24" s="59">
        <v>1482</v>
      </c>
      <c r="AS24" s="59">
        <v>1365</v>
      </c>
      <c r="AT24" s="59">
        <v>1548</v>
      </c>
      <c r="AU24" s="59">
        <v>1643</v>
      </c>
      <c r="AV24" s="59">
        <v>1168</v>
      </c>
      <c r="AX24" s="99" t="s">
        <v>402</v>
      </c>
      <c r="AY24" s="98" t="s">
        <v>562</v>
      </c>
      <c r="AZ24" s="98">
        <v>1651</v>
      </c>
      <c r="BA24" s="98">
        <v>2081</v>
      </c>
      <c r="BB24" s="98">
        <v>1939</v>
      </c>
      <c r="BC24" s="98">
        <v>2055</v>
      </c>
      <c r="BD24" s="98">
        <v>1953</v>
      </c>
      <c r="BE24" s="98">
        <v>1414</v>
      </c>
      <c r="BG24" s="99" t="s">
        <v>516</v>
      </c>
      <c r="BH24" s="99" t="s">
        <v>406</v>
      </c>
      <c r="BI24" s="98" t="s">
        <v>501</v>
      </c>
      <c r="BJ24" s="98" t="s">
        <v>514</v>
      </c>
      <c r="BN24" s="99" t="s">
        <v>557</v>
      </c>
      <c r="BO24" s="99" t="s">
        <v>402</v>
      </c>
      <c r="BP24" s="98" t="s">
        <v>1325</v>
      </c>
      <c r="BQ24" s="98">
        <v>1123</v>
      </c>
      <c r="BR24" s="98">
        <v>1231</v>
      </c>
      <c r="BS24" s="98">
        <v>985</v>
      </c>
      <c r="BT24" s="98">
        <v>1229</v>
      </c>
      <c r="BU24" s="98">
        <v>1282</v>
      </c>
      <c r="BV24" s="98">
        <v>0</v>
      </c>
      <c r="BW24" s="98">
        <v>0</v>
      </c>
      <c r="BX24" s="98">
        <v>0</v>
      </c>
      <c r="BY24" s="98">
        <v>1319</v>
      </c>
      <c r="BZ24" s="60"/>
      <c r="CA24" s="327" t="s">
        <v>516</v>
      </c>
      <c r="CB24" s="327" t="s">
        <v>529</v>
      </c>
      <c r="CC24" s="316" t="s">
        <v>501</v>
      </c>
      <c r="CD24" s="316" t="s">
        <v>501</v>
      </c>
      <c r="CE24" s="316" t="s">
        <v>501</v>
      </c>
      <c r="CF24" s="316" t="s">
        <v>501</v>
      </c>
      <c r="CG24" s="316" t="s">
        <v>501</v>
      </c>
      <c r="CH24" s="316" t="s">
        <v>501</v>
      </c>
      <c r="CI24" s="316" t="s">
        <v>501</v>
      </c>
      <c r="CJ24" s="316" t="s">
        <v>501</v>
      </c>
      <c r="CK24" s="316" t="s">
        <v>501</v>
      </c>
      <c r="CL24" s="316" t="s">
        <v>501</v>
      </c>
      <c r="CM24" s="316" t="s">
        <v>501</v>
      </c>
      <c r="CN24" s="316" t="s">
        <v>501</v>
      </c>
      <c r="CP24" s="370" t="s">
        <v>524</v>
      </c>
      <c r="CQ24" s="368" t="s">
        <v>1402</v>
      </c>
    </row>
    <row r="25" spans="1:95" ht="34.5" x14ac:dyDescent="0.35">
      <c r="A25" s="56" t="s">
        <v>561</v>
      </c>
      <c r="B25" s="59" t="s">
        <v>1360</v>
      </c>
      <c r="C25" s="59" t="s">
        <v>501</v>
      </c>
      <c r="D25" s="59" t="s">
        <v>514</v>
      </c>
      <c r="E25" s="59" t="s">
        <v>501</v>
      </c>
      <c r="F25" s="59" t="s">
        <v>501</v>
      </c>
      <c r="G25" s="59" t="s">
        <v>501</v>
      </c>
      <c r="H25" s="59" t="s">
        <v>501</v>
      </c>
      <c r="I25" s="59" t="s">
        <v>501</v>
      </c>
      <c r="J25" s="59" t="s">
        <v>514</v>
      </c>
      <c r="K25" s="59" t="s">
        <v>514</v>
      </c>
      <c r="L25" s="59" t="s">
        <v>514</v>
      </c>
      <c r="M25" s="59" t="s">
        <v>501</v>
      </c>
      <c r="N25" s="59" t="s">
        <v>501</v>
      </c>
      <c r="O25" s="59" t="s">
        <v>501</v>
      </c>
      <c r="P25" s="59" t="s">
        <v>501</v>
      </c>
      <c r="Q25" s="59">
        <v>0</v>
      </c>
      <c r="R25" s="59">
        <v>0</v>
      </c>
      <c r="S25" s="59">
        <v>0</v>
      </c>
      <c r="T25" s="59">
        <v>0</v>
      </c>
      <c r="U25" s="59">
        <v>0</v>
      </c>
      <c r="V25" s="59">
        <v>0</v>
      </c>
      <c r="W25" s="59">
        <v>0</v>
      </c>
      <c r="X25" s="59">
        <v>0</v>
      </c>
      <c r="Y25" s="59">
        <v>0</v>
      </c>
      <c r="Z25" s="59">
        <v>0</v>
      </c>
      <c r="AA25" s="59">
        <v>0</v>
      </c>
      <c r="AB25" s="59">
        <v>0</v>
      </c>
      <c r="AD25" s="56" t="s">
        <v>401</v>
      </c>
      <c r="AE25" s="58" t="s">
        <v>1377</v>
      </c>
      <c r="AF25" s="58" t="s">
        <v>1282</v>
      </c>
      <c r="AG25" s="58" t="s">
        <v>1283</v>
      </c>
      <c r="AH25" s="58" t="s">
        <v>1199</v>
      </c>
      <c r="AI25" s="58" t="s">
        <v>1200</v>
      </c>
      <c r="AJ25" s="58">
        <v>3405</v>
      </c>
      <c r="AK25" s="59">
        <v>3953</v>
      </c>
      <c r="AL25" s="59">
        <v>4315</v>
      </c>
      <c r="AM25" s="59">
        <v>3506</v>
      </c>
      <c r="AN25" s="59">
        <v>2439</v>
      </c>
      <c r="AP25" s="56" t="s">
        <v>561</v>
      </c>
      <c r="AQ25" s="58">
        <v>0</v>
      </c>
      <c r="AR25" s="59">
        <v>0</v>
      </c>
      <c r="AS25" s="59">
        <v>0</v>
      </c>
      <c r="AT25" s="59">
        <v>0</v>
      </c>
      <c r="AU25" s="59">
        <v>0</v>
      </c>
      <c r="AV25" s="59">
        <v>1</v>
      </c>
      <c r="AX25" s="99" t="s">
        <v>561</v>
      </c>
      <c r="AY25" s="98" t="s">
        <v>501</v>
      </c>
      <c r="AZ25" s="98">
        <v>2</v>
      </c>
      <c r="BA25" s="98">
        <v>1</v>
      </c>
      <c r="BB25" s="98">
        <v>1</v>
      </c>
      <c r="BC25" s="98">
        <v>0</v>
      </c>
      <c r="BD25" s="98">
        <v>0</v>
      </c>
      <c r="BE25" s="98">
        <v>0</v>
      </c>
      <c r="BG25" s="99" t="s">
        <v>516</v>
      </c>
      <c r="BH25" s="99" t="s">
        <v>527</v>
      </c>
      <c r="BI25" s="98" t="s">
        <v>501</v>
      </c>
      <c r="BJ25" s="98" t="s">
        <v>501</v>
      </c>
      <c r="BN25" s="99" t="s">
        <v>557</v>
      </c>
      <c r="BO25" s="99" t="s">
        <v>561</v>
      </c>
      <c r="BP25" s="98" t="s">
        <v>501</v>
      </c>
      <c r="BQ25" s="98" t="s">
        <v>514</v>
      </c>
      <c r="BR25" s="98" t="s">
        <v>501</v>
      </c>
      <c r="BS25" s="98" t="s">
        <v>514</v>
      </c>
      <c r="BT25" s="98" t="s">
        <v>501</v>
      </c>
      <c r="BU25" s="98" t="s">
        <v>501</v>
      </c>
      <c r="BV25" s="98" t="s">
        <v>501</v>
      </c>
      <c r="BW25" s="98" t="s">
        <v>514</v>
      </c>
      <c r="BX25" s="98" t="s">
        <v>514</v>
      </c>
      <c r="BY25" s="98" t="s">
        <v>501</v>
      </c>
      <c r="BZ25" s="60"/>
      <c r="CA25" s="327" t="s">
        <v>516</v>
      </c>
      <c r="CB25" s="327" t="s">
        <v>531</v>
      </c>
      <c r="CC25" s="316" t="s">
        <v>501</v>
      </c>
      <c r="CD25" s="316" t="s">
        <v>501</v>
      </c>
      <c r="CE25" s="316" t="s">
        <v>501</v>
      </c>
      <c r="CF25" s="316" t="s">
        <v>501</v>
      </c>
      <c r="CG25" s="316" t="s">
        <v>501</v>
      </c>
      <c r="CH25" s="316" t="s">
        <v>514</v>
      </c>
      <c r="CI25" s="316" t="s">
        <v>514</v>
      </c>
      <c r="CJ25" s="316" t="s">
        <v>501</v>
      </c>
      <c r="CK25" s="316" t="s">
        <v>501</v>
      </c>
      <c r="CL25" s="316" t="s">
        <v>501</v>
      </c>
      <c r="CM25" s="316" t="s">
        <v>501</v>
      </c>
      <c r="CN25" s="316" t="s">
        <v>514</v>
      </c>
      <c r="CP25" s="370" t="s">
        <v>527</v>
      </c>
      <c r="CQ25" s="368" t="s">
        <v>1372</v>
      </c>
    </row>
    <row r="26" spans="1:95" ht="46" x14ac:dyDescent="0.35">
      <c r="A26" s="56" t="s">
        <v>563</v>
      </c>
      <c r="B26" s="59" t="s">
        <v>1361</v>
      </c>
      <c r="C26" s="59" t="s">
        <v>501</v>
      </c>
      <c r="D26" s="59" t="s">
        <v>501</v>
      </c>
      <c r="E26" s="59" t="s">
        <v>501</v>
      </c>
      <c r="F26" s="59" t="s">
        <v>501</v>
      </c>
      <c r="G26" s="59" t="s">
        <v>501</v>
      </c>
      <c r="H26" s="59" t="s">
        <v>501</v>
      </c>
      <c r="I26" s="59" t="s">
        <v>501</v>
      </c>
      <c r="J26" s="59" t="s">
        <v>501</v>
      </c>
      <c r="K26" s="59" t="s">
        <v>501</v>
      </c>
      <c r="L26" s="59" t="s">
        <v>501</v>
      </c>
      <c r="M26" s="59" t="s">
        <v>501</v>
      </c>
      <c r="N26" s="59" t="s">
        <v>501</v>
      </c>
      <c r="O26" s="59" t="s">
        <v>501</v>
      </c>
      <c r="P26" s="59" t="s">
        <v>501</v>
      </c>
      <c r="Q26" s="59">
        <v>0</v>
      </c>
      <c r="R26" s="59">
        <v>0</v>
      </c>
      <c r="S26" s="59">
        <v>0</v>
      </c>
      <c r="T26" s="59">
        <v>0</v>
      </c>
      <c r="U26" s="59">
        <v>0</v>
      </c>
      <c r="V26" s="59">
        <v>0</v>
      </c>
      <c r="W26" s="59">
        <v>0</v>
      </c>
      <c r="X26" s="59">
        <v>0</v>
      </c>
      <c r="Y26" s="59">
        <v>0</v>
      </c>
      <c r="Z26" s="59">
        <v>0</v>
      </c>
      <c r="AA26" s="59">
        <v>0</v>
      </c>
      <c r="AB26" s="59">
        <v>0</v>
      </c>
      <c r="AD26" s="56" t="s">
        <v>402</v>
      </c>
      <c r="AE26" s="59" t="s">
        <v>1378</v>
      </c>
      <c r="AF26" s="59" t="s">
        <v>1284</v>
      </c>
      <c r="AG26" s="59" t="s">
        <v>1285</v>
      </c>
      <c r="AH26" s="59" t="s">
        <v>1201</v>
      </c>
      <c r="AI26" s="59" t="s">
        <v>1202</v>
      </c>
      <c r="AJ26" s="59">
        <v>1480</v>
      </c>
      <c r="AK26" s="59">
        <v>1827</v>
      </c>
      <c r="AL26" s="59">
        <v>1871</v>
      </c>
      <c r="AM26" s="59">
        <v>1832</v>
      </c>
      <c r="AN26" s="59">
        <v>1300</v>
      </c>
      <c r="AP26" s="56" t="s">
        <v>563</v>
      </c>
      <c r="AQ26" s="58">
        <v>0</v>
      </c>
      <c r="AR26" s="59">
        <v>0</v>
      </c>
      <c r="AS26" s="59">
        <v>0</v>
      </c>
      <c r="AT26" s="59">
        <v>0</v>
      </c>
      <c r="AU26" s="59">
        <v>0</v>
      </c>
      <c r="AV26" s="59">
        <v>0</v>
      </c>
      <c r="AX26" s="99" t="s">
        <v>563</v>
      </c>
      <c r="AY26" s="98" t="s">
        <v>501</v>
      </c>
      <c r="AZ26" s="98">
        <v>0</v>
      </c>
      <c r="BA26" s="98">
        <v>0</v>
      </c>
      <c r="BB26" s="98">
        <v>0</v>
      </c>
      <c r="BC26" s="98">
        <v>0</v>
      </c>
      <c r="BD26" s="98">
        <v>0</v>
      </c>
      <c r="BE26" s="98">
        <v>0</v>
      </c>
      <c r="BG26" s="99" t="s">
        <v>516</v>
      </c>
      <c r="BH26" s="99" t="s">
        <v>529</v>
      </c>
      <c r="BI26" s="98" t="s">
        <v>501</v>
      </c>
      <c r="BJ26" s="98" t="s">
        <v>501</v>
      </c>
      <c r="BN26" s="99" t="s">
        <v>557</v>
      </c>
      <c r="BO26" s="99" t="s">
        <v>563</v>
      </c>
      <c r="BP26" s="98" t="s">
        <v>501</v>
      </c>
      <c r="BQ26" s="98" t="s">
        <v>501</v>
      </c>
      <c r="BR26" s="98" t="s">
        <v>501</v>
      </c>
      <c r="BS26" s="98" t="s">
        <v>501</v>
      </c>
      <c r="BT26" s="98" t="s">
        <v>501</v>
      </c>
      <c r="BU26" s="98" t="s">
        <v>501</v>
      </c>
      <c r="BV26" s="98" t="s">
        <v>501</v>
      </c>
      <c r="BW26" s="98" t="s">
        <v>501</v>
      </c>
      <c r="BX26" s="98" t="s">
        <v>501</v>
      </c>
      <c r="BY26" s="98" t="s">
        <v>501</v>
      </c>
      <c r="BZ26" s="60"/>
      <c r="CA26" s="327" t="s">
        <v>537</v>
      </c>
      <c r="CB26" s="327" t="s">
        <v>400</v>
      </c>
      <c r="CC26" s="316" t="s">
        <v>501</v>
      </c>
      <c r="CD26" s="316" t="s">
        <v>501</v>
      </c>
      <c r="CE26" s="316" t="s">
        <v>501</v>
      </c>
      <c r="CF26" s="316" t="s">
        <v>501</v>
      </c>
      <c r="CG26" s="316" t="s">
        <v>501</v>
      </c>
      <c r="CH26" s="316" t="s">
        <v>501</v>
      </c>
      <c r="CI26" s="316" t="s">
        <v>501</v>
      </c>
      <c r="CJ26" s="316" t="s">
        <v>501</v>
      </c>
      <c r="CK26" s="316" t="s">
        <v>501</v>
      </c>
      <c r="CL26" s="316" t="s">
        <v>501</v>
      </c>
      <c r="CM26" s="316" t="s">
        <v>501</v>
      </c>
      <c r="CN26" s="316" t="s">
        <v>501</v>
      </c>
      <c r="CP26" s="370" t="s">
        <v>529</v>
      </c>
      <c r="CQ26" s="368" t="s">
        <v>501</v>
      </c>
    </row>
    <row r="27" spans="1:95" ht="46" x14ac:dyDescent="0.35">
      <c r="A27" s="56" t="s">
        <v>394</v>
      </c>
      <c r="B27" s="59" t="s">
        <v>1362</v>
      </c>
      <c r="C27" s="59" t="s">
        <v>1318</v>
      </c>
      <c r="D27" s="59" t="s">
        <v>1224</v>
      </c>
      <c r="E27" s="59" t="s">
        <v>569</v>
      </c>
      <c r="F27" s="59" t="s">
        <v>960</v>
      </c>
      <c r="G27" s="59" t="s">
        <v>564</v>
      </c>
      <c r="H27" s="59" t="s">
        <v>565</v>
      </c>
      <c r="I27" s="59" t="s">
        <v>566</v>
      </c>
      <c r="J27" s="59" t="s">
        <v>567</v>
      </c>
      <c r="K27" s="59" t="s">
        <v>568</v>
      </c>
      <c r="L27" s="59" t="s">
        <v>569</v>
      </c>
      <c r="M27" s="59" t="s">
        <v>570</v>
      </c>
      <c r="N27" s="59" t="s">
        <v>571</v>
      </c>
      <c r="O27" s="59" t="s">
        <v>572</v>
      </c>
      <c r="P27" s="59" t="s">
        <v>573</v>
      </c>
      <c r="Q27" s="59">
        <v>554</v>
      </c>
      <c r="R27" s="59">
        <v>255</v>
      </c>
      <c r="S27" s="59">
        <v>278</v>
      </c>
      <c r="T27" s="59">
        <v>138</v>
      </c>
      <c r="U27" s="59">
        <v>218</v>
      </c>
      <c r="V27" s="59">
        <v>200</v>
      </c>
      <c r="W27" s="59">
        <v>190</v>
      </c>
      <c r="X27" s="59">
        <v>208</v>
      </c>
      <c r="Y27" s="59">
        <v>284</v>
      </c>
      <c r="Z27" s="59">
        <v>254</v>
      </c>
      <c r="AA27" s="59">
        <v>250</v>
      </c>
      <c r="AB27" s="59">
        <v>244</v>
      </c>
      <c r="AD27" s="56" t="s">
        <v>561</v>
      </c>
      <c r="AE27" s="59" t="s">
        <v>1379</v>
      </c>
      <c r="AF27" s="59" t="s">
        <v>501</v>
      </c>
      <c r="AG27" s="59" t="s">
        <v>501</v>
      </c>
      <c r="AH27" s="59" t="s">
        <v>501</v>
      </c>
      <c r="AI27" s="59" t="s">
        <v>501</v>
      </c>
      <c r="AJ27" s="59">
        <v>1</v>
      </c>
      <c r="AK27" s="59">
        <v>1</v>
      </c>
      <c r="AL27" s="59">
        <v>0</v>
      </c>
      <c r="AM27" s="59">
        <v>0</v>
      </c>
      <c r="AN27" s="59">
        <v>0</v>
      </c>
      <c r="AP27" s="56" t="s">
        <v>394</v>
      </c>
      <c r="AQ27" s="58">
        <v>711</v>
      </c>
      <c r="AR27" s="59">
        <v>1001</v>
      </c>
      <c r="AS27" s="59">
        <v>766</v>
      </c>
      <c r="AT27" s="59">
        <v>919</v>
      </c>
      <c r="AU27" s="59">
        <v>966</v>
      </c>
      <c r="AV27" s="59">
        <v>956</v>
      </c>
      <c r="AX27" s="99" t="s">
        <v>394</v>
      </c>
      <c r="AY27" s="98" t="s">
        <v>575</v>
      </c>
      <c r="AZ27" s="98">
        <v>1059</v>
      </c>
      <c r="BA27" s="98">
        <v>1073</v>
      </c>
      <c r="BB27" s="98">
        <v>1143</v>
      </c>
      <c r="BC27" s="98">
        <v>1096</v>
      </c>
      <c r="BD27" s="98">
        <v>1129</v>
      </c>
      <c r="BE27" s="98">
        <v>1128</v>
      </c>
      <c r="BG27" s="99" t="s">
        <v>516</v>
      </c>
      <c r="BH27" s="99" t="s">
        <v>531</v>
      </c>
      <c r="BI27" s="98" t="s">
        <v>501</v>
      </c>
      <c r="BJ27" s="98" t="s">
        <v>501</v>
      </c>
      <c r="BN27" s="99" t="s">
        <v>557</v>
      </c>
      <c r="BO27" s="99" t="s">
        <v>394</v>
      </c>
      <c r="BP27" s="98" t="s">
        <v>1326</v>
      </c>
      <c r="BQ27" s="98" t="s">
        <v>1233</v>
      </c>
      <c r="BR27" s="98" t="s">
        <v>1215</v>
      </c>
      <c r="BS27" s="98" t="s">
        <v>576</v>
      </c>
      <c r="BT27" s="98" t="s">
        <v>577</v>
      </c>
      <c r="BU27" s="98" t="s">
        <v>578</v>
      </c>
      <c r="BV27" s="98" t="s">
        <v>579</v>
      </c>
      <c r="BW27" s="98" t="s">
        <v>580</v>
      </c>
      <c r="BX27" s="98" t="s">
        <v>581</v>
      </c>
      <c r="BY27" s="98" t="s">
        <v>582</v>
      </c>
      <c r="BZ27" s="60"/>
      <c r="CA27" s="327" t="s">
        <v>537</v>
      </c>
      <c r="CB27" s="327" t="s">
        <v>392</v>
      </c>
      <c r="CC27" s="316" t="s">
        <v>553</v>
      </c>
      <c r="CD27" s="316" t="s">
        <v>1106</v>
      </c>
      <c r="CE27" s="316" t="s">
        <v>1120</v>
      </c>
      <c r="CF27" s="316" t="s">
        <v>1120</v>
      </c>
      <c r="CG27" s="316" t="s">
        <v>1120</v>
      </c>
      <c r="CH27" s="316" t="s">
        <v>1106</v>
      </c>
      <c r="CI27" s="316" t="s">
        <v>1106</v>
      </c>
      <c r="CJ27" s="316" t="s">
        <v>1120</v>
      </c>
      <c r="CK27" s="316" t="s">
        <v>1120</v>
      </c>
      <c r="CL27" s="316" t="s">
        <v>1120</v>
      </c>
      <c r="CM27" s="316" t="s">
        <v>1105</v>
      </c>
      <c r="CN27" s="316" t="s">
        <v>1106</v>
      </c>
      <c r="CP27" s="370" t="s">
        <v>531</v>
      </c>
      <c r="CQ27" s="368" t="s">
        <v>501</v>
      </c>
    </row>
    <row r="28" spans="1:95" ht="46" x14ac:dyDescent="0.35">
      <c r="A28" s="56" t="s">
        <v>574</v>
      </c>
      <c r="B28" s="59" t="s">
        <v>1363</v>
      </c>
      <c r="C28" s="59" t="s">
        <v>514</v>
      </c>
      <c r="D28" s="59" t="s">
        <v>501</v>
      </c>
      <c r="E28" s="59" t="s">
        <v>501</v>
      </c>
      <c r="F28" s="59" t="s">
        <v>514</v>
      </c>
      <c r="G28" s="59" t="s">
        <v>501</v>
      </c>
      <c r="H28" s="59" t="s">
        <v>501</v>
      </c>
      <c r="I28" s="59" t="s">
        <v>501</v>
      </c>
      <c r="J28" s="59" t="s">
        <v>501</v>
      </c>
      <c r="K28" s="59" t="s">
        <v>501</v>
      </c>
      <c r="L28" s="59" t="s">
        <v>514</v>
      </c>
      <c r="M28" s="59" t="s">
        <v>501</v>
      </c>
      <c r="N28" s="59" t="s">
        <v>501</v>
      </c>
      <c r="O28" s="59" t="s">
        <v>514</v>
      </c>
      <c r="P28" s="59" t="s">
        <v>501</v>
      </c>
      <c r="Q28" s="59">
        <v>0</v>
      </c>
      <c r="R28" s="59">
        <v>0</v>
      </c>
      <c r="S28" s="59">
        <v>0</v>
      </c>
      <c r="T28" s="59">
        <v>1</v>
      </c>
      <c r="U28" s="59">
        <v>0</v>
      </c>
      <c r="V28" s="59">
        <v>1</v>
      </c>
      <c r="W28" s="59">
        <v>0</v>
      </c>
      <c r="X28" s="59">
        <v>0</v>
      </c>
      <c r="Y28" s="59">
        <v>0</v>
      </c>
      <c r="Z28" s="59">
        <v>0</v>
      </c>
      <c r="AA28" s="59">
        <v>0</v>
      </c>
      <c r="AB28" s="59">
        <v>0</v>
      </c>
      <c r="AD28" s="56" t="s">
        <v>563</v>
      </c>
      <c r="AE28" s="59" t="s">
        <v>1380</v>
      </c>
      <c r="AF28" s="59" t="s">
        <v>501</v>
      </c>
      <c r="AG28" s="59" t="s">
        <v>501</v>
      </c>
      <c r="AH28" s="59" t="s">
        <v>501</v>
      </c>
      <c r="AI28" s="59" t="s">
        <v>501</v>
      </c>
      <c r="AJ28" s="59">
        <v>0</v>
      </c>
      <c r="AK28" s="59">
        <v>0</v>
      </c>
      <c r="AL28" s="59">
        <v>0</v>
      </c>
      <c r="AM28" s="59">
        <v>0</v>
      </c>
      <c r="AN28" s="59">
        <v>0</v>
      </c>
      <c r="AP28" s="56" t="s">
        <v>574</v>
      </c>
      <c r="AQ28" s="58">
        <v>0</v>
      </c>
      <c r="AR28" s="59">
        <v>0</v>
      </c>
      <c r="AS28" s="59">
        <v>1</v>
      </c>
      <c r="AT28" s="59">
        <v>0</v>
      </c>
      <c r="AU28" s="59">
        <v>0</v>
      </c>
      <c r="AV28" s="59">
        <v>0</v>
      </c>
      <c r="AX28" s="99" t="s">
        <v>574</v>
      </c>
      <c r="AY28" s="98" t="s">
        <v>501</v>
      </c>
      <c r="AZ28" s="98">
        <v>0</v>
      </c>
      <c r="BA28" s="98">
        <v>0</v>
      </c>
      <c r="BB28" s="98">
        <v>0</v>
      </c>
      <c r="BC28" s="98">
        <v>0</v>
      </c>
      <c r="BD28" s="98">
        <v>1</v>
      </c>
      <c r="BE28" s="98">
        <v>0</v>
      </c>
      <c r="BG28" s="99" t="s">
        <v>537</v>
      </c>
      <c r="BH28" s="99" t="s">
        <v>400</v>
      </c>
      <c r="BI28" s="98" t="s">
        <v>501</v>
      </c>
      <c r="BJ28" s="98" t="s">
        <v>514</v>
      </c>
      <c r="BN28" s="99" t="s">
        <v>557</v>
      </c>
      <c r="BO28" s="99" t="s">
        <v>574</v>
      </c>
      <c r="BP28" s="98" t="s">
        <v>517</v>
      </c>
      <c r="BQ28" s="98"/>
      <c r="BR28" s="98" t="s">
        <v>501</v>
      </c>
      <c r="BS28" s="98" t="s">
        <v>501</v>
      </c>
      <c r="BT28" s="98" t="s">
        <v>501</v>
      </c>
      <c r="BU28" s="98" t="s">
        <v>501</v>
      </c>
      <c r="BV28" s="98" t="s">
        <v>514</v>
      </c>
      <c r="BW28" s="98" t="s">
        <v>514</v>
      </c>
      <c r="BX28" s="98" t="s">
        <v>514</v>
      </c>
      <c r="BY28" s="98" t="s">
        <v>501</v>
      </c>
      <c r="BZ28" s="60"/>
      <c r="CA28" s="327" t="s">
        <v>537</v>
      </c>
      <c r="CB28" s="327" t="s">
        <v>393</v>
      </c>
      <c r="CC28" s="316" t="s">
        <v>580</v>
      </c>
      <c r="CD28" s="316" t="s">
        <v>1141</v>
      </c>
      <c r="CE28" s="316" t="s">
        <v>1258</v>
      </c>
      <c r="CF28" s="316" t="s">
        <v>1210</v>
      </c>
      <c r="CG28" s="316" t="s">
        <v>1140</v>
      </c>
      <c r="CH28" s="316" t="s">
        <v>1141</v>
      </c>
      <c r="CI28" s="316" t="s">
        <v>1141</v>
      </c>
      <c r="CJ28" s="316" t="s">
        <v>1142</v>
      </c>
      <c r="CK28" s="316" t="s">
        <v>580</v>
      </c>
      <c r="CL28" s="316" t="s">
        <v>1121</v>
      </c>
      <c r="CM28" s="316" t="s">
        <v>1107</v>
      </c>
      <c r="CN28" s="316" t="s">
        <v>1108</v>
      </c>
      <c r="CP28" s="370" t="s">
        <v>398</v>
      </c>
      <c r="CQ28" s="368" t="s">
        <v>1403</v>
      </c>
    </row>
    <row r="29" spans="1:95" ht="46" x14ac:dyDescent="0.35">
      <c r="A29" s="56" t="s">
        <v>583</v>
      </c>
      <c r="B29" s="58" t="s">
        <v>540</v>
      </c>
      <c r="C29" s="58" t="s">
        <v>543</v>
      </c>
      <c r="D29" s="58" t="s">
        <v>544</v>
      </c>
      <c r="E29" s="58" t="s">
        <v>585</v>
      </c>
      <c r="F29" s="58" t="s">
        <v>226</v>
      </c>
      <c r="G29" s="58" t="s">
        <v>542</v>
      </c>
      <c r="H29" s="58" t="s">
        <v>226</v>
      </c>
      <c r="I29" s="58" t="s">
        <v>540</v>
      </c>
      <c r="J29" s="58" t="s">
        <v>584</v>
      </c>
      <c r="K29" s="58" t="s">
        <v>226</v>
      </c>
      <c r="L29" s="58" t="s">
        <v>585</v>
      </c>
      <c r="M29" s="58" t="s">
        <v>543</v>
      </c>
      <c r="N29" s="58" t="s">
        <v>542</v>
      </c>
      <c r="O29" s="58" t="s">
        <v>544</v>
      </c>
      <c r="P29" s="58" t="s">
        <v>226</v>
      </c>
      <c r="Q29" s="58" t="s">
        <v>226</v>
      </c>
      <c r="R29" s="58">
        <v>20</v>
      </c>
      <c r="S29" s="58" t="s">
        <v>226</v>
      </c>
      <c r="T29" s="59">
        <v>19</v>
      </c>
      <c r="U29" s="59">
        <v>18</v>
      </c>
      <c r="V29" s="59">
        <v>20</v>
      </c>
      <c r="W29" s="59">
        <v>18</v>
      </c>
      <c r="X29" s="59">
        <v>21</v>
      </c>
      <c r="Y29" s="59">
        <v>23</v>
      </c>
      <c r="Z29" s="59">
        <v>17</v>
      </c>
      <c r="AA29" s="59">
        <v>19</v>
      </c>
      <c r="AB29" s="59">
        <v>22</v>
      </c>
      <c r="AD29" s="56" t="s">
        <v>394</v>
      </c>
      <c r="AE29" s="59" t="s">
        <v>1381</v>
      </c>
      <c r="AF29" s="59" t="s">
        <v>1286</v>
      </c>
      <c r="AG29" s="59" t="s">
        <v>564</v>
      </c>
      <c r="AH29" s="59" t="s">
        <v>1203</v>
      </c>
      <c r="AI29" s="59" t="s">
        <v>1204</v>
      </c>
      <c r="AJ29" s="59">
        <v>911</v>
      </c>
      <c r="AK29" s="59">
        <v>1029</v>
      </c>
      <c r="AL29" s="59">
        <v>933</v>
      </c>
      <c r="AM29" s="59">
        <v>1009</v>
      </c>
      <c r="AN29" s="59">
        <v>1056</v>
      </c>
      <c r="AP29" s="56" t="s">
        <v>583</v>
      </c>
      <c r="AQ29" s="58">
        <v>22</v>
      </c>
      <c r="AR29" s="59">
        <v>18</v>
      </c>
      <c r="AS29" s="59">
        <v>20</v>
      </c>
      <c r="AT29" s="59">
        <v>21</v>
      </c>
      <c r="AU29" s="59">
        <v>21</v>
      </c>
      <c r="AV29" s="59">
        <v>21</v>
      </c>
      <c r="AX29" s="99" t="s">
        <v>583</v>
      </c>
      <c r="AY29" s="98" t="s">
        <v>544</v>
      </c>
      <c r="AZ29" s="98" t="s">
        <v>226</v>
      </c>
      <c r="BA29" s="98">
        <v>22</v>
      </c>
      <c r="BB29" s="98">
        <v>22</v>
      </c>
      <c r="BC29" s="98">
        <v>23</v>
      </c>
      <c r="BD29" s="98">
        <v>23</v>
      </c>
      <c r="BE29" s="98">
        <v>23</v>
      </c>
      <c r="BG29" s="99" t="s">
        <v>537</v>
      </c>
      <c r="BH29" s="99" t="s">
        <v>392</v>
      </c>
      <c r="BI29" s="98" t="s">
        <v>587</v>
      </c>
      <c r="BJ29" s="98" t="s">
        <v>587</v>
      </c>
      <c r="BN29" s="99" t="s">
        <v>588</v>
      </c>
      <c r="BO29" s="99" t="s">
        <v>583</v>
      </c>
      <c r="BP29" s="98" t="s">
        <v>540</v>
      </c>
      <c r="BQ29" s="98" t="s">
        <v>540</v>
      </c>
      <c r="BR29" s="98" t="s">
        <v>584</v>
      </c>
      <c r="BS29" s="98" t="s">
        <v>226</v>
      </c>
      <c r="BT29" s="98" t="s">
        <v>543</v>
      </c>
      <c r="BU29" s="98" t="s">
        <v>544</v>
      </c>
      <c r="BV29" s="98" t="s">
        <v>226</v>
      </c>
      <c r="BW29" s="98" t="s">
        <v>226</v>
      </c>
      <c r="BX29" s="98" t="s">
        <v>226</v>
      </c>
      <c r="BY29" s="98" t="s">
        <v>544</v>
      </c>
      <c r="BZ29" s="60"/>
      <c r="CA29" s="327" t="s">
        <v>537</v>
      </c>
      <c r="CB29" s="327" t="s">
        <v>398</v>
      </c>
      <c r="CC29" s="316" t="s">
        <v>596</v>
      </c>
      <c r="CD29" s="316" t="s">
        <v>596</v>
      </c>
      <c r="CE29" s="316" t="s">
        <v>596</v>
      </c>
      <c r="CF29" s="316" t="s">
        <v>596</v>
      </c>
      <c r="CG29" s="316" t="s">
        <v>517</v>
      </c>
      <c r="CH29" s="316" t="s">
        <v>501</v>
      </c>
      <c r="CI29" s="316" t="s">
        <v>501</v>
      </c>
      <c r="CJ29" s="316" t="s">
        <v>517</v>
      </c>
      <c r="CK29" s="316" t="s">
        <v>596</v>
      </c>
      <c r="CL29" s="316" t="s">
        <v>596</v>
      </c>
      <c r="CM29" s="316" t="s">
        <v>596</v>
      </c>
      <c r="CN29" s="316" t="s">
        <v>596</v>
      </c>
      <c r="CP29" s="370" t="s">
        <v>400</v>
      </c>
      <c r="CQ29" s="368" t="s">
        <v>1353</v>
      </c>
    </row>
    <row r="30" spans="1:95" ht="46" x14ac:dyDescent="0.35">
      <c r="A30" s="56" t="s">
        <v>586</v>
      </c>
      <c r="B30" s="58" t="s">
        <v>544</v>
      </c>
      <c r="C30" s="58" t="s">
        <v>584</v>
      </c>
      <c r="D30" s="58" t="s">
        <v>585</v>
      </c>
      <c r="E30" s="58" t="s">
        <v>559</v>
      </c>
      <c r="F30" s="58" t="s">
        <v>226</v>
      </c>
      <c r="G30" s="58" t="s">
        <v>543</v>
      </c>
      <c r="H30" s="58" t="s">
        <v>226</v>
      </c>
      <c r="I30" s="58" t="s">
        <v>544</v>
      </c>
      <c r="J30" s="58" t="s">
        <v>589</v>
      </c>
      <c r="K30" s="58" t="s">
        <v>226</v>
      </c>
      <c r="L30" s="58" t="s">
        <v>558</v>
      </c>
      <c r="M30" s="58" t="s">
        <v>544</v>
      </c>
      <c r="N30" s="58" t="s">
        <v>540</v>
      </c>
      <c r="O30" s="58" t="s">
        <v>589</v>
      </c>
      <c r="P30" s="58" t="s">
        <v>226</v>
      </c>
      <c r="Q30" s="58" t="s">
        <v>226</v>
      </c>
      <c r="R30" s="58">
        <v>18</v>
      </c>
      <c r="S30" s="58" t="s">
        <v>226</v>
      </c>
      <c r="T30" s="59">
        <v>16</v>
      </c>
      <c r="U30" s="59">
        <v>15</v>
      </c>
      <c r="V30" s="59">
        <v>18</v>
      </c>
      <c r="W30" s="59">
        <v>16</v>
      </c>
      <c r="X30" s="59">
        <v>20</v>
      </c>
      <c r="Y30" s="59">
        <v>20</v>
      </c>
      <c r="Z30" s="59">
        <v>16</v>
      </c>
      <c r="AA30" s="59">
        <v>16</v>
      </c>
      <c r="AB30" s="59">
        <v>20</v>
      </c>
      <c r="AD30" s="56" t="s">
        <v>574</v>
      </c>
      <c r="AE30" s="59" t="s">
        <v>1349</v>
      </c>
      <c r="AF30" s="59" t="s">
        <v>501</v>
      </c>
      <c r="AG30" s="59" t="s">
        <v>514</v>
      </c>
      <c r="AH30" s="59" t="s">
        <v>501</v>
      </c>
      <c r="AI30" s="59" t="s">
        <v>501</v>
      </c>
      <c r="AJ30" s="59">
        <v>0</v>
      </c>
      <c r="AK30" s="59">
        <v>0</v>
      </c>
      <c r="AL30" s="59">
        <v>0</v>
      </c>
      <c r="AM30" s="59">
        <v>0</v>
      </c>
      <c r="AN30" s="59">
        <v>0</v>
      </c>
      <c r="AP30" s="56" t="s">
        <v>586</v>
      </c>
      <c r="AQ30" s="58">
        <v>19</v>
      </c>
      <c r="AR30" s="59">
        <v>15</v>
      </c>
      <c r="AS30" s="59">
        <v>18</v>
      </c>
      <c r="AT30" s="59">
        <v>18</v>
      </c>
      <c r="AU30" s="59">
        <v>17</v>
      </c>
      <c r="AV30" s="59">
        <v>19</v>
      </c>
      <c r="AX30" s="99" t="s">
        <v>586</v>
      </c>
      <c r="AY30" s="98" t="s">
        <v>584</v>
      </c>
      <c r="AZ30" s="98" t="s">
        <v>226</v>
      </c>
      <c r="BA30" s="98">
        <v>20</v>
      </c>
      <c r="BB30" s="98">
        <v>20</v>
      </c>
      <c r="BC30" s="98">
        <v>20</v>
      </c>
      <c r="BD30" s="98">
        <v>20</v>
      </c>
      <c r="BE30" s="98">
        <v>20</v>
      </c>
      <c r="BG30" s="99" t="s">
        <v>537</v>
      </c>
      <c r="BH30" s="99" t="s">
        <v>393</v>
      </c>
      <c r="BI30" s="98" t="s">
        <v>591</v>
      </c>
      <c r="BJ30" s="98" t="s">
        <v>592</v>
      </c>
      <c r="BN30" s="99" t="s">
        <v>588</v>
      </c>
      <c r="BO30" s="99" t="s">
        <v>586</v>
      </c>
      <c r="BP30" s="98" t="s">
        <v>544</v>
      </c>
      <c r="BQ30" s="98" t="s">
        <v>584</v>
      </c>
      <c r="BR30" s="98" t="s">
        <v>558</v>
      </c>
      <c r="BS30" s="98" t="s">
        <v>226</v>
      </c>
      <c r="BT30" s="98" t="s">
        <v>589</v>
      </c>
      <c r="BU30" s="98" t="s">
        <v>558</v>
      </c>
      <c r="BV30" s="98" t="s">
        <v>226</v>
      </c>
      <c r="BW30" s="98" t="s">
        <v>226</v>
      </c>
      <c r="BX30" s="98" t="s">
        <v>226</v>
      </c>
      <c r="BY30" s="98" t="s">
        <v>558</v>
      </c>
      <c r="BZ30" s="60"/>
      <c r="CA30" s="327" t="s">
        <v>537</v>
      </c>
      <c r="CB30" s="327" t="s">
        <v>552</v>
      </c>
      <c r="CC30" s="316" t="s">
        <v>1259</v>
      </c>
      <c r="CD30" s="316" t="s">
        <v>1260</v>
      </c>
      <c r="CE30" s="316" t="s">
        <v>1261</v>
      </c>
      <c r="CF30" s="316" t="s">
        <v>551</v>
      </c>
      <c r="CG30" s="316" t="s">
        <v>1143</v>
      </c>
      <c r="CH30" s="316" t="s">
        <v>579</v>
      </c>
      <c r="CI30" s="316" t="s">
        <v>1144</v>
      </c>
      <c r="CJ30" s="316" t="s">
        <v>1145</v>
      </c>
      <c r="CK30" s="316" t="s">
        <v>1122</v>
      </c>
      <c r="CL30" s="316" t="s">
        <v>1109</v>
      </c>
      <c r="CM30" s="316" t="s">
        <v>1109</v>
      </c>
      <c r="CN30" s="316" t="s">
        <v>634</v>
      </c>
      <c r="CP30" s="370" t="s">
        <v>393</v>
      </c>
      <c r="CQ30" s="368" t="s">
        <v>1404</v>
      </c>
    </row>
    <row r="31" spans="1:95" ht="46" x14ac:dyDescent="0.35">
      <c r="A31" s="56" t="s">
        <v>590</v>
      </c>
      <c r="B31" s="58" t="s">
        <v>1225</v>
      </c>
      <c r="C31" s="58" t="s">
        <v>547</v>
      </c>
      <c r="D31" s="58" t="s">
        <v>1225</v>
      </c>
      <c r="E31" s="58" t="s">
        <v>545</v>
      </c>
      <c r="F31" s="58" t="s">
        <v>226</v>
      </c>
      <c r="G31" s="58" t="s">
        <v>587</v>
      </c>
      <c r="H31" s="58" t="s">
        <v>226</v>
      </c>
      <c r="I31" s="58" t="s">
        <v>587</v>
      </c>
      <c r="J31" s="58" t="s">
        <v>593</v>
      </c>
      <c r="K31" s="58" t="s">
        <v>226</v>
      </c>
      <c r="L31" s="58" t="s">
        <v>594</v>
      </c>
      <c r="M31" s="58" t="s">
        <v>559</v>
      </c>
      <c r="N31" s="58" t="s">
        <v>558</v>
      </c>
      <c r="O31" s="58" t="s">
        <v>514</v>
      </c>
      <c r="P31" s="58" t="s">
        <v>226</v>
      </c>
      <c r="Q31" s="58" t="s">
        <v>226</v>
      </c>
      <c r="R31" s="58">
        <v>12</v>
      </c>
      <c r="S31" s="58" t="s">
        <v>226</v>
      </c>
      <c r="T31" s="59">
        <v>12</v>
      </c>
      <c r="U31" s="59">
        <v>12</v>
      </c>
      <c r="V31" s="59">
        <v>13</v>
      </c>
      <c r="W31" s="59">
        <v>1</v>
      </c>
      <c r="X31" s="59">
        <v>14</v>
      </c>
      <c r="Y31" s="59">
        <v>15</v>
      </c>
      <c r="Z31" s="59">
        <v>14</v>
      </c>
      <c r="AA31" s="59">
        <v>13</v>
      </c>
      <c r="AB31" s="59">
        <v>16</v>
      </c>
      <c r="AD31" s="56" t="s">
        <v>583</v>
      </c>
      <c r="AE31" s="59" t="s">
        <v>543</v>
      </c>
      <c r="AF31" s="59" t="s">
        <v>540</v>
      </c>
      <c r="AG31" s="59" t="s">
        <v>585</v>
      </c>
      <c r="AH31" s="59" t="s">
        <v>543</v>
      </c>
      <c r="AI31" s="59" t="s">
        <v>540</v>
      </c>
      <c r="AJ31" s="59">
        <v>20</v>
      </c>
      <c r="AK31" s="59">
        <v>18</v>
      </c>
      <c r="AL31" s="59">
        <v>21</v>
      </c>
      <c r="AM31" s="59">
        <v>20</v>
      </c>
      <c r="AN31" s="59">
        <v>20</v>
      </c>
      <c r="AP31" s="56" t="s">
        <v>590</v>
      </c>
      <c r="AQ31" s="58">
        <v>14</v>
      </c>
      <c r="AR31" s="59">
        <v>13</v>
      </c>
      <c r="AS31" s="59">
        <v>11</v>
      </c>
      <c r="AT31" s="59">
        <v>12</v>
      </c>
      <c r="AU31" s="59">
        <v>10</v>
      </c>
      <c r="AV31" s="59">
        <v>13</v>
      </c>
      <c r="AX31" s="99" t="s">
        <v>590</v>
      </c>
      <c r="AY31" s="98" t="s">
        <v>547</v>
      </c>
      <c r="AZ31" s="98" t="s">
        <v>226</v>
      </c>
      <c r="BA31" s="98">
        <v>1</v>
      </c>
      <c r="BB31" s="98">
        <v>11</v>
      </c>
      <c r="BC31" s="98">
        <v>12</v>
      </c>
      <c r="BD31" s="98">
        <v>12</v>
      </c>
      <c r="BE31" s="98">
        <v>1</v>
      </c>
      <c r="BG31" s="99" t="s">
        <v>537</v>
      </c>
      <c r="BH31" s="99" t="s">
        <v>398</v>
      </c>
      <c r="BI31" s="98" t="s">
        <v>596</v>
      </c>
      <c r="BJ31" s="98" t="s">
        <v>596</v>
      </c>
      <c r="BN31" s="99" t="s">
        <v>588</v>
      </c>
      <c r="BO31" s="99" t="s">
        <v>590</v>
      </c>
      <c r="BP31" s="98" t="s">
        <v>593</v>
      </c>
      <c r="BQ31" s="98" t="s">
        <v>1225</v>
      </c>
      <c r="BR31" s="98" t="s">
        <v>514</v>
      </c>
      <c r="BS31" s="98" t="s">
        <v>226</v>
      </c>
      <c r="BT31" s="98" t="s">
        <v>548</v>
      </c>
      <c r="BU31" s="98" t="s">
        <v>514</v>
      </c>
      <c r="BV31" s="98" t="s">
        <v>226</v>
      </c>
      <c r="BW31" s="98" t="s">
        <v>226</v>
      </c>
      <c r="BX31" s="98" t="s">
        <v>226</v>
      </c>
      <c r="BY31" s="98" t="s">
        <v>593</v>
      </c>
      <c r="BZ31" s="60"/>
      <c r="CA31" s="327" t="s">
        <v>537</v>
      </c>
      <c r="CB31" s="327" t="s">
        <v>554</v>
      </c>
      <c r="CC31" s="316" t="s">
        <v>501</v>
      </c>
      <c r="CD31" s="316" t="s">
        <v>501</v>
      </c>
      <c r="CE31" s="316" t="s">
        <v>501</v>
      </c>
      <c r="CF31" s="316" t="s">
        <v>501</v>
      </c>
      <c r="CG31" s="316" t="s">
        <v>501</v>
      </c>
      <c r="CH31" s="316" t="s">
        <v>501</v>
      </c>
      <c r="CI31" s="316" t="s">
        <v>501</v>
      </c>
      <c r="CJ31" s="316" t="s">
        <v>501</v>
      </c>
      <c r="CK31" s="316" t="s">
        <v>501</v>
      </c>
      <c r="CL31" s="316" t="s">
        <v>501</v>
      </c>
      <c r="CM31" s="316" t="s">
        <v>501</v>
      </c>
      <c r="CN31" s="316" t="s">
        <v>501</v>
      </c>
      <c r="CP31" s="370" t="s">
        <v>392</v>
      </c>
      <c r="CQ31" s="368" t="s">
        <v>1405</v>
      </c>
    </row>
    <row r="32" spans="1:95" ht="34.5" x14ac:dyDescent="0.35">
      <c r="A32" s="56" t="s">
        <v>595</v>
      </c>
      <c r="B32" s="58"/>
      <c r="C32" s="58" t="s">
        <v>1319</v>
      </c>
      <c r="D32" s="58" t="s">
        <v>1226</v>
      </c>
      <c r="E32" s="58" t="s">
        <v>1190</v>
      </c>
      <c r="F32" s="58" t="s">
        <v>226</v>
      </c>
      <c r="G32" s="58" t="s">
        <v>597</v>
      </c>
      <c r="H32" s="58" t="s">
        <v>226</v>
      </c>
      <c r="I32" s="58" t="s">
        <v>598</v>
      </c>
      <c r="J32" s="58" t="s">
        <v>599</v>
      </c>
      <c r="K32" s="58" t="s">
        <v>226</v>
      </c>
      <c r="L32" s="58" t="s">
        <v>600</v>
      </c>
      <c r="M32" s="58" t="s">
        <v>601</v>
      </c>
      <c r="N32" s="58" t="s">
        <v>602</v>
      </c>
      <c r="O32" s="58" t="s">
        <v>603</v>
      </c>
      <c r="P32" s="58" t="s">
        <v>226</v>
      </c>
      <c r="Q32" s="58" t="s">
        <v>226</v>
      </c>
      <c r="R32" s="58">
        <v>5215</v>
      </c>
      <c r="S32" s="58" t="s">
        <v>226</v>
      </c>
      <c r="T32" s="59">
        <v>4733</v>
      </c>
      <c r="U32" s="59">
        <v>2146</v>
      </c>
      <c r="V32" s="59">
        <v>8972</v>
      </c>
      <c r="W32" s="59">
        <v>1380</v>
      </c>
      <c r="X32" s="59">
        <v>18068</v>
      </c>
      <c r="Y32" s="59">
        <v>76005</v>
      </c>
      <c r="Z32" s="59">
        <v>1268</v>
      </c>
      <c r="AA32" s="59">
        <v>4104</v>
      </c>
      <c r="AB32" s="59">
        <v>31225</v>
      </c>
      <c r="AD32" s="56" t="s">
        <v>586</v>
      </c>
      <c r="AE32" s="59" t="s">
        <v>585</v>
      </c>
      <c r="AF32" s="59" t="s">
        <v>544</v>
      </c>
      <c r="AG32" s="59" t="s">
        <v>559</v>
      </c>
      <c r="AH32" s="59" t="s">
        <v>544</v>
      </c>
      <c r="AI32" s="59" t="s">
        <v>544</v>
      </c>
      <c r="AJ32" s="59">
        <v>18</v>
      </c>
      <c r="AK32" s="59">
        <v>16</v>
      </c>
      <c r="AL32" s="59">
        <v>18</v>
      </c>
      <c r="AM32" s="59">
        <v>17</v>
      </c>
      <c r="AN32" s="59">
        <v>17</v>
      </c>
      <c r="AP32" s="56" t="s">
        <v>595</v>
      </c>
      <c r="AQ32" s="58">
        <v>20568</v>
      </c>
      <c r="AR32" s="59">
        <v>1966</v>
      </c>
      <c r="AS32" s="59">
        <v>5356</v>
      </c>
      <c r="AT32" s="59">
        <v>12122</v>
      </c>
      <c r="AU32" s="59">
        <v>10458</v>
      </c>
      <c r="AV32" s="59">
        <v>16656</v>
      </c>
      <c r="AX32" s="99" t="s">
        <v>595</v>
      </c>
      <c r="AY32" s="98" t="s">
        <v>605</v>
      </c>
      <c r="AZ32" s="98" t="s">
        <v>226</v>
      </c>
      <c r="BA32" s="98">
        <v>24678</v>
      </c>
      <c r="BB32" s="98">
        <v>27949</v>
      </c>
      <c r="BC32" s="98">
        <v>63743</v>
      </c>
      <c r="BD32" s="98">
        <v>50062</v>
      </c>
      <c r="BE32" s="98">
        <v>50371</v>
      </c>
      <c r="BG32" s="99" t="s">
        <v>537</v>
      </c>
      <c r="BH32" s="99" t="s">
        <v>552</v>
      </c>
      <c r="BI32" s="98" t="s">
        <v>606</v>
      </c>
      <c r="BJ32" s="98" t="s">
        <v>607</v>
      </c>
      <c r="BN32" s="99" t="s">
        <v>588</v>
      </c>
      <c r="BO32" s="99" t="s">
        <v>595</v>
      </c>
      <c r="BP32" s="98" t="s">
        <v>1327</v>
      </c>
      <c r="BQ32" s="98" t="s">
        <v>1234</v>
      </c>
      <c r="BR32" s="98" t="s">
        <v>1216</v>
      </c>
      <c r="BS32" s="98" t="s">
        <v>226</v>
      </c>
      <c r="BT32" s="98" t="s">
        <v>608</v>
      </c>
      <c r="BU32" s="98" t="s">
        <v>609</v>
      </c>
      <c r="BV32" s="98" t="s">
        <v>226</v>
      </c>
      <c r="BW32" s="98" t="s">
        <v>226</v>
      </c>
      <c r="BX32" s="98" t="s">
        <v>226</v>
      </c>
      <c r="BY32" s="98" t="s">
        <v>610</v>
      </c>
      <c r="BZ32" s="60"/>
      <c r="CA32" s="327" t="s">
        <v>557</v>
      </c>
      <c r="CB32" s="327" t="s">
        <v>399</v>
      </c>
      <c r="CC32" s="316" t="s">
        <v>1262</v>
      </c>
      <c r="CD32" s="316" t="s">
        <v>1263</v>
      </c>
      <c r="CE32" s="316" t="s">
        <v>1264</v>
      </c>
      <c r="CF32" s="316" t="s">
        <v>1241</v>
      </c>
      <c r="CG32" s="316" t="s">
        <v>591</v>
      </c>
      <c r="CH32" s="316" t="s">
        <v>1146</v>
      </c>
      <c r="CI32" s="316" t="s">
        <v>1147</v>
      </c>
      <c r="CJ32" s="316" t="s">
        <v>1148</v>
      </c>
      <c r="CK32" s="316" t="s">
        <v>1164</v>
      </c>
      <c r="CL32" s="316" t="s">
        <v>1165</v>
      </c>
      <c r="CM32" s="316" t="s">
        <v>1166</v>
      </c>
      <c r="CN32" s="316" t="s">
        <v>1167</v>
      </c>
      <c r="CP32" s="370" t="s">
        <v>406</v>
      </c>
      <c r="CQ32" s="368" t="s">
        <v>501</v>
      </c>
    </row>
    <row r="33" spans="1:95" ht="34.5" x14ac:dyDescent="0.35">
      <c r="A33" s="56" t="s">
        <v>604</v>
      </c>
      <c r="B33" s="58"/>
      <c r="C33" s="58" t="s">
        <v>1320</v>
      </c>
      <c r="D33" s="58" t="s">
        <v>1227</v>
      </c>
      <c r="E33" s="58" t="s">
        <v>1191</v>
      </c>
      <c r="F33" s="58" t="s">
        <v>226</v>
      </c>
      <c r="G33" s="58" t="s">
        <v>611</v>
      </c>
      <c r="H33" s="58" t="s">
        <v>226</v>
      </c>
      <c r="I33" s="58" t="s">
        <v>612</v>
      </c>
      <c r="J33" s="58" t="s">
        <v>613</v>
      </c>
      <c r="K33" s="58" t="s">
        <v>226</v>
      </c>
      <c r="L33" s="58" t="s">
        <v>614</v>
      </c>
      <c r="M33" s="58" t="s">
        <v>615</v>
      </c>
      <c r="N33" s="58" t="s">
        <v>616</v>
      </c>
      <c r="O33" s="58" t="s">
        <v>617</v>
      </c>
      <c r="P33" s="58" t="s">
        <v>226</v>
      </c>
      <c r="Q33" s="58" t="s">
        <v>226</v>
      </c>
      <c r="R33" s="58">
        <v>1912</v>
      </c>
      <c r="S33" s="58" t="s">
        <v>226</v>
      </c>
      <c r="T33" s="59">
        <v>619</v>
      </c>
      <c r="U33" s="59">
        <v>292</v>
      </c>
      <c r="V33" s="59">
        <v>2482</v>
      </c>
      <c r="W33" s="59">
        <v>510</v>
      </c>
      <c r="X33" s="59">
        <v>8507</v>
      </c>
      <c r="Y33" s="59">
        <v>6251</v>
      </c>
      <c r="Z33" s="59">
        <v>428</v>
      </c>
      <c r="AA33" s="59">
        <v>451</v>
      </c>
      <c r="AB33" s="59">
        <v>8379</v>
      </c>
      <c r="AD33" s="56" t="s">
        <v>590</v>
      </c>
      <c r="AE33" s="59" t="s">
        <v>593</v>
      </c>
      <c r="AF33" s="59" t="s">
        <v>1225</v>
      </c>
      <c r="AG33" s="59" t="s">
        <v>548</v>
      </c>
      <c r="AH33" s="59" t="s">
        <v>587</v>
      </c>
      <c r="AI33" s="59" t="s">
        <v>547</v>
      </c>
      <c r="AJ33" s="59">
        <v>12</v>
      </c>
      <c r="AK33" s="59">
        <v>11</v>
      </c>
      <c r="AL33" s="59">
        <v>9</v>
      </c>
      <c r="AM33" s="59">
        <v>11</v>
      </c>
      <c r="AN33" s="59">
        <v>12</v>
      </c>
      <c r="AP33" s="56" t="s">
        <v>604</v>
      </c>
      <c r="AQ33" s="58">
        <v>2894</v>
      </c>
      <c r="AR33" s="59">
        <v>286</v>
      </c>
      <c r="AS33" s="59">
        <v>1857</v>
      </c>
      <c r="AT33" s="59">
        <v>1455</v>
      </c>
      <c r="AU33" s="59">
        <v>1051</v>
      </c>
      <c r="AV33" s="59">
        <v>3218</v>
      </c>
      <c r="AX33" s="99" t="s">
        <v>604</v>
      </c>
      <c r="AY33" s="98" t="s">
        <v>619</v>
      </c>
      <c r="AZ33" s="98" t="s">
        <v>226</v>
      </c>
      <c r="BA33" s="98">
        <v>6424</v>
      </c>
      <c r="BB33" s="98">
        <v>7030</v>
      </c>
      <c r="BC33" s="98">
        <v>6965</v>
      </c>
      <c r="BD33" s="98">
        <v>5841</v>
      </c>
      <c r="BE33" s="98">
        <v>9257</v>
      </c>
      <c r="BG33" s="99" t="s">
        <v>557</v>
      </c>
      <c r="BH33" s="99" t="s">
        <v>401</v>
      </c>
      <c r="BI33" s="98" t="s">
        <v>620</v>
      </c>
      <c r="BJ33" s="98" t="s">
        <v>621</v>
      </c>
      <c r="BN33" s="99" t="s">
        <v>588</v>
      </c>
      <c r="BO33" s="99" t="s">
        <v>604</v>
      </c>
      <c r="BP33" s="98" t="s">
        <v>1328</v>
      </c>
      <c r="BQ33" s="98" t="s">
        <v>1235</v>
      </c>
      <c r="BR33" s="98" t="s">
        <v>1217</v>
      </c>
      <c r="BS33" s="98" t="s">
        <v>226</v>
      </c>
      <c r="BT33" s="98" t="s">
        <v>622</v>
      </c>
      <c r="BU33" s="98" t="s">
        <v>623</v>
      </c>
      <c r="BV33" s="98" t="s">
        <v>226</v>
      </c>
      <c r="BW33" s="98" t="s">
        <v>226</v>
      </c>
      <c r="BX33" s="98" t="s">
        <v>226</v>
      </c>
      <c r="BY33" s="98" t="s">
        <v>624</v>
      </c>
      <c r="BZ33" s="60"/>
      <c r="CA33" s="327" t="s">
        <v>557</v>
      </c>
      <c r="CB33" s="327" t="s">
        <v>401</v>
      </c>
      <c r="CC33" s="316" t="s">
        <v>1265</v>
      </c>
      <c r="CD33" s="316" t="s">
        <v>1266</v>
      </c>
      <c r="CE33" s="316" t="s">
        <v>1267</v>
      </c>
      <c r="CF33" s="316" t="s">
        <v>1242</v>
      </c>
      <c r="CG33" s="316" t="s">
        <v>1149</v>
      </c>
      <c r="CH33" s="316" t="s">
        <v>1150</v>
      </c>
      <c r="CI33" s="316" t="s">
        <v>1151</v>
      </c>
      <c r="CJ33" s="316" t="s">
        <v>1152</v>
      </c>
      <c r="CK33" s="316" t="s">
        <v>1123</v>
      </c>
      <c r="CL33" s="316" t="s">
        <v>1124</v>
      </c>
      <c r="CM33" s="316" t="s">
        <v>1110</v>
      </c>
      <c r="CN33" s="316" t="s">
        <v>1111</v>
      </c>
      <c r="CP33" s="370" t="s">
        <v>552</v>
      </c>
      <c r="CQ33" s="368" t="s">
        <v>1406</v>
      </c>
    </row>
    <row r="34" spans="1:95" s="318" customFormat="1" ht="34.5" x14ac:dyDescent="0.35">
      <c r="A34" s="56" t="s">
        <v>618</v>
      </c>
      <c r="B34" s="58"/>
      <c r="C34" s="58" t="s">
        <v>1321</v>
      </c>
      <c r="D34" s="58" t="s">
        <v>1228</v>
      </c>
      <c r="E34" s="58" t="s">
        <v>517</v>
      </c>
      <c r="F34" s="58" t="s">
        <v>226</v>
      </c>
      <c r="G34" s="58" t="s">
        <v>625</v>
      </c>
      <c r="H34" s="58" t="s">
        <v>226</v>
      </c>
      <c r="I34" s="58" t="s">
        <v>626</v>
      </c>
      <c r="J34" s="58" t="s">
        <v>558</v>
      </c>
      <c r="K34" s="58" t="s">
        <v>226</v>
      </c>
      <c r="L34" s="58" t="s">
        <v>627</v>
      </c>
      <c r="M34" s="58" t="s">
        <v>628</v>
      </c>
      <c r="N34" s="58" t="s">
        <v>629</v>
      </c>
      <c r="O34" s="58" t="s">
        <v>630</v>
      </c>
      <c r="P34" s="58" t="s">
        <v>226</v>
      </c>
      <c r="Q34" s="58" t="s">
        <v>226</v>
      </c>
      <c r="R34" s="58">
        <v>27</v>
      </c>
      <c r="S34" s="58" t="s">
        <v>226</v>
      </c>
      <c r="T34" s="59">
        <v>30</v>
      </c>
      <c r="U34" s="59">
        <v>27</v>
      </c>
      <c r="V34" s="59">
        <v>77</v>
      </c>
      <c r="W34" s="59">
        <v>0</v>
      </c>
      <c r="X34" s="59">
        <v>147</v>
      </c>
      <c r="Y34" s="59">
        <v>170</v>
      </c>
      <c r="Z34" s="59">
        <v>90</v>
      </c>
      <c r="AA34" s="59">
        <v>43</v>
      </c>
      <c r="AB34" s="59">
        <v>354</v>
      </c>
      <c r="AD34" s="56" t="s">
        <v>595</v>
      </c>
      <c r="AE34" s="59"/>
      <c r="AF34" s="59" t="s">
        <v>1287</v>
      </c>
      <c r="AG34" s="59" t="s">
        <v>1288</v>
      </c>
      <c r="AH34" s="59" t="s">
        <v>1205</v>
      </c>
      <c r="AI34" s="59" t="s">
        <v>1206</v>
      </c>
      <c r="AJ34" s="59">
        <v>8539</v>
      </c>
      <c r="AK34" s="59">
        <v>1598</v>
      </c>
      <c r="AL34" s="59">
        <v>15354</v>
      </c>
      <c r="AM34" s="59">
        <v>5365</v>
      </c>
      <c r="AN34" s="59">
        <v>5645</v>
      </c>
      <c r="AP34" s="56" t="s">
        <v>618</v>
      </c>
      <c r="AQ34" s="58">
        <v>153</v>
      </c>
      <c r="AR34" s="59">
        <v>53</v>
      </c>
      <c r="AS34" s="59">
        <v>12</v>
      </c>
      <c r="AT34" s="59">
        <v>20</v>
      </c>
      <c r="AU34" s="59">
        <v>7</v>
      </c>
      <c r="AV34" s="59">
        <v>40</v>
      </c>
      <c r="AX34" s="99" t="s">
        <v>618</v>
      </c>
      <c r="AY34" s="98" t="s">
        <v>634</v>
      </c>
      <c r="AZ34" s="98" t="s">
        <v>226</v>
      </c>
      <c r="BA34" s="98">
        <v>0</v>
      </c>
      <c r="BB34" s="98">
        <v>10</v>
      </c>
      <c r="BC34" s="98">
        <v>20</v>
      </c>
      <c r="BD34" s="98">
        <v>33</v>
      </c>
      <c r="BE34" s="98">
        <v>0</v>
      </c>
      <c r="BG34" s="99" t="s">
        <v>557</v>
      </c>
      <c r="BH34" s="99" t="s">
        <v>402</v>
      </c>
      <c r="BI34" s="98" t="s">
        <v>635</v>
      </c>
      <c r="BJ34" s="98" t="s">
        <v>636</v>
      </c>
      <c r="BN34" s="99" t="s">
        <v>588</v>
      </c>
      <c r="BO34" s="99" t="s">
        <v>618</v>
      </c>
      <c r="BP34" s="98" t="s">
        <v>587</v>
      </c>
      <c r="BQ34" s="98" t="s">
        <v>1236</v>
      </c>
      <c r="BR34" s="98" t="s">
        <v>630</v>
      </c>
      <c r="BS34" s="98" t="s">
        <v>226</v>
      </c>
      <c r="BT34" s="98" t="s">
        <v>596</v>
      </c>
      <c r="BU34" s="98" t="s">
        <v>630</v>
      </c>
      <c r="BV34" s="98" t="s">
        <v>226</v>
      </c>
      <c r="BW34" s="98" t="s">
        <v>226</v>
      </c>
      <c r="BX34" s="98" t="s">
        <v>226</v>
      </c>
      <c r="BY34" s="98" t="s">
        <v>558</v>
      </c>
      <c r="CA34" s="327" t="s">
        <v>557</v>
      </c>
      <c r="CB34" s="327" t="s">
        <v>402</v>
      </c>
      <c r="CC34" s="316" t="s">
        <v>1268</v>
      </c>
      <c r="CD34" s="316" t="s">
        <v>1269</v>
      </c>
      <c r="CE34" s="316" t="s">
        <v>1270</v>
      </c>
      <c r="CF34" s="316" t="s">
        <v>1243</v>
      </c>
      <c r="CG34" s="316" t="s">
        <v>1153</v>
      </c>
      <c r="CH34" s="316" t="s">
        <v>1154</v>
      </c>
      <c r="CI34" s="316" t="s">
        <v>1155</v>
      </c>
      <c r="CJ34" s="316" t="s">
        <v>1156</v>
      </c>
      <c r="CK34" s="316" t="s">
        <v>1112</v>
      </c>
      <c r="CL34" s="316" t="s">
        <v>1125</v>
      </c>
      <c r="CM34" s="316" t="s">
        <v>1112</v>
      </c>
      <c r="CN34" s="316" t="s">
        <v>1113</v>
      </c>
      <c r="CP34" s="370" t="s">
        <v>554</v>
      </c>
      <c r="CQ34" s="368" t="s">
        <v>501</v>
      </c>
    </row>
    <row r="35" spans="1:95" s="318" customFormat="1" ht="100" x14ac:dyDescent="0.35">
      <c r="A35" s="56" t="s">
        <v>631</v>
      </c>
      <c r="B35" s="58"/>
      <c r="C35" s="58" t="s">
        <v>226</v>
      </c>
      <c r="D35" s="58" t="s">
        <v>1229</v>
      </c>
      <c r="E35" s="58" t="s">
        <v>1192</v>
      </c>
      <c r="F35" s="58" t="s">
        <v>961</v>
      </c>
      <c r="G35" s="58" t="s">
        <v>226</v>
      </c>
      <c r="H35" s="58" t="s">
        <v>256</v>
      </c>
      <c r="I35" s="58" t="s">
        <v>256</v>
      </c>
      <c r="J35" s="58" t="s">
        <v>256</v>
      </c>
      <c r="K35" s="58" t="s">
        <v>256</v>
      </c>
      <c r="L35" s="58" t="s">
        <v>256</v>
      </c>
      <c r="M35" s="58" t="s">
        <v>256</v>
      </c>
      <c r="N35" s="58" t="s">
        <v>256</v>
      </c>
      <c r="O35" s="58" t="s">
        <v>256</v>
      </c>
      <c r="P35" s="58" t="s">
        <v>637</v>
      </c>
      <c r="Q35" s="58" t="s">
        <v>638</v>
      </c>
      <c r="R35" s="58" t="s">
        <v>248</v>
      </c>
      <c r="S35" s="58" t="s">
        <v>639</v>
      </c>
      <c r="T35" s="58" t="s">
        <v>639</v>
      </c>
      <c r="U35" s="58" t="s">
        <v>638</v>
      </c>
      <c r="V35" s="58" t="s">
        <v>638</v>
      </c>
      <c r="W35" s="58" t="s">
        <v>638</v>
      </c>
      <c r="X35" s="58" t="s">
        <v>638</v>
      </c>
      <c r="Y35" s="58" t="s">
        <v>640</v>
      </c>
      <c r="Z35" s="58" t="s">
        <v>640</v>
      </c>
      <c r="AA35" s="58" t="s">
        <v>641</v>
      </c>
      <c r="AB35" s="58" t="s">
        <v>639</v>
      </c>
      <c r="AD35" s="56" t="s">
        <v>604</v>
      </c>
      <c r="AE35" s="59"/>
      <c r="AF35" s="59" t="s">
        <v>1289</v>
      </c>
      <c r="AG35" s="59" t="s">
        <v>1290</v>
      </c>
      <c r="AH35" s="59" t="s">
        <v>1207</v>
      </c>
      <c r="AI35" s="59" t="s">
        <v>1208</v>
      </c>
      <c r="AJ35" s="59">
        <v>2338</v>
      </c>
      <c r="AK35" s="59">
        <v>410</v>
      </c>
      <c r="AL35" s="59">
        <v>2461</v>
      </c>
      <c r="AM35" s="59">
        <v>830</v>
      </c>
      <c r="AN35" s="59">
        <v>1193</v>
      </c>
      <c r="AP35" s="56" t="s">
        <v>631</v>
      </c>
      <c r="AQ35" s="58" t="s">
        <v>638</v>
      </c>
      <c r="AR35" s="58" t="s">
        <v>642</v>
      </c>
      <c r="AS35" s="58" t="s">
        <v>639</v>
      </c>
      <c r="AT35" s="58" t="s">
        <v>643</v>
      </c>
      <c r="AU35" s="58" t="s">
        <v>644</v>
      </c>
      <c r="AV35" s="58" t="s">
        <v>645</v>
      </c>
      <c r="AX35" s="99" t="s">
        <v>631</v>
      </c>
      <c r="AY35" s="98" t="s">
        <v>226</v>
      </c>
      <c r="AZ35" s="98" t="s">
        <v>226</v>
      </c>
      <c r="BA35" s="98" t="s">
        <v>226</v>
      </c>
      <c r="BB35" s="98" t="s">
        <v>226</v>
      </c>
      <c r="BC35" s="98" t="s">
        <v>170</v>
      </c>
      <c r="BD35" s="98" t="s">
        <v>170</v>
      </c>
      <c r="BE35" s="98" t="s">
        <v>156</v>
      </c>
      <c r="BG35" s="99" t="s">
        <v>557</v>
      </c>
      <c r="BH35" s="99" t="s">
        <v>394</v>
      </c>
      <c r="BI35" s="98" t="s">
        <v>646</v>
      </c>
      <c r="BJ35" s="98" t="s">
        <v>647</v>
      </c>
      <c r="BN35" s="99" t="s">
        <v>648</v>
      </c>
      <c r="BO35" s="99" t="s">
        <v>631</v>
      </c>
      <c r="BP35" s="98" t="s">
        <v>226</v>
      </c>
      <c r="BQ35" s="98" t="s">
        <v>1237</v>
      </c>
      <c r="BR35" s="98" t="s">
        <v>1211</v>
      </c>
      <c r="BS35" s="98" t="s">
        <v>226</v>
      </c>
      <c r="BT35" s="98" t="s">
        <v>226</v>
      </c>
      <c r="BU35" s="98" t="s">
        <v>170</v>
      </c>
      <c r="BV35" s="98" t="s">
        <v>159</v>
      </c>
      <c r="BW35" s="98" t="s">
        <v>159</v>
      </c>
      <c r="BX35" s="98" t="s">
        <v>159</v>
      </c>
      <c r="BY35" s="98" t="s">
        <v>156</v>
      </c>
      <c r="CA35" s="327" t="s">
        <v>557</v>
      </c>
      <c r="CB35" s="327" t="s">
        <v>561</v>
      </c>
      <c r="CC35" s="316" t="s">
        <v>501</v>
      </c>
      <c r="CD35" s="316" t="s">
        <v>501</v>
      </c>
      <c r="CE35" s="316" t="s">
        <v>501</v>
      </c>
      <c r="CF35" s="316" t="s">
        <v>501</v>
      </c>
      <c r="CG35" s="316" t="s">
        <v>501</v>
      </c>
      <c r="CH35" s="316" t="s">
        <v>501</v>
      </c>
      <c r="CI35" s="316" t="s">
        <v>501</v>
      </c>
      <c r="CJ35" s="316" t="s">
        <v>501</v>
      </c>
      <c r="CK35" s="316" t="s">
        <v>501</v>
      </c>
      <c r="CL35" s="316" t="s">
        <v>501</v>
      </c>
      <c r="CM35" s="316" t="s">
        <v>501</v>
      </c>
      <c r="CN35" s="316" t="s">
        <v>514</v>
      </c>
      <c r="CP35" s="370" t="s">
        <v>399</v>
      </c>
      <c r="CQ35" s="368" t="s">
        <v>1407</v>
      </c>
    </row>
    <row r="36" spans="1:95" ht="23" x14ac:dyDescent="0.35">
      <c r="A36" s="56" t="s">
        <v>1347</v>
      </c>
      <c r="B36" s="58" t="s">
        <v>1031</v>
      </c>
      <c r="C36" s="367"/>
      <c r="D36" s="367"/>
      <c r="E36" s="367"/>
      <c r="F36" s="367"/>
      <c r="G36" s="367"/>
      <c r="H36" s="367"/>
      <c r="I36" s="367"/>
      <c r="J36" s="367"/>
      <c r="K36" s="367"/>
      <c r="L36" s="367"/>
      <c r="M36" s="367"/>
      <c r="N36" s="367"/>
      <c r="O36" s="367"/>
      <c r="P36" s="367"/>
      <c r="Q36" s="367"/>
      <c r="R36" s="367"/>
      <c r="S36" s="367"/>
      <c r="T36" s="367"/>
      <c r="U36" s="367"/>
      <c r="V36" s="367"/>
      <c r="W36" s="367"/>
      <c r="X36" s="367"/>
      <c r="Y36" s="367"/>
      <c r="Z36" s="367"/>
      <c r="AA36" s="367"/>
      <c r="AB36" s="367"/>
      <c r="AD36" s="56" t="s">
        <v>618</v>
      </c>
      <c r="AE36" s="59"/>
      <c r="AF36" s="59" t="s">
        <v>1291</v>
      </c>
      <c r="AG36" s="59" t="s">
        <v>596</v>
      </c>
      <c r="AH36" s="59" t="s">
        <v>1209</v>
      </c>
      <c r="AI36" s="59" t="s">
        <v>1210</v>
      </c>
      <c r="AJ36" s="59">
        <v>23</v>
      </c>
      <c r="AK36" s="59">
        <v>13</v>
      </c>
      <c r="AL36" s="59">
        <v>3</v>
      </c>
      <c r="AM36" s="59">
        <v>17</v>
      </c>
      <c r="AN36" s="59">
        <v>27</v>
      </c>
      <c r="BP36" s="99"/>
      <c r="BZ36" s="60"/>
      <c r="CA36" s="327" t="s">
        <v>557</v>
      </c>
      <c r="CB36" s="327" t="s">
        <v>394</v>
      </c>
      <c r="CC36" s="316" t="s">
        <v>1271</v>
      </c>
      <c r="CD36" s="316" t="s">
        <v>1272</v>
      </c>
      <c r="CE36" s="316" t="s">
        <v>1273</v>
      </c>
      <c r="CF36" s="316" t="s">
        <v>1244</v>
      </c>
      <c r="CG36" s="316" t="s">
        <v>1157</v>
      </c>
      <c r="CH36" s="316" t="s">
        <v>556</v>
      </c>
      <c r="CI36" s="316" t="s">
        <v>1158</v>
      </c>
      <c r="CJ36" s="316" t="s">
        <v>1159</v>
      </c>
      <c r="CK36" s="316" t="s">
        <v>1126</v>
      </c>
      <c r="CL36" s="316" t="s">
        <v>1127</v>
      </c>
      <c r="CM36" s="316" t="s">
        <v>1114</v>
      </c>
      <c r="CN36" s="316" t="s">
        <v>577</v>
      </c>
      <c r="CP36" s="370" t="s">
        <v>401</v>
      </c>
      <c r="CQ36" s="368" t="s">
        <v>1408</v>
      </c>
    </row>
    <row r="37" spans="1:95" ht="87.5" x14ac:dyDescent="0.35">
      <c r="AD37" s="56" t="s">
        <v>631</v>
      </c>
      <c r="AE37" s="58"/>
      <c r="AF37" s="58" t="s">
        <v>226</v>
      </c>
      <c r="AG37" s="58" t="s">
        <v>1211</v>
      </c>
      <c r="AH37" s="58" t="s">
        <v>1211</v>
      </c>
      <c r="AI37" s="58" t="s">
        <v>1212</v>
      </c>
      <c r="AJ37" s="58" t="s">
        <v>632</v>
      </c>
      <c r="AK37" s="58" t="s">
        <v>226</v>
      </c>
      <c r="AL37" s="58" t="s">
        <v>633</v>
      </c>
      <c r="AM37" s="58" t="s">
        <v>170</v>
      </c>
      <c r="AN37" s="58" t="s">
        <v>156</v>
      </c>
      <c r="BZ37" s="60"/>
      <c r="CA37" s="327" t="s">
        <v>557</v>
      </c>
      <c r="CB37" s="327" t="s">
        <v>574</v>
      </c>
      <c r="CC37" s="316" t="s">
        <v>501</v>
      </c>
      <c r="CD37" s="316" t="s">
        <v>501</v>
      </c>
      <c r="CE37" s="316" t="s">
        <v>501</v>
      </c>
      <c r="CF37" s="316" t="s">
        <v>501</v>
      </c>
      <c r="CG37" s="316" t="s">
        <v>501</v>
      </c>
      <c r="CH37" s="316" t="s">
        <v>501</v>
      </c>
      <c r="CI37" s="316" t="s">
        <v>501</v>
      </c>
      <c r="CJ37" s="316" t="s">
        <v>501</v>
      </c>
      <c r="CK37" s="316" t="s">
        <v>501</v>
      </c>
      <c r="CL37" s="316" t="s">
        <v>501</v>
      </c>
      <c r="CM37" s="316" t="s">
        <v>501</v>
      </c>
      <c r="CN37" s="316" t="s">
        <v>514</v>
      </c>
      <c r="CP37" s="370" t="s">
        <v>402</v>
      </c>
      <c r="CQ37" s="368" t="s">
        <v>1409</v>
      </c>
    </row>
    <row r="38" spans="1:95" ht="34.5" x14ac:dyDescent="0.35"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S38" s="58"/>
      <c r="BZ38" s="60"/>
      <c r="CA38" s="327" t="s">
        <v>588</v>
      </c>
      <c r="CB38" s="327" t="s">
        <v>583</v>
      </c>
      <c r="CC38" s="316" t="s">
        <v>226</v>
      </c>
      <c r="CD38" s="316" t="s">
        <v>226</v>
      </c>
      <c r="CE38" s="316" t="s">
        <v>226</v>
      </c>
      <c r="CF38" s="316" t="s">
        <v>540</v>
      </c>
      <c r="CG38" s="316" t="s">
        <v>226</v>
      </c>
      <c r="CH38" s="316" t="s">
        <v>540</v>
      </c>
      <c r="CI38" s="316" t="s">
        <v>540</v>
      </c>
      <c r="CJ38" s="316" t="s">
        <v>540</v>
      </c>
      <c r="CK38" s="316" t="s">
        <v>543</v>
      </c>
      <c r="CL38" s="316" t="s">
        <v>543</v>
      </c>
      <c r="CM38" s="316" t="s">
        <v>226</v>
      </c>
      <c r="CN38" s="316" t="s">
        <v>543</v>
      </c>
      <c r="CP38" s="370" t="s">
        <v>561</v>
      </c>
      <c r="CQ38" s="368" t="s">
        <v>501</v>
      </c>
    </row>
    <row r="39" spans="1:95" ht="34.5" x14ac:dyDescent="0.35">
      <c r="BZ39" s="60"/>
      <c r="CA39" s="327" t="s">
        <v>588</v>
      </c>
      <c r="CB39" s="327" t="s">
        <v>586</v>
      </c>
      <c r="CC39" s="316" t="s">
        <v>226</v>
      </c>
      <c r="CD39" s="316" t="s">
        <v>226</v>
      </c>
      <c r="CE39" s="316" t="s">
        <v>226</v>
      </c>
      <c r="CF39" s="316" t="s">
        <v>543</v>
      </c>
      <c r="CG39" s="316" t="s">
        <v>226</v>
      </c>
      <c r="CH39" s="316" t="s">
        <v>544</v>
      </c>
      <c r="CI39" s="316" t="s">
        <v>543</v>
      </c>
      <c r="CJ39" s="316" t="s">
        <v>544</v>
      </c>
      <c r="CK39" s="316" t="s">
        <v>584</v>
      </c>
      <c r="CL39" s="316" t="s">
        <v>584</v>
      </c>
      <c r="CM39" s="316" t="s">
        <v>226</v>
      </c>
      <c r="CN39" s="316" t="s">
        <v>585</v>
      </c>
      <c r="CP39" s="370" t="s">
        <v>563</v>
      </c>
      <c r="CQ39" s="368" t="s">
        <v>501</v>
      </c>
    </row>
    <row r="40" spans="1:95" ht="34.5" x14ac:dyDescent="0.35">
      <c r="BZ40" s="60"/>
      <c r="CA40" s="327" t="s">
        <v>588</v>
      </c>
      <c r="CB40" s="327" t="s">
        <v>590</v>
      </c>
      <c r="CC40" s="316" t="s">
        <v>226</v>
      </c>
      <c r="CD40" s="316" t="s">
        <v>226</v>
      </c>
      <c r="CE40" s="316" t="s">
        <v>226</v>
      </c>
      <c r="CF40" s="316" t="s">
        <v>559</v>
      </c>
      <c r="CG40" s="316" t="s">
        <v>226</v>
      </c>
      <c r="CH40" s="316" t="s">
        <v>587</v>
      </c>
      <c r="CI40" s="316" t="s">
        <v>559</v>
      </c>
      <c r="CJ40" s="316" t="s">
        <v>594</v>
      </c>
      <c r="CK40" s="316" t="s">
        <v>594</v>
      </c>
      <c r="CL40" s="316" t="s">
        <v>594</v>
      </c>
      <c r="CM40" s="316" t="s">
        <v>226</v>
      </c>
      <c r="CN40" s="316" t="s">
        <v>594</v>
      </c>
      <c r="CP40" s="370" t="s">
        <v>394</v>
      </c>
      <c r="CQ40" s="368" t="s">
        <v>1410</v>
      </c>
    </row>
    <row r="41" spans="1:95" ht="42" x14ac:dyDescent="0.35">
      <c r="BZ41" s="60"/>
      <c r="CA41" s="327" t="s">
        <v>648</v>
      </c>
      <c r="CB41" s="327" t="s">
        <v>631</v>
      </c>
      <c r="CC41" s="316" t="s">
        <v>1274</v>
      </c>
      <c r="CD41" s="316" t="s">
        <v>1162</v>
      </c>
      <c r="CE41" s="316" t="s">
        <v>1275</v>
      </c>
      <c r="CF41" s="316" t="s">
        <v>1160</v>
      </c>
      <c r="CG41" s="316" t="s">
        <v>1245</v>
      </c>
      <c r="CH41" s="316" t="s">
        <v>1161</v>
      </c>
      <c r="CI41" s="316" t="s">
        <v>1162</v>
      </c>
      <c r="CJ41" s="316" t="s">
        <v>1163</v>
      </c>
      <c r="CK41" s="316" t="s">
        <v>1168</v>
      </c>
      <c r="CL41" s="316" t="s">
        <v>1168</v>
      </c>
      <c r="CM41" s="316" t="s">
        <v>1169</v>
      </c>
      <c r="CN41" s="316" t="s">
        <v>1169</v>
      </c>
      <c r="CP41" s="370" t="s">
        <v>574</v>
      </c>
      <c r="CQ41" s="368" t="s">
        <v>501</v>
      </c>
    </row>
    <row r="42" spans="1:95" x14ac:dyDescent="0.35">
      <c r="AC42" s="60" t="s">
        <v>1413</v>
      </c>
      <c r="CP42" s="370" t="s">
        <v>583</v>
      </c>
      <c r="CQ42" s="368" t="s">
        <v>544</v>
      </c>
    </row>
    <row r="43" spans="1:95" x14ac:dyDescent="0.35">
      <c r="CP43" s="370" t="s">
        <v>586</v>
      </c>
      <c r="CQ43" s="368" t="s">
        <v>585</v>
      </c>
    </row>
    <row r="44" spans="1:95" x14ac:dyDescent="0.35">
      <c r="CP44" s="370" t="s">
        <v>590</v>
      </c>
      <c r="CQ44" s="368" t="s">
        <v>547</v>
      </c>
    </row>
    <row r="45" spans="1:95" x14ac:dyDescent="0.35">
      <c r="CP45" s="370" t="s">
        <v>1411</v>
      </c>
      <c r="CQ45" s="368" t="s">
        <v>1412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tabColor rgb="FF3333FF"/>
  </sheetPr>
  <dimension ref="A1:AU68"/>
  <sheetViews>
    <sheetView showGridLines="0" zoomScale="85" zoomScaleNormal="85" workbookViewId="0">
      <selection activeCell="U36" sqref="U36"/>
    </sheetView>
  </sheetViews>
  <sheetFormatPr baseColWidth="10" defaultColWidth="11.453125" defaultRowHeight="14.5" x14ac:dyDescent="0.35"/>
  <cols>
    <col min="1" max="1" width="17.453125" bestFit="1" customWidth="1"/>
    <col min="2" max="2" width="45.7265625" style="10" bestFit="1" customWidth="1"/>
    <col min="3" max="3" width="60.26953125" bestFit="1" customWidth="1"/>
    <col min="4" max="4" width="4.7265625" bestFit="1" customWidth="1"/>
    <col min="5" max="5" width="20.453125" customWidth="1"/>
    <col min="6" max="6" width="18.7265625" customWidth="1"/>
    <col min="7" max="7" width="14.453125" bestFit="1" customWidth="1"/>
    <col min="8" max="8" width="21.26953125" bestFit="1" customWidth="1"/>
    <col min="9" max="9" width="21.453125" bestFit="1" customWidth="1"/>
    <col min="10" max="10" width="12.7265625" bestFit="1" customWidth="1"/>
    <col min="11" max="11" width="21.26953125" customWidth="1"/>
    <col min="12" max="12" width="21.453125" bestFit="1" customWidth="1"/>
    <col min="13" max="13" width="4.7265625" customWidth="1"/>
    <col min="14" max="14" width="6.54296875" customWidth="1"/>
    <col min="15" max="15" width="10" customWidth="1"/>
    <col min="16" max="16" width="9" customWidth="1"/>
    <col min="17" max="17" width="4" customWidth="1"/>
    <col min="18" max="19" width="3.7265625" customWidth="1"/>
    <col min="20" max="20" width="4.26953125" customWidth="1"/>
    <col min="21" max="21" width="6.7265625" customWidth="1"/>
    <col min="22" max="22" width="9.26953125" customWidth="1"/>
    <col min="23" max="23" width="5.453125" customWidth="1"/>
    <col min="24" max="24" width="7" customWidth="1"/>
    <col min="25" max="25" width="6.453125" customWidth="1"/>
    <col min="26" max="26" width="4.7265625" customWidth="1"/>
    <col min="27" max="28" width="5" customWidth="1"/>
    <col min="29" max="29" width="5.26953125" customWidth="1"/>
    <col min="30" max="30" width="3.26953125" customWidth="1"/>
    <col min="31" max="31" width="2.7265625" customWidth="1"/>
    <col min="32" max="32" width="5.26953125" customWidth="1"/>
    <col min="33" max="33" width="4.26953125" customWidth="1"/>
    <col min="34" max="34" width="2.7265625" customWidth="1"/>
    <col min="35" max="35" width="5.54296875" customWidth="1"/>
    <col min="36" max="36" width="11.7265625" bestFit="1" customWidth="1"/>
    <col min="37" max="42" width="5.54296875" customWidth="1"/>
    <col min="43" max="43" width="6.453125" customWidth="1"/>
    <col min="44" max="44" width="22.7265625" customWidth="1"/>
    <col min="45" max="45" width="11.453125" customWidth="1"/>
    <col min="46" max="46" width="5.54296875" bestFit="1" customWidth="1"/>
    <col min="47" max="47" width="11.453125" customWidth="1"/>
  </cols>
  <sheetData>
    <row r="1" spans="1:47" ht="21" x14ac:dyDescent="0.35">
      <c r="A1" s="245" t="s">
        <v>103</v>
      </c>
      <c r="B1" s="246" t="s">
        <v>320</v>
      </c>
      <c r="C1" s="182" t="s">
        <v>321</v>
      </c>
      <c r="D1" s="247" t="s">
        <v>128</v>
      </c>
      <c r="E1" s="247" t="s">
        <v>322</v>
      </c>
      <c r="F1" s="247" t="s">
        <v>323</v>
      </c>
      <c r="G1" s="405" t="s">
        <v>324</v>
      </c>
      <c r="H1" s="405"/>
      <c r="I1" s="405"/>
      <c r="J1" s="405"/>
      <c r="K1" s="405"/>
      <c r="L1" s="405"/>
      <c r="M1" s="405" t="s">
        <v>325</v>
      </c>
      <c r="N1" s="405"/>
      <c r="O1" s="405"/>
      <c r="P1" s="405"/>
      <c r="Q1" s="405"/>
      <c r="R1" s="405"/>
      <c r="S1" s="405"/>
      <c r="T1" s="405"/>
      <c r="U1" s="405"/>
      <c r="V1" s="405"/>
      <c r="W1" s="405"/>
      <c r="X1" s="405"/>
      <c r="Y1" s="405"/>
      <c r="Z1" s="405"/>
      <c r="AA1" s="405"/>
      <c r="AB1" s="405"/>
      <c r="AC1" s="405"/>
      <c r="AD1" s="405"/>
      <c r="AE1" s="405"/>
      <c r="AF1" s="405"/>
      <c r="AG1" s="405"/>
      <c r="AH1" s="405"/>
      <c r="AI1" s="405" t="s">
        <v>326</v>
      </c>
      <c r="AJ1" s="405"/>
      <c r="AK1" s="405"/>
      <c r="AL1" s="405"/>
      <c r="AM1" s="405"/>
      <c r="AN1" s="405"/>
      <c r="AO1" s="405"/>
      <c r="AP1" s="405"/>
      <c r="AQ1" s="248" t="s">
        <v>327</v>
      </c>
      <c r="AR1" s="248" t="s">
        <v>328</v>
      </c>
      <c r="AS1" s="249"/>
      <c r="AT1" s="250" t="s">
        <v>329</v>
      </c>
    </row>
    <row r="2" spans="1:47" ht="80.650000000000006" customHeight="1" x14ac:dyDescent="0.35">
      <c r="A2" s="245" t="s">
        <v>103</v>
      </c>
      <c r="B2" s="182" t="s">
        <v>320</v>
      </c>
      <c r="C2" s="182" t="s">
        <v>321</v>
      </c>
      <c r="D2" s="182" t="s">
        <v>128</v>
      </c>
      <c r="E2" s="183" t="s">
        <v>330</v>
      </c>
      <c r="F2" s="182" t="s">
        <v>331</v>
      </c>
      <c r="G2" s="182" t="s">
        <v>332</v>
      </c>
      <c r="H2" s="182" t="s">
        <v>333</v>
      </c>
      <c r="I2" s="182" t="s">
        <v>334</v>
      </c>
      <c r="J2" s="182" t="s">
        <v>335</v>
      </c>
      <c r="K2" s="182" t="s">
        <v>336</v>
      </c>
      <c r="L2" s="182" t="s">
        <v>337</v>
      </c>
      <c r="M2" s="182" t="s">
        <v>338</v>
      </c>
      <c r="N2" s="182" t="s">
        <v>339</v>
      </c>
      <c r="O2" s="182" t="s">
        <v>340</v>
      </c>
      <c r="P2" s="182" t="s">
        <v>341</v>
      </c>
      <c r="Q2" s="182" t="s">
        <v>342</v>
      </c>
      <c r="R2" s="182" t="s">
        <v>343</v>
      </c>
      <c r="S2" s="182" t="s">
        <v>344</v>
      </c>
      <c r="T2" s="182" t="s">
        <v>345</v>
      </c>
      <c r="U2" s="182" t="s">
        <v>346</v>
      </c>
      <c r="V2" s="182" t="s">
        <v>347</v>
      </c>
      <c r="W2" s="182" t="s">
        <v>348</v>
      </c>
      <c r="X2" s="182" t="s">
        <v>349</v>
      </c>
      <c r="Y2" s="182" t="s">
        <v>350</v>
      </c>
      <c r="Z2" s="182" t="s">
        <v>351</v>
      </c>
      <c r="AA2" s="182" t="s">
        <v>352</v>
      </c>
      <c r="AB2" s="182" t="s">
        <v>353</v>
      </c>
      <c r="AC2" s="182" t="s">
        <v>354</v>
      </c>
      <c r="AD2" s="182" t="s">
        <v>355</v>
      </c>
      <c r="AE2" s="182" t="s">
        <v>356</v>
      </c>
      <c r="AF2" s="182" t="s">
        <v>357</v>
      </c>
      <c r="AG2" s="182" t="s">
        <v>358</v>
      </c>
      <c r="AH2" s="182" t="s">
        <v>359</v>
      </c>
      <c r="AI2" s="182" t="s">
        <v>360</v>
      </c>
      <c r="AJ2" s="182" t="s">
        <v>361</v>
      </c>
      <c r="AK2" s="182" t="s">
        <v>362</v>
      </c>
      <c r="AL2" s="182" t="s">
        <v>363</v>
      </c>
      <c r="AM2" s="182" t="s">
        <v>364</v>
      </c>
      <c r="AN2" s="182" t="s">
        <v>365</v>
      </c>
      <c r="AO2" s="182" t="s">
        <v>366</v>
      </c>
      <c r="AP2" s="182" t="s">
        <v>367</v>
      </c>
      <c r="AQ2" s="248"/>
      <c r="AR2" s="248"/>
      <c r="AS2" s="251"/>
      <c r="AT2" s="251"/>
    </row>
    <row r="3" spans="1:47" x14ac:dyDescent="0.35">
      <c r="A3" s="1" t="s">
        <v>954</v>
      </c>
      <c r="B3" s="189" t="s">
        <v>152</v>
      </c>
      <c r="C3" s="184">
        <v>44532</v>
      </c>
      <c r="D3" s="155">
        <v>0</v>
      </c>
      <c r="E3" s="185"/>
      <c r="F3" s="155">
        <v>6</v>
      </c>
      <c r="G3" s="185"/>
      <c r="H3" s="155">
        <v>2.85</v>
      </c>
      <c r="I3" s="185"/>
      <c r="J3" s="185"/>
      <c r="K3" s="185"/>
      <c r="L3" s="185"/>
      <c r="M3" s="155">
        <v>0</v>
      </c>
      <c r="N3" s="155">
        <v>0</v>
      </c>
      <c r="O3" s="155">
        <v>0</v>
      </c>
      <c r="P3" s="155">
        <v>0</v>
      </c>
      <c r="Q3" s="155">
        <v>0</v>
      </c>
      <c r="R3" s="155">
        <v>1</v>
      </c>
      <c r="S3" s="155">
        <v>0</v>
      </c>
      <c r="T3" s="155">
        <v>0</v>
      </c>
      <c r="U3" s="155">
        <v>6</v>
      </c>
      <c r="V3" s="155">
        <v>0</v>
      </c>
      <c r="W3" s="155">
        <v>2</v>
      </c>
      <c r="X3" s="155">
        <v>12</v>
      </c>
      <c r="Y3" s="155">
        <v>2943</v>
      </c>
      <c r="Z3" s="155">
        <v>0</v>
      </c>
      <c r="AA3" s="155">
        <v>902</v>
      </c>
      <c r="AB3" s="155">
        <v>1351</v>
      </c>
      <c r="AC3" s="155">
        <v>0</v>
      </c>
      <c r="AD3" s="155">
        <v>0</v>
      </c>
      <c r="AE3" s="155">
        <v>0</v>
      </c>
      <c r="AF3" s="155">
        <v>0</v>
      </c>
      <c r="AG3" s="155">
        <v>0</v>
      </c>
      <c r="AH3" s="155">
        <v>1</v>
      </c>
      <c r="AI3" s="155" t="s">
        <v>368</v>
      </c>
      <c r="AJ3" s="187">
        <v>1873</v>
      </c>
      <c r="AK3" s="187">
        <v>534</v>
      </c>
      <c r="AL3" s="187">
        <v>93</v>
      </c>
      <c r="AM3" s="187">
        <v>19</v>
      </c>
      <c r="AN3" s="187">
        <v>4</v>
      </c>
      <c r="AO3" s="187">
        <v>1</v>
      </c>
      <c r="AP3" s="187">
        <v>0</v>
      </c>
      <c r="AQ3" s="188"/>
      <c r="AR3" s="188"/>
      <c r="AS3" s="188"/>
      <c r="AT3" s="188"/>
    </row>
    <row r="4" spans="1:47" x14ac:dyDescent="0.35">
      <c r="A4" s="1" t="s">
        <v>954</v>
      </c>
      <c r="B4" s="189" t="s">
        <v>152</v>
      </c>
      <c r="C4" s="184">
        <v>44532</v>
      </c>
      <c r="D4" s="155">
        <v>0</v>
      </c>
      <c r="E4" s="185"/>
      <c r="F4" s="155">
        <v>5.93</v>
      </c>
      <c r="G4" s="185"/>
      <c r="H4" s="155">
        <v>2.85</v>
      </c>
      <c r="I4" s="185"/>
      <c r="J4" s="185"/>
      <c r="K4" s="185"/>
      <c r="L4" s="185"/>
      <c r="M4" s="155">
        <v>0</v>
      </c>
      <c r="N4" s="155">
        <v>0</v>
      </c>
      <c r="O4" s="155">
        <v>0</v>
      </c>
      <c r="P4" s="155">
        <v>0</v>
      </c>
      <c r="Q4" s="155">
        <v>0</v>
      </c>
      <c r="R4" s="155">
        <v>1</v>
      </c>
      <c r="S4" s="155">
        <v>0</v>
      </c>
      <c r="T4" s="155">
        <v>0</v>
      </c>
      <c r="U4" s="155">
        <v>6</v>
      </c>
      <c r="V4" s="155">
        <v>0</v>
      </c>
      <c r="W4" s="155">
        <v>2</v>
      </c>
      <c r="X4" s="155">
        <v>12</v>
      </c>
      <c r="Y4" s="155">
        <v>3030</v>
      </c>
      <c r="Z4" s="155">
        <v>0</v>
      </c>
      <c r="AA4" s="155">
        <v>854</v>
      </c>
      <c r="AB4" s="155">
        <v>1415</v>
      </c>
      <c r="AC4" s="155">
        <v>0</v>
      </c>
      <c r="AD4" s="155">
        <v>0</v>
      </c>
      <c r="AE4" s="155">
        <v>0</v>
      </c>
      <c r="AF4" s="155">
        <v>0</v>
      </c>
      <c r="AG4" s="155">
        <v>0</v>
      </c>
      <c r="AH4" s="155">
        <v>0</v>
      </c>
      <c r="AI4" s="155" t="s">
        <v>369</v>
      </c>
      <c r="AJ4" s="187">
        <v>2188</v>
      </c>
      <c r="AK4" s="187">
        <v>759</v>
      </c>
      <c r="AL4" s="187">
        <v>107</v>
      </c>
      <c r="AM4" s="187">
        <v>19</v>
      </c>
      <c r="AN4" s="187">
        <v>4</v>
      </c>
      <c r="AO4" s="187">
        <v>0</v>
      </c>
      <c r="AP4" s="187">
        <v>0</v>
      </c>
      <c r="AQ4" s="188"/>
      <c r="AR4" s="188"/>
      <c r="AS4" s="188"/>
      <c r="AT4" s="188"/>
    </row>
    <row r="5" spans="1:47" x14ac:dyDescent="0.35">
      <c r="A5" s="1" t="s">
        <v>954</v>
      </c>
      <c r="B5" s="189" t="s">
        <v>149</v>
      </c>
      <c r="C5" s="186">
        <v>44532</v>
      </c>
      <c r="D5" s="1">
        <v>0</v>
      </c>
      <c r="E5" s="13"/>
      <c r="F5" s="1">
        <v>18.010000000000002</v>
      </c>
      <c r="G5" s="13"/>
      <c r="H5" s="13"/>
      <c r="I5" s="13"/>
      <c r="J5" s="13"/>
      <c r="K5" s="13"/>
      <c r="L5" s="13"/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5</v>
      </c>
      <c r="V5" s="1">
        <v>0</v>
      </c>
      <c r="W5" s="1">
        <v>2</v>
      </c>
      <c r="X5" s="1">
        <v>11</v>
      </c>
      <c r="Y5" s="1">
        <v>3052</v>
      </c>
      <c r="Z5" s="1">
        <v>0</v>
      </c>
      <c r="AA5" s="1">
        <v>852</v>
      </c>
      <c r="AB5" s="1">
        <v>1331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</row>
    <row r="6" spans="1:47" x14ac:dyDescent="0.35">
      <c r="A6" s="1" t="s">
        <v>954</v>
      </c>
      <c r="B6" s="189" t="s">
        <v>149</v>
      </c>
      <c r="C6" s="186">
        <v>44532</v>
      </c>
      <c r="D6" s="1">
        <v>0</v>
      </c>
      <c r="E6" s="13"/>
      <c r="F6" s="1">
        <v>18.059999999999999</v>
      </c>
      <c r="G6" s="13"/>
      <c r="H6" s="13"/>
      <c r="I6" s="13"/>
      <c r="J6" s="13"/>
      <c r="K6" s="13"/>
      <c r="L6" s="13"/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5</v>
      </c>
      <c r="V6" s="1">
        <v>0</v>
      </c>
      <c r="W6" s="1">
        <v>2</v>
      </c>
      <c r="X6" s="1">
        <v>10</v>
      </c>
      <c r="Y6" s="1">
        <v>2684</v>
      </c>
      <c r="Z6" s="1">
        <v>0</v>
      </c>
      <c r="AA6" s="1">
        <v>860</v>
      </c>
      <c r="AB6" s="1">
        <v>1193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</row>
    <row r="7" spans="1:47" x14ac:dyDescent="0.35">
      <c r="A7" s="1" t="s">
        <v>954</v>
      </c>
      <c r="B7" s="189" t="s">
        <v>370</v>
      </c>
      <c r="C7" s="186">
        <v>44532</v>
      </c>
      <c r="D7" s="187">
        <v>0</v>
      </c>
      <c r="E7" s="188"/>
      <c r="F7" s="187">
        <v>79.33</v>
      </c>
      <c r="G7" s="188"/>
      <c r="H7" s="188"/>
      <c r="I7" s="188"/>
      <c r="J7" s="188"/>
      <c r="K7" s="188"/>
      <c r="L7" s="188"/>
      <c r="M7" s="187">
        <v>0</v>
      </c>
      <c r="N7" s="187">
        <v>0</v>
      </c>
      <c r="O7" s="187">
        <v>0</v>
      </c>
      <c r="P7" s="187">
        <v>0</v>
      </c>
      <c r="Q7" s="187">
        <v>0</v>
      </c>
      <c r="R7" s="187">
        <v>0</v>
      </c>
      <c r="S7" s="187">
        <v>0</v>
      </c>
      <c r="T7" s="187">
        <v>0</v>
      </c>
      <c r="U7" s="187">
        <v>23</v>
      </c>
      <c r="V7" s="187">
        <v>28</v>
      </c>
      <c r="W7" s="187">
        <v>0</v>
      </c>
      <c r="X7" s="187">
        <v>0</v>
      </c>
      <c r="Y7" s="187">
        <v>0</v>
      </c>
      <c r="Z7" s="187">
        <v>0</v>
      </c>
      <c r="AA7" s="187">
        <v>363</v>
      </c>
      <c r="AB7" s="187">
        <v>0</v>
      </c>
      <c r="AC7" s="187">
        <v>0</v>
      </c>
      <c r="AD7" s="187">
        <v>0</v>
      </c>
      <c r="AE7" s="187">
        <v>0</v>
      </c>
      <c r="AF7" s="187">
        <v>0</v>
      </c>
      <c r="AG7" s="187">
        <v>0</v>
      </c>
      <c r="AH7" s="187">
        <v>0</v>
      </c>
      <c r="AI7" s="188"/>
      <c r="AJ7" s="188"/>
      <c r="AK7" s="188"/>
      <c r="AL7" s="188"/>
      <c r="AM7" s="188"/>
      <c r="AN7" s="188"/>
      <c r="AO7" s="188"/>
      <c r="AP7" s="188"/>
      <c r="AQ7" s="188"/>
      <c r="AR7" s="188"/>
      <c r="AS7" s="188"/>
      <c r="AT7" s="188"/>
    </row>
    <row r="8" spans="1:47" x14ac:dyDescent="0.35">
      <c r="A8" s="1" t="s">
        <v>954</v>
      </c>
      <c r="B8" s="189" t="s">
        <v>370</v>
      </c>
      <c r="C8" s="186">
        <v>44532</v>
      </c>
      <c r="D8" s="187">
        <v>0</v>
      </c>
      <c r="E8" s="188"/>
      <c r="F8" s="187">
        <v>79.3</v>
      </c>
      <c r="G8" s="188"/>
      <c r="H8" s="188"/>
      <c r="I8" s="188"/>
      <c r="J8" s="188"/>
      <c r="K8" s="188"/>
      <c r="L8" s="188"/>
      <c r="M8" s="187">
        <v>0</v>
      </c>
      <c r="N8" s="187">
        <v>0</v>
      </c>
      <c r="O8" s="187">
        <v>0</v>
      </c>
      <c r="P8" s="187">
        <v>0</v>
      </c>
      <c r="Q8" s="187">
        <v>0</v>
      </c>
      <c r="R8" s="187">
        <v>0</v>
      </c>
      <c r="S8" s="187">
        <v>0</v>
      </c>
      <c r="T8" s="187">
        <v>0</v>
      </c>
      <c r="U8" s="187">
        <v>22</v>
      </c>
      <c r="V8" s="187">
        <v>27</v>
      </c>
      <c r="W8" s="187">
        <v>0</v>
      </c>
      <c r="X8" s="187">
        <v>0</v>
      </c>
      <c r="Y8" s="187">
        <v>0</v>
      </c>
      <c r="Z8" s="187">
        <v>0</v>
      </c>
      <c r="AA8" s="187">
        <v>321</v>
      </c>
      <c r="AB8" s="187">
        <v>0</v>
      </c>
      <c r="AC8" s="187">
        <v>0</v>
      </c>
      <c r="AD8" s="187">
        <v>0</v>
      </c>
      <c r="AE8" s="187">
        <v>0</v>
      </c>
      <c r="AF8" s="187">
        <v>0</v>
      </c>
      <c r="AG8" s="187">
        <v>0</v>
      </c>
      <c r="AH8" s="187">
        <v>0</v>
      </c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</row>
    <row r="9" spans="1:47" x14ac:dyDescent="0.35">
      <c r="A9" s="1" t="s">
        <v>954</v>
      </c>
      <c r="B9" s="189" t="s">
        <v>371</v>
      </c>
      <c r="C9" s="186">
        <v>44532</v>
      </c>
      <c r="D9" s="1">
        <v>0</v>
      </c>
      <c r="E9" s="13"/>
      <c r="F9" s="1">
        <v>15.32</v>
      </c>
      <c r="G9" s="1">
        <v>2.97</v>
      </c>
      <c r="H9" s="1">
        <v>13.69</v>
      </c>
      <c r="I9" s="1">
        <v>6.52</v>
      </c>
      <c r="J9" s="1">
        <v>19.32</v>
      </c>
      <c r="K9" s="1">
        <v>0</v>
      </c>
      <c r="L9" s="1">
        <v>0</v>
      </c>
      <c r="M9" s="1">
        <v>1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9</v>
      </c>
      <c r="V9" s="1">
        <v>50</v>
      </c>
      <c r="W9" s="1">
        <v>2</v>
      </c>
      <c r="X9" s="1">
        <v>384</v>
      </c>
      <c r="Y9" s="1">
        <v>2033</v>
      </c>
      <c r="Z9" s="1">
        <v>0</v>
      </c>
      <c r="AA9" s="1">
        <v>1074</v>
      </c>
      <c r="AB9" s="1">
        <v>1567</v>
      </c>
      <c r="AC9" s="1">
        <v>0</v>
      </c>
      <c r="AD9" s="1">
        <v>0</v>
      </c>
      <c r="AE9" s="1">
        <v>1</v>
      </c>
      <c r="AF9" s="1">
        <v>0</v>
      </c>
      <c r="AG9" s="1">
        <v>0</v>
      </c>
      <c r="AH9" s="1">
        <v>2</v>
      </c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">
        <v>9.42</v>
      </c>
    </row>
    <row r="10" spans="1:47" x14ac:dyDescent="0.35">
      <c r="A10" s="1" t="s">
        <v>954</v>
      </c>
      <c r="B10" s="189" t="s">
        <v>371</v>
      </c>
      <c r="C10" s="186">
        <v>44532</v>
      </c>
      <c r="D10" s="1">
        <v>0</v>
      </c>
      <c r="E10" s="13"/>
      <c r="F10" s="1">
        <v>15.35</v>
      </c>
      <c r="G10" s="1">
        <v>2.96</v>
      </c>
      <c r="H10" s="1">
        <v>13.66</v>
      </c>
      <c r="I10" s="1">
        <v>6.51</v>
      </c>
      <c r="J10" s="1">
        <v>19.309999999999999</v>
      </c>
      <c r="K10" s="1">
        <v>0</v>
      </c>
      <c r="L10" s="1">
        <v>0</v>
      </c>
      <c r="M10" s="1">
        <v>1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8</v>
      </c>
      <c r="V10" s="1">
        <v>52</v>
      </c>
      <c r="W10" s="1">
        <v>2</v>
      </c>
      <c r="X10" s="1">
        <v>379</v>
      </c>
      <c r="Y10" s="1">
        <v>2125</v>
      </c>
      <c r="Z10" s="1">
        <v>0</v>
      </c>
      <c r="AA10" s="1">
        <v>1064</v>
      </c>
      <c r="AB10" s="1">
        <v>1582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2</v>
      </c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">
        <v>9.39</v>
      </c>
    </row>
    <row r="11" spans="1:47" x14ac:dyDescent="0.35">
      <c r="A11" s="1" t="s">
        <v>954</v>
      </c>
      <c r="B11" s="193" t="s">
        <v>372</v>
      </c>
      <c r="C11" s="194">
        <v>44636</v>
      </c>
      <c r="D11" s="195">
        <v>0</v>
      </c>
      <c r="E11" s="196"/>
      <c r="F11" s="195">
        <v>77.22</v>
      </c>
      <c r="G11" s="195"/>
      <c r="H11" s="195"/>
      <c r="I11" s="195"/>
      <c r="J11" s="195"/>
      <c r="K11" s="195"/>
      <c r="L11" s="195" t="s">
        <v>373</v>
      </c>
      <c r="M11" s="195">
        <v>0</v>
      </c>
      <c r="N11" s="195">
        <v>0</v>
      </c>
      <c r="O11" s="195">
        <v>0</v>
      </c>
      <c r="P11" s="195">
        <v>0</v>
      </c>
      <c r="Q11" s="195">
        <v>0</v>
      </c>
      <c r="R11" s="195">
        <v>0</v>
      </c>
      <c r="S11" s="195">
        <v>0</v>
      </c>
      <c r="T11" s="195">
        <v>0</v>
      </c>
      <c r="U11" s="195">
        <v>21</v>
      </c>
      <c r="V11" s="197">
        <v>2.2000000000000002</v>
      </c>
      <c r="W11" s="195">
        <v>0</v>
      </c>
      <c r="X11" s="195">
        <v>0.15</v>
      </c>
      <c r="Y11" s="195">
        <v>3</v>
      </c>
      <c r="Z11" s="195">
        <v>0</v>
      </c>
      <c r="AA11" s="195">
        <v>350</v>
      </c>
      <c r="AB11" s="195">
        <v>0.83</v>
      </c>
      <c r="AC11" s="195">
        <v>0</v>
      </c>
      <c r="AD11" s="195">
        <v>0</v>
      </c>
      <c r="AE11" s="195">
        <v>0</v>
      </c>
      <c r="AF11" s="195">
        <v>0</v>
      </c>
      <c r="AG11" s="195">
        <v>0</v>
      </c>
      <c r="AH11" s="195">
        <v>0</v>
      </c>
      <c r="AI11" s="196" t="s">
        <v>374</v>
      </c>
      <c r="AJ11" s="196">
        <v>14233</v>
      </c>
      <c r="AK11" s="196">
        <v>2255</v>
      </c>
      <c r="AL11" s="196">
        <v>340</v>
      </c>
      <c r="AM11" s="196">
        <v>223</v>
      </c>
      <c r="AN11" s="196">
        <v>56</v>
      </c>
      <c r="AO11" s="196">
        <v>0</v>
      </c>
      <c r="AP11" s="196">
        <v>0</v>
      </c>
      <c r="AQ11" s="196"/>
      <c r="AR11" s="196"/>
      <c r="AS11" s="196"/>
      <c r="AT11" s="196">
        <v>1.24</v>
      </c>
    </row>
    <row r="12" spans="1:47" x14ac:dyDescent="0.35">
      <c r="A12" s="1" t="s">
        <v>954</v>
      </c>
      <c r="B12" s="191" t="s">
        <v>260</v>
      </c>
      <c r="C12" s="192">
        <v>44833</v>
      </c>
      <c r="D12" s="180">
        <v>6</v>
      </c>
      <c r="E12" s="180"/>
      <c r="F12" s="181">
        <v>6.06</v>
      </c>
      <c r="G12" s="180"/>
      <c r="H12" s="180">
        <v>6.68</v>
      </c>
      <c r="I12" s="180"/>
      <c r="J12" s="180"/>
      <c r="K12" s="180"/>
      <c r="L12" s="180"/>
      <c r="M12" s="180">
        <v>0</v>
      </c>
      <c r="N12" s="180">
        <v>0</v>
      </c>
      <c r="O12" s="180">
        <v>0</v>
      </c>
      <c r="P12" s="180">
        <v>0</v>
      </c>
      <c r="Q12" s="180">
        <v>0</v>
      </c>
      <c r="R12" s="180">
        <v>0</v>
      </c>
      <c r="S12" s="180">
        <v>0</v>
      </c>
      <c r="T12" s="180">
        <v>0</v>
      </c>
      <c r="U12" s="180">
        <v>11</v>
      </c>
      <c r="V12" s="180">
        <v>0</v>
      </c>
      <c r="W12" s="180">
        <v>0</v>
      </c>
      <c r="X12" s="180">
        <v>10</v>
      </c>
      <c r="Y12" s="180">
        <v>2680</v>
      </c>
      <c r="Z12" s="180">
        <v>0</v>
      </c>
      <c r="AA12" s="180">
        <v>989</v>
      </c>
      <c r="AB12" s="180">
        <v>1150</v>
      </c>
      <c r="AC12" s="180">
        <v>0</v>
      </c>
      <c r="AD12" s="180">
        <v>0</v>
      </c>
      <c r="AE12" s="180">
        <v>0</v>
      </c>
      <c r="AF12" s="180">
        <v>0</v>
      </c>
      <c r="AG12" s="180">
        <v>0</v>
      </c>
      <c r="AH12" s="180">
        <v>0</v>
      </c>
      <c r="AI12" s="180" t="s">
        <v>375</v>
      </c>
      <c r="AJ12" s="168">
        <v>125733.77</v>
      </c>
      <c r="AK12" s="168">
        <v>44315.64</v>
      </c>
      <c r="AL12" s="168">
        <v>8641.16</v>
      </c>
      <c r="AM12" s="168">
        <v>255.45</v>
      </c>
      <c r="AN12" s="168">
        <v>11.02</v>
      </c>
      <c r="AO12" s="168">
        <v>0</v>
      </c>
      <c r="AP12" s="170">
        <v>0</v>
      </c>
      <c r="AQ12" s="170"/>
      <c r="AR12" s="170"/>
      <c r="AS12" s="171"/>
      <c r="AT12" s="172"/>
      <c r="AU12" s="243"/>
    </row>
    <row r="13" spans="1:47" x14ac:dyDescent="0.35">
      <c r="A13" s="1" t="s">
        <v>954</v>
      </c>
      <c r="B13" s="191" t="s">
        <v>260</v>
      </c>
      <c r="C13" s="192">
        <v>44833</v>
      </c>
      <c r="D13" s="180">
        <v>6</v>
      </c>
      <c r="E13" s="180"/>
      <c r="F13" s="181">
        <v>6.1</v>
      </c>
      <c r="G13" s="180"/>
      <c r="H13" s="180">
        <v>6.7</v>
      </c>
      <c r="I13" s="180"/>
      <c r="J13" s="180"/>
      <c r="K13" s="180"/>
      <c r="L13" s="180"/>
      <c r="M13" s="180">
        <v>0</v>
      </c>
      <c r="N13" s="180">
        <v>0</v>
      </c>
      <c r="O13" s="180">
        <v>0</v>
      </c>
      <c r="P13" s="180">
        <v>0</v>
      </c>
      <c r="Q13" s="180">
        <v>0</v>
      </c>
      <c r="R13" s="180">
        <v>0</v>
      </c>
      <c r="S13" s="180">
        <v>0</v>
      </c>
      <c r="T13" s="180">
        <v>0</v>
      </c>
      <c r="U13" s="180">
        <v>12</v>
      </c>
      <c r="V13" s="180">
        <v>0</v>
      </c>
      <c r="W13" s="180">
        <v>0</v>
      </c>
      <c r="X13" s="180">
        <v>10</v>
      </c>
      <c r="Y13" s="180">
        <v>2670</v>
      </c>
      <c r="Z13" s="180">
        <v>0</v>
      </c>
      <c r="AA13" s="180">
        <v>969</v>
      </c>
      <c r="AB13" s="180">
        <v>1200</v>
      </c>
      <c r="AC13" s="180">
        <v>0</v>
      </c>
      <c r="AD13" s="180">
        <v>0</v>
      </c>
      <c r="AE13" s="180">
        <v>0</v>
      </c>
      <c r="AF13" s="180">
        <v>0</v>
      </c>
      <c r="AG13" s="180">
        <v>0</v>
      </c>
      <c r="AH13" s="180">
        <v>0</v>
      </c>
      <c r="AI13" s="180" t="s">
        <v>375</v>
      </c>
      <c r="AJ13" s="168">
        <v>125621.64</v>
      </c>
      <c r="AK13" s="168">
        <v>43730.53</v>
      </c>
      <c r="AL13" s="168">
        <v>8904.66</v>
      </c>
      <c r="AM13" s="168">
        <v>278.02</v>
      </c>
      <c r="AN13" s="168">
        <v>13</v>
      </c>
      <c r="AO13" s="168">
        <v>0</v>
      </c>
      <c r="AP13" s="170">
        <v>0</v>
      </c>
      <c r="AQ13" s="170"/>
      <c r="AR13" s="170"/>
      <c r="AS13" s="171"/>
      <c r="AT13" s="172"/>
      <c r="AU13" s="243"/>
    </row>
    <row r="14" spans="1:47" x14ac:dyDescent="0.35">
      <c r="A14" s="1" t="s">
        <v>954</v>
      </c>
      <c r="B14" s="191" t="s">
        <v>261</v>
      </c>
      <c r="C14" s="192">
        <v>44833</v>
      </c>
      <c r="D14" s="168">
        <v>0</v>
      </c>
      <c r="E14" s="168"/>
      <c r="F14" s="169">
        <v>18.079999999999998</v>
      </c>
      <c r="G14" s="168"/>
      <c r="H14" s="168">
        <v>2.6</v>
      </c>
      <c r="I14" s="168"/>
      <c r="J14" s="168"/>
      <c r="K14" s="168"/>
      <c r="L14" s="168"/>
      <c r="M14" s="168">
        <v>0</v>
      </c>
      <c r="N14" s="168">
        <v>0</v>
      </c>
      <c r="O14" s="168">
        <v>0</v>
      </c>
      <c r="P14" s="168">
        <v>0</v>
      </c>
      <c r="Q14" s="168">
        <v>0</v>
      </c>
      <c r="R14" s="168">
        <v>0</v>
      </c>
      <c r="S14" s="168">
        <v>0</v>
      </c>
      <c r="T14" s="168">
        <v>0</v>
      </c>
      <c r="U14" s="168">
        <v>2</v>
      </c>
      <c r="V14" s="168">
        <v>0</v>
      </c>
      <c r="W14" s="168">
        <v>1</v>
      </c>
      <c r="X14" s="168">
        <v>10</v>
      </c>
      <c r="Y14" s="168">
        <v>2600</v>
      </c>
      <c r="Z14" s="168">
        <v>0</v>
      </c>
      <c r="AA14" s="168">
        <v>925</v>
      </c>
      <c r="AB14" s="168">
        <v>1264</v>
      </c>
      <c r="AC14" s="168">
        <v>0</v>
      </c>
      <c r="AD14" s="168">
        <v>0</v>
      </c>
      <c r="AE14" s="168">
        <v>0</v>
      </c>
      <c r="AF14" s="168">
        <v>0</v>
      </c>
      <c r="AG14" s="168">
        <v>0</v>
      </c>
      <c r="AH14" s="168">
        <v>0</v>
      </c>
      <c r="AI14" s="168"/>
      <c r="AJ14" s="173"/>
      <c r="AK14" s="173"/>
      <c r="AL14" s="173"/>
      <c r="AM14" s="173"/>
      <c r="AN14" s="173"/>
      <c r="AO14" s="173"/>
      <c r="AP14" s="173"/>
      <c r="AQ14" s="170"/>
      <c r="AR14" s="170"/>
      <c r="AS14" s="171"/>
      <c r="AT14" s="172"/>
      <c r="AU14" s="243"/>
    </row>
    <row r="15" spans="1:47" x14ac:dyDescent="0.35">
      <c r="A15" s="1" t="s">
        <v>954</v>
      </c>
      <c r="B15" s="191" t="s">
        <v>261</v>
      </c>
      <c r="C15" s="192">
        <v>44833</v>
      </c>
      <c r="D15" s="168">
        <v>0</v>
      </c>
      <c r="E15" s="168"/>
      <c r="F15" s="169">
        <v>18.170000000000002</v>
      </c>
      <c r="G15" s="168"/>
      <c r="H15" s="168">
        <v>2.62</v>
      </c>
      <c r="I15" s="168"/>
      <c r="J15" s="168"/>
      <c r="K15" s="168"/>
      <c r="L15" s="168"/>
      <c r="M15" s="168">
        <v>0</v>
      </c>
      <c r="N15" s="168">
        <v>0</v>
      </c>
      <c r="O15" s="168">
        <v>0</v>
      </c>
      <c r="P15" s="168">
        <v>0</v>
      </c>
      <c r="Q15" s="168">
        <v>0</v>
      </c>
      <c r="R15" s="168">
        <v>0</v>
      </c>
      <c r="S15" s="168">
        <v>0</v>
      </c>
      <c r="T15" s="168">
        <v>0</v>
      </c>
      <c r="U15" s="168">
        <v>2</v>
      </c>
      <c r="V15" s="168">
        <v>0</v>
      </c>
      <c r="W15" s="168">
        <v>1</v>
      </c>
      <c r="X15" s="168">
        <v>10</v>
      </c>
      <c r="Y15" s="168">
        <v>2670</v>
      </c>
      <c r="Z15" s="168">
        <v>0</v>
      </c>
      <c r="AA15" s="168">
        <v>940</v>
      </c>
      <c r="AB15" s="168">
        <v>1249</v>
      </c>
      <c r="AC15" s="168">
        <v>0</v>
      </c>
      <c r="AD15" s="168">
        <v>0</v>
      </c>
      <c r="AE15" s="168">
        <v>0</v>
      </c>
      <c r="AF15" s="168">
        <v>0</v>
      </c>
      <c r="AG15" s="168">
        <v>0</v>
      </c>
      <c r="AH15" s="168">
        <v>0</v>
      </c>
      <c r="AI15" s="168"/>
      <c r="AJ15" s="173"/>
      <c r="AK15" s="173"/>
      <c r="AL15" s="173"/>
      <c r="AM15" s="173"/>
      <c r="AN15" s="173"/>
      <c r="AO15" s="173"/>
      <c r="AP15" s="173"/>
      <c r="AQ15" s="170"/>
      <c r="AR15" s="170"/>
      <c r="AS15" s="171"/>
      <c r="AT15" s="172"/>
      <c r="AU15" s="243"/>
    </row>
    <row r="16" spans="1:47" x14ac:dyDescent="0.35">
      <c r="A16" s="1" t="s">
        <v>954</v>
      </c>
      <c r="B16" s="191" t="s">
        <v>245</v>
      </c>
      <c r="C16" s="192">
        <v>44833</v>
      </c>
      <c r="D16" s="168">
        <v>0</v>
      </c>
      <c r="E16" s="168"/>
      <c r="F16" s="169">
        <v>77.88</v>
      </c>
      <c r="G16" s="168"/>
      <c r="H16" s="168"/>
      <c r="I16" s="168"/>
      <c r="J16" s="168"/>
      <c r="K16" s="168"/>
      <c r="L16" s="168"/>
      <c r="M16" s="168">
        <v>0</v>
      </c>
      <c r="N16" s="168">
        <v>0</v>
      </c>
      <c r="O16" s="168">
        <v>0</v>
      </c>
      <c r="P16" s="168">
        <v>0</v>
      </c>
      <c r="Q16" s="168">
        <v>0</v>
      </c>
      <c r="R16" s="168">
        <v>0</v>
      </c>
      <c r="S16" s="168">
        <v>0</v>
      </c>
      <c r="T16" s="168">
        <v>0</v>
      </c>
      <c r="U16" s="168">
        <v>24</v>
      </c>
      <c r="V16" s="168">
        <v>0</v>
      </c>
      <c r="W16" s="168">
        <v>0</v>
      </c>
      <c r="X16" s="168">
        <v>0</v>
      </c>
      <c r="Y16" s="168">
        <v>1</v>
      </c>
      <c r="Z16" s="168">
        <v>0</v>
      </c>
      <c r="AA16" s="168">
        <v>682</v>
      </c>
      <c r="AB16" s="168">
        <v>1</v>
      </c>
      <c r="AC16" s="168">
        <v>0</v>
      </c>
      <c r="AD16" s="168">
        <v>0</v>
      </c>
      <c r="AE16" s="168">
        <v>0</v>
      </c>
      <c r="AF16" s="168">
        <v>0</v>
      </c>
      <c r="AG16" s="168">
        <v>0</v>
      </c>
      <c r="AH16" s="168">
        <v>0</v>
      </c>
      <c r="AI16" s="168"/>
      <c r="AJ16" s="168"/>
      <c r="AK16" s="168"/>
      <c r="AL16" s="168"/>
      <c r="AM16" s="168"/>
      <c r="AN16" s="168"/>
      <c r="AO16" s="168"/>
      <c r="AP16" s="168"/>
      <c r="AQ16" s="170"/>
      <c r="AR16" s="170"/>
      <c r="AS16" s="171"/>
      <c r="AT16" s="172"/>
      <c r="AU16" s="243"/>
    </row>
    <row r="17" spans="1:47" x14ac:dyDescent="0.35">
      <c r="A17" s="1" t="s">
        <v>954</v>
      </c>
      <c r="B17" s="191" t="s">
        <v>245</v>
      </c>
      <c r="C17" s="192">
        <v>44833</v>
      </c>
      <c r="D17" s="168">
        <v>0</v>
      </c>
      <c r="E17" s="168"/>
      <c r="F17" s="169">
        <v>77.73</v>
      </c>
      <c r="G17" s="168"/>
      <c r="H17" s="168"/>
      <c r="I17" s="168"/>
      <c r="J17" s="168"/>
      <c r="K17" s="168"/>
      <c r="L17" s="168"/>
      <c r="M17" s="168">
        <v>0</v>
      </c>
      <c r="N17" s="168">
        <v>0</v>
      </c>
      <c r="O17" s="168">
        <v>0</v>
      </c>
      <c r="P17" s="168">
        <v>0</v>
      </c>
      <c r="Q17" s="168">
        <v>0</v>
      </c>
      <c r="R17" s="168">
        <v>0</v>
      </c>
      <c r="S17" s="168">
        <v>0</v>
      </c>
      <c r="T17" s="168">
        <v>0</v>
      </c>
      <c r="U17" s="168">
        <v>24</v>
      </c>
      <c r="V17" s="168">
        <v>0</v>
      </c>
      <c r="W17" s="168">
        <v>0</v>
      </c>
      <c r="X17" s="168">
        <v>0</v>
      </c>
      <c r="Y17" s="168">
        <v>1</v>
      </c>
      <c r="Z17" s="168">
        <v>0</v>
      </c>
      <c r="AA17" s="168">
        <v>666</v>
      </c>
      <c r="AB17" s="168">
        <v>1</v>
      </c>
      <c r="AC17" s="168">
        <v>0</v>
      </c>
      <c r="AD17" s="168">
        <v>0</v>
      </c>
      <c r="AE17" s="168">
        <v>0</v>
      </c>
      <c r="AF17" s="168">
        <v>0</v>
      </c>
      <c r="AG17" s="168">
        <v>0</v>
      </c>
      <c r="AH17" s="168">
        <v>0</v>
      </c>
      <c r="AI17" s="168"/>
      <c r="AJ17" s="168"/>
      <c r="AK17" s="168"/>
      <c r="AL17" s="168"/>
      <c r="AM17" s="168"/>
      <c r="AN17" s="168"/>
      <c r="AO17" s="168"/>
      <c r="AP17" s="168"/>
      <c r="AQ17" s="170"/>
      <c r="AR17" s="170"/>
      <c r="AS17" s="171"/>
      <c r="AT17" s="172"/>
      <c r="AU17" s="243"/>
    </row>
    <row r="18" spans="1:47" ht="15" customHeight="1" x14ac:dyDescent="0.35">
      <c r="A18" s="1" t="s">
        <v>954</v>
      </c>
      <c r="B18" s="191" t="s">
        <v>376</v>
      </c>
      <c r="C18" s="192">
        <v>44833</v>
      </c>
      <c r="D18" s="174">
        <v>0</v>
      </c>
      <c r="E18" s="175"/>
      <c r="F18" s="174">
        <v>15.42</v>
      </c>
      <c r="G18" s="176">
        <v>3.88</v>
      </c>
      <c r="H18" s="176">
        <v>8.48</v>
      </c>
      <c r="I18" s="176">
        <v>4.7300000000000004</v>
      </c>
      <c r="J18" s="176">
        <v>17.13</v>
      </c>
      <c r="K18" s="176">
        <v>0</v>
      </c>
      <c r="L18" s="176">
        <v>0</v>
      </c>
      <c r="M18" s="177">
        <v>0</v>
      </c>
      <c r="N18" s="177">
        <v>0</v>
      </c>
      <c r="O18" s="177">
        <v>0</v>
      </c>
      <c r="P18" s="177">
        <v>0</v>
      </c>
      <c r="Q18" s="177">
        <v>0</v>
      </c>
      <c r="R18" s="177">
        <v>0</v>
      </c>
      <c r="S18" s="177">
        <v>0</v>
      </c>
      <c r="T18" s="177">
        <v>0</v>
      </c>
      <c r="U18" s="177">
        <v>5</v>
      </c>
      <c r="V18" s="177">
        <v>0</v>
      </c>
      <c r="W18" s="177">
        <v>2</v>
      </c>
      <c r="X18" s="177">
        <v>1089</v>
      </c>
      <c r="Y18" s="177">
        <v>1100</v>
      </c>
      <c r="Z18" s="177">
        <v>0</v>
      </c>
      <c r="AA18" s="177">
        <v>1189</v>
      </c>
      <c r="AB18" s="177">
        <v>1550</v>
      </c>
      <c r="AC18" s="177">
        <v>0</v>
      </c>
      <c r="AD18" s="177">
        <v>0</v>
      </c>
      <c r="AE18" s="177">
        <v>0</v>
      </c>
      <c r="AF18" s="177">
        <v>0</v>
      </c>
      <c r="AG18" s="177">
        <v>0</v>
      </c>
      <c r="AH18" s="177">
        <v>0</v>
      </c>
      <c r="AI18" s="177"/>
      <c r="AJ18" s="178"/>
      <c r="AK18" s="178"/>
      <c r="AL18" s="178"/>
      <c r="AM18" s="178"/>
      <c r="AN18" s="178"/>
      <c r="AO18" s="178"/>
      <c r="AP18" s="178"/>
      <c r="AQ18" s="178"/>
      <c r="AR18" s="178"/>
      <c r="AS18" s="178"/>
      <c r="AT18" s="179">
        <v>10.82</v>
      </c>
      <c r="AU18" s="244"/>
    </row>
    <row r="19" spans="1:47" x14ac:dyDescent="0.35">
      <c r="A19" s="1" t="s">
        <v>954</v>
      </c>
      <c r="B19" s="191" t="s">
        <v>376</v>
      </c>
      <c r="C19" s="192">
        <v>44833</v>
      </c>
      <c r="D19" s="174">
        <v>0</v>
      </c>
      <c r="E19" s="175"/>
      <c r="F19" s="174">
        <v>15.34</v>
      </c>
      <c r="G19" s="176">
        <v>3.82</v>
      </c>
      <c r="H19" s="176">
        <v>8.5299999999999994</v>
      </c>
      <c r="I19" s="176">
        <v>4.75</v>
      </c>
      <c r="J19" s="176">
        <v>17.170000000000002</v>
      </c>
      <c r="K19" s="176">
        <v>0</v>
      </c>
      <c r="L19" s="176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5</v>
      </c>
      <c r="V19" s="177">
        <v>0</v>
      </c>
      <c r="W19" s="177">
        <v>2</v>
      </c>
      <c r="X19" s="177">
        <v>997</v>
      </c>
      <c r="Y19" s="177">
        <v>1160</v>
      </c>
      <c r="Z19" s="177">
        <v>0</v>
      </c>
      <c r="AA19" s="177">
        <v>1209</v>
      </c>
      <c r="AB19" s="177">
        <v>1530</v>
      </c>
      <c r="AC19" s="177">
        <v>0</v>
      </c>
      <c r="AD19" s="177">
        <v>0</v>
      </c>
      <c r="AE19" s="177">
        <v>0</v>
      </c>
      <c r="AF19" s="177">
        <v>0</v>
      </c>
      <c r="AG19" s="177">
        <v>0</v>
      </c>
      <c r="AH19" s="177">
        <v>0</v>
      </c>
      <c r="AI19" s="177"/>
      <c r="AJ19" s="178"/>
      <c r="AK19" s="178"/>
      <c r="AL19" s="178"/>
      <c r="AM19" s="178"/>
      <c r="AN19" s="178"/>
      <c r="AO19" s="178"/>
      <c r="AP19" s="178"/>
      <c r="AQ19" s="178"/>
      <c r="AR19" s="178"/>
      <c r="AS19" s="178"/>
      <c r="AT19" s="179">
        <v>10.79</v>
      </c>
    </row>
    <row r="20" spans="1:47" s="10" customFormat="1" x14ac:dyDescent="0.35">
      <c r="A20" s="237" t="s">
        <v>953</v>
      </c>
      <c r="B20" s="238" t="s">
        <v>955</v>
      </c>
      <c r="C20" s="239">
        <v>44819</v>
      </c>
      <c r="D20" s="237">
        <v>3</v>
      </c>
      <c r="E20" s="240"/>
      <c r="F20" s="240">
        <v>15.2</v>
      </c>
      <c r="G20" s="240"/>
      <c r="H20" s="240"/>
      <c r="I20" s="240"/>
      <c r="J20" s="240"/>
      <c r="K20" s="240">
        <v>0</v>
      </c>
      <c r="L20" s="240">
        <v>0.01</v>
      </c>
      <c r="M20" s="240">
        <v>1.2</v>
      </c>
      <c r="N20" s="241">
        <v>0</v>
      </c>
      <c r="O20" s="241">
        <v>0</v>
      </c>
      <c r="P20" s="241">
        <v>0</v>
      </c>
      <c r="Q20" s="241">
        <v>0</v>
      </c>
      <c r="R20" s="240">
        <v>0.5</v>
      </c>
      <c r="S20" s="242">
        <v>0</v>
      </c>
      <c r="T20" s="242">
        <v>0</v>
      </c>
      <c r="U20" s="240">
        <v>7</v>
      </c>
      <c r="V20" s="240">
        <v>0.3</v>
      </c>
      <c r="W20" s="240">
        <v>5.3</v>
      </c>
      <c r="X20" s="240">
        <v>1120</v>
      </c>
      <c r="Y20" s="240">
        <v>1260</v>
      </c>
      <c r="Z20" s="240">
        <v>0</v>
      </c>
      <c r="AA20" s="240">
        <v>1000</v>
      </c>
      <c r="AB20" s="240">
        <v>1150</v>
      </c>
      <c r="AC20" s="242">
        <v>0</v>
      </c>
      <c r="AD20" s="242">
        <v>0</v>
      </c>
      <c r="AE20" s="242">
        <v>0</v>
      </c>
      <c r="AF20" s="242">
        <v>0</v>
      </c>
      <c r="AG20" s="242">
        <v>0</v>
      </c>
      <c r="AH20" s="242">
        <v>0</v>
      </c>
      <c r="AI20" s="240"/>
      <c r="AJ20" s="240"/>
      <c r="AK20" s="240"/>
      <c r="AL20" s="240"/>
      <c r="AM20" s="240"/>
      <c r="AN20" s="240"/>
      <c r="AO20" s="240"/>
      <c r="AP20" s="240"/>
      <c r="AQ20" s="240"/>
      <c r="AR20" s="240"/>
      <c r="AS20" s="240"/>
      <c r="AT20" s="240">
        <v>10.7</v>
      </c>
    </row>
    <row r="22" spans="1:47" x14ac:dyDescent="0.35">
      <c r="A22" s="301"/>
      <c r="B22" s="301"/>
      <c r="C22" s="302"/>
      <c r="D22" s="302" t="s">
        <v>128</v>
      </c>
      <c r="E22" s="302" t="s">
        <v>322</v>
      </c>
      <c r="F22" s="303" t="s">
        <v>323</v>
      </c>
      <c r="G22" s="397" t="s">
        <v>324</v>
      </c>
      <c r="H22" s="398"/>
      <c r="I22" s="398"/>
      <c r="J22" s="398"/>
      <c r="K22" s="398"/>
      <c r="L22" s="399"/>
      <c r="M22" s="400" t="s">
        <v>325</v>
      </c>
      <c r="N22" s="398"/>
      <c r="O22" s="398"/>
      <c r="P22" s="398"/>
      <c r="Q22" s="398"/>
      <c r="R22" s="398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398"/>
      <c r="AE22" s="398"/>
      <c r="AF22" s="398"/>
      <c r="AG22" s="398"/>
      <c r="AH22" s="399"/>
      <c r="AI22" s="397" t="s">
        <v>326</v>
      </c>
      <c r="AJ22" s="398"/>
      <c r="AK22" s="398"/>
      <c r="AL22" s="398"/>
      <c r="AM22" s="398"/>
      <c r="AN22" s="398"/>
      <c r="AO22" s="398"/>
      <c r="AP22" s="399"/>
      <c r="AQ22" s="304"/>
      <c r="AR22" s="401" t="s">
        <v>327</v>
      </c>
    </row>
    <row r="23" spans="1:47" x14ac:dyDescent="0.35">
      <c r="A23" s="305" t="s">
        <v>321</v>
      </c>
      <c r="B23" s="305" t="s">
        <v>1093</v>
      </c>
      <c r="C23" s="305" t="s">
        <v>1094</v>
      </c>
      <c r="D23" s="305" t="s">
        <v>128</v>
      </c>
      <c r="E23" s="305" t="s">
        <v>1095</v>
      </c>
      <c r="F23" s="306" t="s">
        <v>331</v>
      </c>
      <c r="G23" s="305" t="s">
        <v>1096</v>
      </c>
      <c r="H23" s="305" t="s">
        <v>333</v>
      </c>
      <c r="I23" s="305" t="s">
        <v>738</v>
      </c>
      <c r="J23" s="305" t="s">
        <v>335</v>
      </c>
      <c r="K23" s="305" t="s">
        <v>336</v>
      </c>
      <c r="L23" s="305" t="s">
        <v>337</v>
      </c>
      <c r="M23" s="305" t="s">
        <v>338</v>
      </c>
      <c r="N23" s="305" t="s">
        <v>339</v>
      </c>
      <c r="O23" s="305" t="s">
        <v>340</v>
      </c>
      <c r="P23" s="305" t="s">
        <v>341</v>
      </c>
      <c r="Q23" s="305" t="s">
        <v>342</v>
      </c>
      <c r="R23" s="305" t="s">
        <v>343</v>
      </c>
      <c r="S23" s="305" t="s">
        <v>344</v>
      </c>
      <c r="T23" s="305" t="s">
        <v>345</v>
      </c>
      <c r="U23" s="305" t="s">
        <v>346</v>
      </c>
      <c r="V23" s="305" t="s">
        <v>347</v>
      </c>
      <c r="W23" s="305" t="s">
        <v>348</v>
      </c>
      <c r="X23" s="305" t="s">
        <v>349</v>
      </c>
      <c r="Y23" s="305" t="s">
        <v>350</v>
      </c>
      <c r="Z23" s="305" t="s">
        <v>351</v>
      </c>
      <c r="AA23" s="305" t="s">
        <v>352</v>
      </c>
      <c r="AB23" s="305" t="s">
        <v>353</v>
      </c>
      <c r="AC23" s="305" t="s">
        <v>354</v>
      </c>
      <c r="AD23" s="305" t="s">
        <v>355</v>
      </c>
      <c r="AE23" s="305" t="s">
        <v>356</v>
      </c>
      <c r="AF23" s="305" t="s">
        <v>357</v>
      </c>
      <c r="AG23" s="305" t="s">
        <v>358</v>
      </c>
      <c r="AH23" s="305" t="s">
        <v>359</v>
      </c>
      <c r="AI23" s="305" t="s">
        <v>360</v>
      </c>
      <c r="AJ23" s="305" t="s">
        <v>361</v>
      </c>
      <c r="AK23" s="305" t="s">
        <v>362</v>
      </c>
      <c r="AL23" s="305" t="s">
        <v>363</v>
      </c>
      <c r="AM23" s="305" t="s">
        <v>364</v>
      </c>
      <c r="AN23" s="305" t="s">
        <v>365</v>
      </c>
      <c r="AO23" s="305" t="s">
        <v>366</v>
      </c>
      <c r="AP23" s="305" t="s">
        <v>367</v>
      </c>
      <c r="AQ23" s="307" t="s">
        <v>329</v>
      </c>
      <c r="AR23" s="402"/>
    </row>
    <row r="24" spans="1:47" x14ac:dyDescent="0.35">
      <c r="A24" s="308">
        <v>45163</v>
      </c>
      <c r="B24" s="403" t="s">
        <v>1097</v>
      </c>
      <c r="C24" s="309" t="s">
        <v>1098</v>
      </c>
      <c r="D24" s="310">
        <v>0</v>
      </c>
      <c r="E24" s="310"/>
      <c r="F24" s="311">
        <v>14.42</v>
      </c>
      <c r="G24" s="310">
        <v>3.34</v>
      </c>
      <c r="H24" s="312">
        <v>13.02</v>
      </c>
      <c r="I24" s="310">
        <v>4.66</v>
      </c>
      <c r="J24" s="310">
        <v>23.71</v>
      </c>
      <c r="K24" s="310">
        <v>0</v>
      </c>
      <c r="L24" s="310">
        <v>0</v>
      </c>
      <c r="M24" s="313">
        <v>0</v>
      </c>
      <c r="N24" s="313">
        <v>0</v>
      </c>
      <c r="O24" s="313">
        <v>0</v>
      </c>
      <c r="P24" s="313">
        <v>0</v>
      </c>
      <c r="Q24" s="313">
        <v>0</v>
      </c>
      <c r="R24" s="313">
        <v>0</v>
      </c>
      <c r="S24" s="313">
        <v>0</v>
      </c>
      <c r="T24" s="313">
        <v>0</v>
      </c>
      <c r="U24" s="313">
        <v>1</v>
      </c>
      <c r="V24" s="313">
        <v>88</v>
      </c>
      <c r="W24" s="313">
        <v>1</v>
      </c>
      <c r="X24" s="313">
        <v>342</v>
      </c>
      <c r="Y24" s="313">
        <v>1687</v>
      </c>
      <c r="Z24" s="313">
        <v>0</v>
      </c>
      <c r="AA24" s="313">
        <v>1241</v>
      </c>
      <c r="AB24" s="313">
        <v>1417</v>
      </c>
      <c r="AC24" s="313">
        <v>50</v>
      </c>
      <c r="AD24" s="313">
        <v>0</v>
      </c>
      <c r="AE24" s="313">
        <v>0</v>
      </c>
      <c r="AF24" s="313">
        <v>0</v>
      </c>
      <c r="AG24" s="313">
        <v>0</v>
      </c>
      <c r="AH24" s="313">
        <v>0</v>
      </c>
      <c r="AI24" s="314" t="s">
        <v>792</v>
      </c>
      <c r="AJ24" s="310">
        <v>45161.13</v>
      </c>
      <c r="AK24" s="310">
        <v>15117.13</v>
      </c>
      <c r="AL24" s="310">
        <v>2295.1</v>
      </c>
      <c r="AM24" s="310">
        <v>338.31</v>
      </c>
      <c r="AN24" s="310">
        <v>63.06</v>
      </c>
      <c r="AO24" s="310">
        <v>5</v>
      </c>
      <c r="AP24" s="310">
        <v>0</v>
      </c>
      <c r="AQ24" s="310">
        <v>10.01</v>
      </c>
      <c r="AR24" s="315" t="s">
        <v>1099</v>
      </c>
    </row>
    <row r="25" spans="1:47" x14ac:dyDescent="0.35">
      <c r="A25" s="308">
        <v>45163</v>
      </c>
      <c r="B25" s="404"/>
      <c r="C25" s="309" t="s">
        <v>1098</v>
      </c>
      <c r="D25" s="310">
        <v>0</v>
      </c>
      <c r="E25" s="310"/>
      <c r="F25" s="311">
        <v>14.34</v>
      </c>
      <c r="G25" s="310">
        <v>3.35</v>
      </c>
      <c r="H25" s="310">
        <v>13.18</v>
      </c>
      <c r="I25" s="310">
        <v>4.68</v>
      </c>
      <c r="J25" s="310">
        <v>23.86</v>
      </c>
      <c r="K25" s="310">
        <v>0</v>
      </c>
      <c r="L25" s="310">
        <v>0</v>
      </c>
      <c r="M25" s="313">
        <v>0</v>
      </c>
      <c r="N25" s="313">
        <v>0</v>
      </c>
      <c r="O25" s="313">
        <v>0</v>
      </c>
      <c r="P25" s="313">
        <v>0</v>
      </c>
      <c r="Q25" s="313">
        <v>0</v>
      </c>
      <c r="R25" s="313">
        <v>0</v>
      </c>
      <c r="S25" s="313">
        <v>0</v>
      </c>
      <c r="T25" s="313">
        <v>0</v>
      </c>
      <c r="U25" s="313">
        <v>1</v>
      </c>
      <c r="V25" s="313">
        <v>86</v>
      </c>
      <c r="W25" s="313">
        <v>1</v>
      </c>
      <c r="X25" s="313">
        <v>356</v>
      </c>
      <c r="Y25" s="313">
        <v>1670</v>
      </c>
      <c r="Z25" s="313">
        <v>0</v>
      </c>
      <c r="AA25" s="313">
        <v>1243</v>
      </c>
      <c r="AB25" s="313">
        <v>1333</v>
      </c>
      <c r="AC25" s="313">
        <v>52</v>
      </c>
      <c r="AD25" s="313">
        <v>0</v>
      </c>
      <c r="AE25" s="313">
        <v>0</v>
      </c>
      <c r="AF25" s="313">
        <v>0</v>
      </c>
      <c r="AG25" s="313">
        <v>0</v>
      </c>
      <c r="AH25" s="313">
        <v>0</v>
      </c>
      <c r="AI25" s="314" t="s">
        <v>762</v>
      </c>
      <c r="AJ25" s="310">
        <v>40212.25</v>
      </c>
      <c r="AK25" s="310">
        <v>14944.09</v>
      </c>
      <c r="AL25" s="310">
        <v>2061.15</v>
      </c>
      <c r="AM25" s="310">
        <v>304.02</v>
      </c>
      <c r="AN25" s="310">
        <v>27</v>
      </c>
      <c r="AO25" s="310">
        <v>2</v>
      </c>
      <c r="AP25" s="310">
        <v>0</v>
      </c>
      <c r="AQ25" s="310">
        <v>10.1</v>
      </c>
      <c r="AR25" s="315" t="s">
        <v>1099</v>
      </c>
    </row>
    <row r="28" spans="1:47" x14ac:dyDescent="0.35">
      <c r="I28" s="51" t="s">
        <v>352</v>
      </c>
      <c r="J28" s="51" t="s">
        <v>349</v>
      </c>
      <c r="K28" s="51" t="s">
        <v>353</v>
      </c>
      <c r="L28" s="51" t="s">
        <v>350</v>
      </c>
    </row>
    <row r="29" spans="1:47" x14ac:dyDescent="0.35">
      <c r="I29" s="119">
        <v>999.9</v>
      </c>
      <c r="J29" s="119">
        <v>11.7</v>
      </c>
      <c r="K29" s="119">
        <v>1034.0999999999999</v>
      </c>
      <c r="L29" s="119">
        <v>3645.7</v>
      </c>
    </row>
    <row r="30" spans="1:47" x14ac:dyDescent="0.35">
      <c r="E30" s="17" t="s">
        <v>377</v>
      </c>
      <c r="F30" s="18">
        <v>1.1499999999999999</v>
      </c>
      <c r="G30" s="19">
        <f>F30*G32</f>
        <v>2989.9999999999995</v>
      </c>
      <c r="O30" s="10"/>
      <c r="P30" s="10"/>
    </row>
    <row r="31" spans="1:47" x14ac:dyDescent="0.35">
      <c r="E31" s="20" t="s">
        <v>378</v>
      </c>
      <c r="F31" s="21">
        <v>1.1000000000000001</v>
      </c>
      <c r="G31" s="22">
        <f>F31*G32</f>
        <v>2860.0000000000005</v>
      </c>
      <c r="O31" s="10"/>
      <c r="P31" s="10"/>
    </row>
    <row r="32" spans="1:47" ht="15" x14ac:dyDescent="0.35">
      <c r="E32" s="393" t="s">
        <v>379</v>
      </c>
      <c r="F32" s="394"/>
      <c r="G32" s="36">
        <v>2600</v>
      </c>
      <c r="O32" s="25" t="s">
        <v>379</v>
      </c>
      <c r="P32" s="36">
        <v>15</v>
      </c>
      <c r="R32" s="5"/>
    </row>
    <row r="33" spans="2:16" x14ac:dyDescent="0.35">
      <c r="E33" s="20" t="s">
        <v>380</v>
      </c>
      <c r="F33" s="21">
        <v>0.95</v>
      </c>
      <c r="G33" s="22">
        <f>G32*F33</f>
        <v>2470</v>
      </c>
      <c r="O33" s="21">
        <v>0.8</v>
      </c>
      <c r="P33" s="23">
        <f>P32*O33</f>
        <v>12</v>
      </c>
    </row>
    <row r="34" spans="2:16" x14ac:dyDescent="0.35">
      <c r="B34" s="190" t="s">
        <v>152</v>
      </c>
      <c r="C34" s="13" t="s">
        <v>381</v>
      </c>
      <c r="E34" s="17" t="s">
        <v>382</v>
      </c>
      <c r="F34" s="18">
        <v>0.92</v>
      </c>
      <c r="G34" s="19">
        <f>G32*F34</f>
        <v>2392</v>
      </c>
      <c r="O34" s="18">
        <v>0.6</v>
      </c>
      <c r="P34" s="24">
        <f>P32*O34</f>
        <v>9</v>
      </c>
    </row>
    <row r="35" spans="2:16" x14ac:dyDescent="0.35">
      <c r="B35" s="190" t="s">
        <v>149</v>
      </c>
      <c r="C35" s="13" t="s">
        <v>383</v>
      </c>
    </row>
    <row r="36" spans="2:16" x14ac:dyDescent="0.35">
      <c r="B36" s="190" t="s">
        <v>372</v>
      </c>
      <c r="C36" s="13" t="s">
        <v>384</v>
      </c>
      <c r="E36" s="17" t="s">
        <v>377</v>
      </c>
      <c r="F36" s="18">
        <v>1.1000000000000001</v>
      </c>
      <c r="G36" s="19">
        <f>F36*G38</f>
        <v>2860.0000000000005</v>
      </c>
      <c r="O36" s="10"/>
      <c r="P36" s="10"/>
    </row>
    <row r="37" spans="2:16" x14ac:dyDescent="0.35">
      <c r="B37" s="190" t="s">
        <v>371</v>
      </c>
      <c r="C37" s="13" t="s">
        <v>385</v>
      </c>
      <c r="E37" s="20" t="s">
        <v>378</v>
      </c>
      <c r="F37" s="21"/>
      <c r="G37" s="22">
        <f>F37*G38</f>
        <v>0</v>
      </c>
      <c r="O37" s="10"/>
      <c r="P37" s="10"/>
    </row>
    <row r="38" spans="2:16" ht="15" x14ac:dyDescent="0.35">
      <c r="E38" s="395" t="s">
        <v>379</v>
      </c>
      <c r="F38" s="396"/>
      <c r="G38" s="36">
        <v>2600</v>
      </c>
      <c r="O38" s="25" t="s">
        <v>379</v>
      </c>
      <c r="P38" s="26">
        <v>183.8</v>
      </c>
    </row>
    <row r="39" spans="2:16" x14ac:dyDescent="0.35">
      <c r="E39" s="20" t="s">
        <v>380</v>
      </c>
      <c r="F39" s="21"/>
      <c r="G39" s="22">
        <f>G38*F39</f>
        <v>0</v>
      </c>
      <c r="O39" s="18">
        <v>0.7</v>
      </c>
      <c r="P39" s="24">
        <f>P38*O39</f>
        <v>128.66</v>
      </c>
    </row>
    <row r="40" spans="2:16" x14ac:dyDescent="0.35">
      <c r="E40" s="17" t="s">
        <v>382</v>
      </c>
      <c r="F40" s="18">
        <v>0.9</v>
      </c>
      <c r="G40" s="19">
        <f>G38*F40</f>
        <v>2340</v>
      </c>
    </row>
    <row r="42" spans="2:16" x14ac:dyDescent="0.35">
      <c r="E42" s="392" t="s">
        <v>386</v>
      </c>
      <c r="F42" s="392"/>
      <c r="H42" s="392" t="s">
        <v>386</v>
      </c>
      <c r="I42" s="392"/>
      <c r="K42" s="392" t="s">
        <v>386</v>
      </c>
      <c r="L42" s="392"/>
    </row>
    <row r="43" spans="2:16" x14ac:dyDescent="0.35">
      <c r="E43" s="21" t="s">
        <v>387</v>
      </c>
      <c r="F43" s="21" t="s">
        <v>388</v>
      </c>
      <c r="H43" s="21" t="s">
        <v>387</v>
      </c>
      <c r="I43" s="21" t="s">
        <v>389</v>
      </c>
      <c r="K43" s="21" t="s">
        <v>387</v>
      </c>
      <c r="L43" s="21" t="s">
        <v>390</v>
      </c>
    </row>
    <row r="44" spans="2:16" x14ac:dyDescent="0.35">
      <c r="E44" s="1" t="s">
        <v>391</v>
      </c>
      <c r="F44" s="1">
        <v>77.900000000000006</v>
      </c>
      <c r="H44" s="1" t="s">
        <v>391</v>
      </c>
      <c r="I44" s="8">
        <f>AVERAGE(F7:F8)</f>
        <v>79.314999999999998</v>
      </c>
      <c r="K44" s="1" t="s">
        <v>391</v>
      </c>
      <c r="L44" s="8">
        <v>78.900000000000006</v>
      </c>
    </row>
    <row r="45" spans="2:16" x14ac:dyDescent="0.35">
      <c r="E45" s="1" t="s">
        <v>392</v>
      </c>
      <c r="F45" s="1">
        <v>20</v>
      </c>
      <c r="H45" s="1" t="s">
        <v>392</v>
      </c>
      <c r="I45" s="1">
        <f>AVERAGE(U7:U8)</f>
        <v>22.5</v>
      </c>
      <c r="K45" s="1" t="s">
        <v>392</v>
      </c>
      <c r="L45" s="1">
        <v>22.05</v>
      </c>
    </row>
    <row r="46" spans="2:16" x14ac:dyDescent="0.35">
      <c r="E46" s="1" t="s">
        <v>393</v>
      </c>
      <c r="F46" s="1">
        <v>32</v>
      </c>
      <c r="H46" s="1" t="s">
        <v>393</v>
      </c>
      <c r="I46" s="1">
        <f>AVERAGE(V7:V8)</f>
        <v>27.5</v>
      </c>
      <c r="K46" s="1" t="s">
        <v>393</v>
      </c>
      <c r="L46" s="1">
        <v>28.96</v>
      </c>
    </row>
    <row r="47" spans="2:16" x14ac:dyDescent="0.35">
      <c r="E47" s="1" t="s">
        <v>394</v>
      </c>
      <c r="F47" s="1">
        <v>278</v>
      </c>
      <c r="H47" s="1" t="s">
        <v>394</v>
      </c>
      <c r="I47" s="1">
        <f>AVERAGE(AA7:AA8)</f>
        <v>342</v>
      </c>
      <c r="K47" s="1" t="s">
        <v>394</v>
      </c>
      <c r="L47" s="1">
        <v>183.8</v>
      </c>
    </row>
    <row r="48" spans="2:16" x14ac:dyDescent="0.35">
      <c r="E48" s="392" t="s">
        <v>149</v>
      </c>
      <c r="F48" s="392"/>
      <c r="H48" s="392" t="s">
        <v>149</v>
      </c>
      <c r="I48" s="392"/>
      <c r="K48" s="392" t="s">
        <v>395</v>
      </c>
      <c r="L48" s="392"/>
    </row>
    <row r="49" spans="5:12" x14ac:dyDescent="0.35">
      <c r="E49" s="21" t="s">
        <v>387</v>
      </c>
      <c r="F49" s="21" t="s">
        <v>396</v>
      </c>
      <c r="H49" s="21" t="s">
        <v>387</v>
      </c>
      <c r="I49" s="21" t="s">
        <v>389</v>
      </c>
      <c r="K49" s="21" t="s">
        <v>387</v>
      </c>
      <c r="L49" s="21" t="s">
        <v>397</v>
      </c>
    </row>
    <row r="50" spans="5:12" x14ac:dyDescent="0.35">
      <c r="E50" s="1" t="s">
        <v>391</v>
      </c>
      <c r="F50" s="1">
        <v>17.47</v>
      </c>
      <c r="H50" s="1" t="s">
        <v>391</v>
      </c>
      <c r="I50" s="8">
        <f>AVERAGE(F5:F6)</f>
        <v>18.035</v>
      </c>
      <c r="K50" s="1" t="s">
        <v>391</v>
      </c>
      <c r="L50" s="8">
        <v>18.7</v>
      </c>
    </row>
    <row r="51" spans="5:12" x14ac:dyDescent="0.35">
      <c r="E51" s="1" t="s">
        <v>392</v>
      </c>
      <c r="F51" s="1">
        <v>6</v>
      </c>
      <c r="H51" s="1" t="s">
        <v>392</v>
      </c>
      <c r="I51" s="1">
        <v>5</v>
      </c>
      <c r="K51" s="1" t="s">
        <v>392</v>
      </c>
      <c r="L51" s="1">
        <v>17</v>
      </c>
    </row>
    <row r="52" spans="5:12" x14ac:dyDescent="0.35">
      <c r="E52" s="1" t="s">
        <v>398</v>
      </c>
      <c r="F52" s="1">
        <v>3</v>
      </c>
      <c r="H52" s="1" t="s">
        <v>398</v>
      </c>
      <c r="I52" s="1">
        <v>2</v>
      </c>
      <c r="K52" s="1" t="s">
        <v>398</v>
      </c>
      <c r="L52" s="1">
        <v>2</v>
      </c>
    </row>
    <row r="53" spans="5:12" x14ac:dyDescent="0.35">
      <c r="E53" s="1" t="s">
        <v>399</v>
      </c>
      <c r="F53" s="1">
        <v>13</v>
      </c>
      <c r="H53" s="1" t="s">
        <v>399</v>
      </c>
      <c r="I53" s="5">
        <f>AVERAGE(X5:X6)</f>
        <v>10.5</v>
      </c>
      <c r="K53" s="1" t="s">
        <v>400</v>
      </c>
      <c r="L53" s="1">
        <v>1</v>
      </c>
    </row>
    <row r="54" spans="5:12" x14ac:dyDescent="0.35">
      <c r="E54" s="1" t="s">
        <v>401</v>
      </c>
      <c r="F54" s="1">
        <v>3339</v>
      </c>
      <c r="H54" s="1" t="s">
        <v>401</v>
      </c>
      <c r="I54" s="5">
        <f>AVERAGE(Y5:Y6)</f>
        <v>2868</v>
      </c>
      <c r="K54" s="1" t="s">
        <v>399</v>
      </c>
      <c r="L54" s="5">
        <v>14</v>
      </c>
    </row>
    <row r="55" spans="5:12" x14ac:dyDescent="0.35">
      <c r="E55" s="1" t="s">
        <v>402</v>
      </c>
      <c r="F55" s="1">
        <v>1482</v>
      </c>
      <c r="H55" s="1" t="s">
        <v>402</v>
      </c>
      <c r="I55" s="5">
        <f>AVERAGE(AB5:AB6)</f>
        <v>1262</v>
      </c>
      <c r="K55" s="1" t="s">
        <v>401</v>
      </c>
      <c r="L55" s="5">
        <v>3240</v>
      </c>
    </row>
    <row r="56" spans="5:12" x14ac:dyDescent="0.35">
      <c r="E56" s="1" t="s">
        <v>394</v>
      </c>
      <c r="F56" s="1">
        <v>1001</v>
      </c>
      <c r="H56" s="1" t="s">
        <v>394</v>
      </c>
      <c r="I56" s="5">
        <f>AVERAGE(AA5:AA6)</f>
        <v>856</v>
      </c>
      <c r="K56" s="1" t="s">
        <v>402</v>
      </c>
      <c r="L56" s="5">
        <v>1152</v>
      </c>
    </row>
    <row r="57" spans="5:12" x14ac:dyDescent="0.35">
      <c r="E57" s="392" t="s">
        <v>152</v>
      </c>
      <c r="F57" s="392"/>
      <c r="H57" s="392" t="s">
        <v>152</v>
      </c>
      <c r="I57" s="392"/>
      <c r="K57" s="1" t="s">
        <v>394</v>
      </c>
      <c r="L57" s="5">
        <v>983</v>
      </c>
    </row>
    <row r="58" spans="5:12" x14ac:dyDescent="0.35">
      <c r="E58" s="21" t="s">
        <v>387</v>
      </c>
      <c r="F58" s="21" t="s">
        <v>403</v>
      </c>
      <c r="H58" s="21" t="s">
        <v>387</v>
      </c>
      <c r="I58" s="21" t="s">
        <v>389</v>
      </c>
      <c r="K58" s="392" t="s">
        <v>404</v>
      </c>
      <c r="L58" s="392"/>
    </row>
    <row r="59" spans="5:12" x14ac:dyDescent="0.35">
      <c r="E59" s="1" t="s">
        <v>391</v>
      </c>
      <c r="F59" s="1">
        <v>6.54</v>
      </c>
      <c r="H59" s="1" t="s">
        <v>391</v>
      </c>
      <c r="I59" s="8">
        <f>AVERAGE(F3:F4)</f>
        <v>5.9649999999999999</v>
      </c>
      <c r="K59" s="21" t="s">
        <v>387</v>
      </c>
      <c r="L59" s="21" t="s">
        <v>405</v>
      </c>
    </row>
    <row r="60" spans="5:12" x14ac:dyDescent="0.35">
      <c r="E60" s="1" t="s">
        <v>392</v>
      </c>
      <c r="F60" s="1">
        <v>6</v>
      </c>
      <c r="H60" s="1" t="s">
        <v>392</v>
      </c>
      <c r="I60" s="1">
        <v>6</v>
      </c>
      <c r="K60" s="1" t="s">
        <v>391</v>
      </c>
      <c r="L60" s="8">
        <v>6.5</v>
      </c>
    </row>
    <row r="61" spans="5:12" x14ac:dyDescent="0.35">
      <c r="E61" s="1" t="s">
        <v>398</v>
      </c>
      <c r="F61" s="1">
        <v>2</v>
      </c>
      <c r="H61" s="1" t="s">
        <v>398</v>
      </c>
      <c r="I61" s="1">
        <v>2</v>
      </c>
      <c r="K61" s="1" t="s">
        <v>392</v>
      </c>
      <c r="L61" s="1">
        <v>15</v>
      </c>
    </row>
    <row r="62" spans="5:12" x14ac:dyDescent="0.35">
      <c r="E62" s="1" t="s">
        <v>399</v>
      </c>
      <c r="F62" s="1">
        <v>13</v>
      </c>
      <c r="H62" s="1" t="s">
        <v>399</v>
      </c>
      <c r="I62" s="1">
        <f>AVERAGE(X3:X4)</f>
        <v>12</v>
      </c>
      <c r="K62" s="1" t="s">
        <v>406</v>
      </c>
      <c r="L62" s="1">
        <v>1</v>
      </c>
    </row>
    <row r="63" spans="5:12" x14ac:dyDescent="0.35">
      <c r="E63" s="1" t="s">
        <v>401</v>
      </c>
      <c r="F63" s="1">
        <v>3405</v>
      </c>
      <c r="H63" s="1" t="s">
        <v>401</v>
      </c>
      <c r="I63" s="5">
        <f>AVERAGE(Y3:Y4)</f>
        <v>2986.5</v>
      </c>
      <c r="K63" s="1" t="s">
        <v>398</v>
      </c>
      <c r="L63" s="1">
        <v>2</v>
      </c>
    </row>
    <row r="64" spans="5:12" x14ac:dyDescent="0.35">
      <c r="E64" s="1" t="s">
        <v>402</v>
      </c>
      <c r="F64" s="1">
        <v>1480</v>
      </c>
      <c r="H64" s="1" t="s">
        <v>402</v>
      </c>
      <c r="I64" s="1">
        <f>AVERAGE(AB3:AB4)</f>
        <v>1383</v>
      </c>
      <c r="K64" s="1" t="s">
        <v>400</v>
      </c>
      <c r="L64" s="1">
        <v>1</v>
      </c>
    </row>
    <row r="65" spans="5:12" x14ac:dyDescent="0.35">
      <c r="E65" s="1" t="s">
        <v>394</v>
      </c>
      <c r="F65" s="1">
        <v>911</v>
      </c>
      <c r="H65" s="1" t="s">
        <v>394</v>
      </c>
      <c r="I65" s="1">
        <f>AVERAGE(AA3:AA4)</f>
        <v>878</v>
      </c>
      <c r="K65" s="1" t="s">
        <v>399</v>
      </c>
      <c r="L65" s="5">
        <v>14</v>
      </c>
    </row>
    <row r="66" spans="5:12" x14ac:dyDescent="0.35">
      <c r="K66" s="1" t="s">
        <v>401</v>
      </c>
      <c r="L66" s="5">
        <v>3401</v>
      </c>
    </row>
    <row r="67" spans="5:12" x14ac:dyDescent="0.35">
      <c r="K67" s="1" t="s">
        <v>402</v>
      </c>
      <c r="L67" s="5">
        <v>1359</v>
      </c>
    </row>
    <row r="68" spans="5:12" x14ac:dyDescent="0.35">
      <c r="K68" s="1" t="s">
        <v>394</v>
      </c>
      <c r="L68" s="5">
        <v>1061</v>
      </c>
    </row>
  </sheetData>
  <protectedRanges>
    <protectedRange sqref="I28" name="Range1_2_2"/>
    <protectedRange sqref="J28" name="Range1_2_2_1"/>
    <protectedRange sqref="K28" name="Range1_2_2_2"/>
    <protectedRange sqref="L28" name="Range1_2_2_3"/>
  </protectedRanges>
  <autoFilter ref="B2:AT19" xr:uid="{00000000-0009-0000-0000-000005000000}">
    <sortState xmlns:xlrd2="http://schemas.microsoft.com/office/spreadsheetml/2017/richdata2" ref="B3:AT19">
      <sortCondition ref="C2"/>
    </sortState>
  </autoFilter>
  <mergeCells count="19">
    <mergeCell ref="AR22:AR23"/>
    <mergeCell ref="B24:B25"/>
    <mergeCell ref="G1:L1"/>
    <mergeCell ref="M1:AH1"/>
    <mergeCell ref="AI1:AP1"/>
    <mergeCell ref="E32:F32"/>
    <mergeCell ref="E38:F38"/>
    <mergeCell ref="G22:L22"/>
    <mergeCell ref="M22:AH22"/>
    <mergeCell ref="AI22:AP22"/>
    <mergeCell ref="K58:L58"/>
    <mergeCell ref="K48:L48"/>
    <mergeCell ref="E42:F42"/>
    <mergeCell ref="E48:F48"/>
    <mergeCell ref="E57:F57"/>
    <mergeCell ref="H42:I42"/>
    <mergeCell ref="K42:L42"/>
    <mergeCell ref="H48:I48"/>
    <mergeCell ref="H57:I57"/>
  </mergeCells>
  <pageMargins left="0.7" right="0.7" top="0.75" bottom="0.75" header="0.3" footer="0.3"/>
  <pageSetup paperSize="9" orientation="portrait" r:id="rId1"/>
  <ignoredErrors>
    <ignoredError sqref="I44:I47 I50:I56 I59:I65" formulaRange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FFFF00"/>
  </sheetPr>
  <dimension ref="A1:AW42"/>
  <sheetViews>
    <sheetView showGridLines="0" topLeftCell="A28" zoomScale="85" zoomScaleNormal="85" workbookViewId="0">
      <selection activeCell="V40" sqref="V40"/>
    </sheetView>
  </sheetViews>
  <sheetFormatPr baseColWidth="10" defaultColWidth="11.453125" defaultRowHeight="14.5" x14ac:dyDescent="0.35"/>
  <cols>
    <col min="1" max="1" width="12.26953125" style="10" bestFit="1" customWidth="1"/>
    <col min="2" max="2" width="12.7265625" style="10" bestFit="1" customWidth="1"/>
    <col min="3" max="3" width="16" bestFit="1" customWidth="1"/>
    <col min="4" max="4" width="42" bestFit="1" customWidth="1"/>
    <col min="5" max="5" width="5.7265625" bestFit="1" customWidth="1"/>
    <col min="6" max="6" width="4.7265625" bestFit="1" customWidth="1"/>
    <col min="7" max="7" width="3.6328125" bestFit="1" customWidth="1"/>
    <col min="8" max="9" width="4.7265625" bestFit="1" customWidth="1"/>
    <col min="10" max="10" width="3.453125" bestFit="1" customWidth="1"/>
    <col min="11" max="11" width="3.6328125" bestFit="1" customWidth="1"/>
    <col min="12" max="12" width="4.7265625" bestFit="1" customWidth="1"/>
    <col min="13" max="13" width="3.81640625" bestFit="1" customWidth="1"/>
    <col min="14" max="14" width="3.08984375" bestFit="1" customWidth="1"/>
    <col min="15" max="15" width="2.7265625" bestFit="1" customWidth="1"/>
    <col min="16" max="16" width="4.1796875" bestFit="1" customWidth="1"/>
    <col min="17" max="17" width="5.1796875" bestFit="1" customWidth="1"/>
    <col min="18" max="18" width="3.6328125" bestFit="1" customWidth="1"/>
    <col min="19" max="20" width="5.1796875" bestFit="1" customWidth="1"/>
    <col min="21" max="22" width="3.6328125" bestFit="1" customWidth="1"/>
    <col min="23" max="23" width="4.1796875" bestFit="1" customWidth="1"/>
    <col min="24" max="24" width="3.08984375" bestFit="1" customWidth="1"/>
    <col min="25" max="25" width="4.1796875" bestFit="1" customWidth="1"/>
    <col min="26" max="26" width="5.1796875" bestFit="1" customWidth="1"/>
    <col min="27" max="27" width="6.7265625" bestFit="1" customWidth="1"/>
    <col min="28" max="29" width="5.7265625" bestFit="1" customWidth="1"/>
    <col min="30" max="30" width="4.7265625" bestFit="1" customWidth="1"/>
    <col min="31" max="32" width="5.7265625" bestFit="1" customWidth="1"/>
    <col min="33" max="34" width="6.54296875" bestFit="1" customWidth="1"/>
    <col min="35" max="36" width="6.453125" bestFit="1" customWidth="1"/>
    <col min="37" max="37" width="5.7265625" bestFit="1" customWidth="1"/>
    <col min="38" max="38" width="5.453125" customWidth="1"/>
    <col min="39" max="39" width="6" customWidth="1"/>
    <col min="40" max="40" width="5.7265625" bestFit="1" customWidth="1"/>
    <col min="41" max="41" width="3.7265625" bestFit="1" customWidth="1"/>
  </cols>
  <sheetData>
    <row r="1" spans="1:49" x14ac:dyDescent="0.35">
      <c r="A1" s="11" t="s">
        <v>649</v>
      </c>
      <c r="B1" s="11" t="s">
        <v>321</v>
      </c>
      <c r="C1" s="11" t="s">
        <v>2</v>
      </c>
      <c r="D1" s="11" t="s">
        <v>650</v>
      </c>
      <c r="E1" s="11" t="s">
        <v>338</v>
      </c>
      <c r="F1" s="11" t="s">
        <v>339</v>
      </c>
      <c r="G1" s="11" t="s">
        <v>340</v>
      </c>
      <c r="H1" s="11" t="s">
        <v>341</v>
      </c>
      <c r="I1" s="11" t="s">
        <v>342</v>
      </c>
      <c r="J1" s="11" t="s">
        <v>343</v>
      </c>
      <c r="K1" s="11" t="s">
        <v>344</v>
      </c>
      <c r="L1" s="11" t="s">
        <v>345</v>
      </c>
      <c r="M1" s="11" t="s">
        <v>354</v>
      </c>
      <c r="N1" s="11" t="s">
        <v>355</v>
      </c>
      <c r="O1" s="11" t="s">
        <v>356</v>
      </c>
      <c r="P1" s="11" t="s">
        <v>349</v>
      </c>
      <c r="Q1" s="11" t="s">
        <v>350</v>
      </c>
      <c r="R1" s="11" t="s">
        <v>351</v>
      </c>
      <c r="S1" s="11" t="s">
        <v>352</v>
      </c>
      <c r="T1" s="11" t="s">
        <v>353</v>
      </c>
      <c r="U1" s="11" t="s">
        <v>346</v>
      </c>
      <c r="V1" s="11" t="s">
        <v>348</v>
      </c>
      <c r="W1" s="11" t="s">
        <v>347</v>
      </c>
      <c r="X1" s="11" t="s">
        <v>359</v>
      </c>
      <c r="Y1" s="11" t="s">
        <v>358</v>
      </c>
      <c r="Z1" s="11" t="s">
        <v>357</v>
      </c>
      <c r="AA1" s="11" t="s">
        <v>651</v>
      </c>
      <c r="AB1" s="11" t="s">
        <v>652</v>
      </c>
      <c r="AC1" s="11" t="s">
        <v>653</v>
      </c>
      <c r="AD1" s="11" t="s">
        <v>654</v>
      </c>
      <c r="AE1" s="11" t="s">
        <v>655</v>
      </c>
      <c r="AF1" s="11" t="s">
        <v>656</v>
      </c>
      <c r="AG1" s="11" t="s">
        <v>128</v>
      </c>
      <c r="AH1" s="11" t="s">
        <v>332</v>
      </c>
      <c r="AI1" s="11" t="s">
        <v>657</v>
      </c>
      <c r="AJ1" s="11" t="s">
        <v>658</v>
      </c>
      <c r="AK1" s="11" t="s">
        <v>659</v>
      </c>
      <c r="AL1" s="11" t="s">
        <v>660</v>
      </c>
      <c r="AM1" s="11" t="s">
        <v>661</v>
      </c>
      <c r="AN1" s="11" t="s">
        <v>133</v>
      </c>
      <c r="AR1" s="10" t="s">
        <v>962</v>
      </c>
      <c r="AS1" s="10" t="s">
        <v>708</v>
      </c>
      <c r="AT1" s="10" t="s">
        <v>963</v>
      </c>
      <c r="AU1" s="10" t="s">
        <v>964</v>
      </c>
      <c r="AV1" s="10" t="s">
        <v>965</v>
      </c>
      <c r="AW1" s="10" t="s">
        <v>966</v>
      </c>
    </row>
    <row r="2" spans="1:49" x14ac:dyDescent="0.35">
      <c r="A2" s="1" t="s">
        <v>662</v>
      </c>
      <c r="B2" s="12">
        <v>44744</v>
      </c>
      <c r="C2" s="1" t="s">
        <v>663</v>
      </c>
      <c r="D2" s="1" t="s">
        <v>404</v>
      </c>
      <c r="E2" s="1">
        <v>1</v>
      </c>
      <c r="F2" s="1">
        <v>0</v>
      </c>
      <c r="G2" s="1">
        <v>0</v>
      </c>
      <c r="H2" s="1">
        <v>0</v>
      </c>
      <c r="I2" s="1">
        <v>0</v>
      </c>
      <c r="J2" s="1">
        <v>2</v>
      </c>
      <c r="K2" s="1">
        <v>0</v>
      </c>
      <c r="L2" s="1">
        <v>0</v>
      </c>
      <c r="M2" s="1">
        <v>0</v>
      </c>
      <c r="N2" s="1">
        <v>0</v>
      </c>
      <c r="O2" s="1">
        <v>1</v>
      </c>
      <c r="P2" s="1">
        <v>14</v>
      </c>
      <c r="Q2" s="1">
        <v>3401</v>
      </c>
      <c r="R2" s="1">
        <v>1</v>
      </c>
      <c r="S2" s="1">
        <v>1061</v>
      </c>
      <c r="T2" s="1">
        <v>1359</v>
      </c>
      <c r="U2" s="1">
        <v>15</v>
      </c>
      <c r="V2" s="1">
        <v>2</v>
      </c>
      <c r="W2" s="1">
        <v>1</v>
      </c>
      <c r="X2" s="1">
        <v>1</v>
      </c>
      <c r="Y2" s="1">
        <v>0</v>
      </c>
      <c r="Z2" s="1">
        <v>0</v>
      </c>
      <c r="AA2" s="1" t="s">
        <v>664</v>
      </c>
      <c r="AB2" s="1">
        <v>41</v>
      </c>
      <c r="AC2" s="1">
        <v>6.5</v>
      </c>
      <c r="AD2" s="1">
        <v>23</v>
      </c>
      <c r="AE2" s="1">
        <v>22</v>
      </c>
      <c r="AF2" s="1">
        <v>13</v>
      </c>
      <c r="AG2" s="1">
        <v>0</v>
      </c>
      <c r="AH2" s="1">
        <v>2.5</v>
      </c>
      <c r="AI2" s="1">
        <v>13.6</v>
      </c>
      <c r="AJ2" s="1">
        <v>0</v>
      </c>
      <c r="AK2" s="1">
        <v>6.1</v>
      </c>
      <c r="AL2" s="1">
        <v>17</v>
      </c>
      <c r="AM2" s="8">
        <v>14.5</v>
      </c>
      <c r="AN2" s="1">
        <v>3.1</v>
      </c>
      <c r="AR2" s="10" t="s">
        <v>697</v>
      </c>
      <c r="AS2" s="10" t="s">
        <v>729</v>
      </c>
      <c r="AT2" s="10">
        <v>15</v>
      </c>
      <c r="AU2" s="10">
        <v>15.5</v>
      </c>
      <c r="AV2" s="10">
        <v>13</v>
      </c>
      <c r="AW2" s="10">
        <v>12.7</v>
      </c>
    </row>
    <row r="3" spans="1:49" x14ac:dyDescent="0.35">
      <c r="A3" s="1" t="s">
        <v>665</v>
      </c>
      <c r="B3" s="1" t="s">
        <v>666</v>
      </c>
      <c r="C3" s="1" t="s">
        <v>663</v>
      </c>
      <c r="D3" s="1" t="s">
        <v>404</v>
      </c>
      <c r="E3" s="1">
        <v>1</v>
      </c>
      <c r="F3" s="1">
        <v>0</v>
      </c>
      <c r="G3" s="1">
        <v>0</v>
      </c>
      <c r="H3" s="1">
        <v>0</v>
      </c>
      <c r="I3" s="1">
        <v>0</v>
      </c>
      <c r="J3" s="1">
        <v>2</v>
      </c>
      <c r="K3" s="1">
        <v>0</v>
      </c>
      <c r="L3" s="1">
        <v>0</v>
      </c>
      <c r="M3" s="1">
        <v>2</v>
      </c>
      <c r="N3" s="1">
        <v>0</v>
      </c>
      <c r="O3" s="1">
        <v>1</v>
      </c>
      <c r="P3" s="1">
        <v>13</v>
      </c>
      <c r="Q3" s="1">
        <v>3213</v>
      </c>
      <c r="R3" s="1">
        <v>0</v>
      </c>
      <c r="S3" s="1">
        <v>1087</v>
      </c>
      <c r="T3" s="1">
        <v>1389</v>
      </c>
      <c r="U3" s="1">
        <v>16</v>
      </c>
      <c r="V3" s="1">
        <v>2</v>
      </c>
      <c r="W3" s="1">
        <v>1</v>
      </c>
      <c r="X3" s="1">
        <v>1</v>
      </c>
      <c r="Y3" s="1">
        <v>0</v>
      </c>
      <c r="Z3" s="1">
        <v>1</v>
      </c>
      <c r="AA3" s="1" t="s">
        <v>664</v>
      </c>
      <c r="AB3" s="1">
        <v>42</v>
      </c>
      <c r="AC3" s="1">
        <v>6.5</v>
      </c>
      <c r="AD3" s="1">
        <v>24</v>
      </c>
      <c r="AE3" s="1">
        <v>23</v>
      </c>
      <c r="AF3" s="1">
        <v>13</v>
      </c>
      <c r="AG3" s="1">
        <v>0</v>
      </c>
      <c r="AH3" s="1">
        <v>2.4</v>
      </c>
      <c r="AI3" s="1">
        <v>14</v>
      </c>
      <c r="AJ3" s="1">
        <v>0</v>
      </c>
      <c r="AK3" s="1">
        <v>5.9</v>
      </c>
      <c r="AL3" s="1">
        <v>16.2</v>
      </c>
      <c r="AM3" s="8">
        <v>13.7</v>
      </c>
      <c r="AN3" s="1">
        <v>3.4</v>
      </c>
      <c r="AR3" s="10" t="s">
        <v>739</v>
      </c>
      <c r="AS3" s="10" t="s">
        <v>967</v>
      </c>
      <c r="AT3" s="10">
        <v>16.5</v>
      </c>
      <c r="AU3" s="10">
        <v>19.5</v>
      </c>
      <c r="AV3" s="10"/>
      <c r="AW3" s="10"/>
    </row>
    <row r="4" spans="1:49" x14ac:dyDescent="0.35">
      <c r="A4" s="1" t="s">
        <v>667</v>
      </c>
      <c r="B4" s="1" t="s">
        <v>666</v>
      </c>
      <c r="C4" s="1" t="s">
        <v>668</v>
      </c>
      <c r="D4" s="1" t="s">
        <v>404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2</v>
      </c>
      <c r="K4" s="1">
        <v>0</v>
      </c>
      <c r="L4" s="1">
        <v>0</v>
      </c>
      <c r="M4" s="1">
        <v>1</v>
      </c>
      <c r="N4" s="1">
        <v>0</v>
      </c>
      <c r="O4" s="1">
        <v>1</v>
      </c>
      <c r="P4" s="1">
        <v>12</v>
      </c>
      <c r="Q4" s="1">
        <v>3327</v>
      </c>
      <c r="R4" s="1">
        <v>0</v>
      </c>
      <c r="S4" s="1">
        <v>1038</v>
      </c>
      <c r="T4" s="1">
        <v>1374</v>
      </c>
      <c r="U4" s="1">
        <v>14</v>
      </c>
      <c r="V4" s="1">
        <v>2</v>
      </c>
      <c r="W4" s="1">
        <v>0</v>
      </c>
      <c r="X4" s="1">
        <v>1</v>
      </c>
      <c r="Y4" s="1">
        <v>0</v>
      </c>
      <c r="Z4" s="1">
        <v>1</v>
      </c>
      <c r="AA4" s="1" t="s">
        <v>664</v>
      </c>
      <c r="AB4" s="1">
        <v>41</v>
      </c>
      <c r="AC4" s="1">
        <v>6.5</v>
      </c>
      <c r="AD4" s="1">
        <v>24</v>
      </c>
      <c r="AE4" s="1">
        <v>23</v>
      </c>
      <c r="AF4" s="1">
        <v>13</v>
      </c>
      <c r="AG4" s="1">
        <v>0</v>
      </c>
      <c r="AH4" s="1">
        <v>2.2999999999999998</v>
      </c>
      <c r="AI4" s="1">
        <v>13.1</v>
      </c>
      <c r="AJ4" s="1">
        <v>0</v>
      </c>
      <c r="AK4" s="1">
        <v>6.2</v>
      </c>
      <c r="AL4" s="1">
        <v>17</v>
      </c>
      <c r="AM4" s="8">
        <v>14.3</v>
      </c>
      <c r="AN4" s="1">
        <v>3.1</v>
      </c>
      <c r="AR4" s="10" t="s">
        <v>335</v>
      </c>
      <c r="AS4" s="10" t="s">
        <v>967</v>
      </c>
      <c r="AT4" s="10">
        <v>28.2</v>
      </c>
      <c r="AU4" s="10">
        <v>29.2</v>
      </c>
      <c r="AV4" s="10"/>
      <c r="AW4" s="10"/>
    </row>
    <row r="5" spans="1:49" x14ac:dyDescent="0.35">
      <c r="A5" s="1" t="s">
        <v>669</v>
      </c>
      <c r="B5" s="1" t="s">
        <v>670</v>
      </c>
      <c r="C5" s="1" t="s">
        <v>663</v>
      </c>
      <c r="D5" s="1" t="s">
        <v>404</v>
      </c>
      <c r="E5" s="1">
        <v>2</v>
      </c>
      <c r="F5" s="1">
        <v>0</v>
      </c>
      <c r="G5" s="1">
        <v>0</v>
      </c>
      <c r="H5" s="1">
        <v>0</v>
      </c>
      <c r="I5" s="1">
        <v>0</v>
      </c>
      <c r="J5" s="1">
        <v>2</v>
      </c>
      <c r="K5" s="1">
        <v>0</v>
      </c>
      <c r="L5" s="1">
        <v>0</v>
      </c>
      <c r="M5" s="1">
        <v>0</v>
      </c>
      <c r="N5" s="1">
        <v>0</v>
      </c>
      <c r="O5" s="1">
        <v>1</v>
      </c>
      <c r="P5" s="1">
        <v>13</v>
      </c>
      <c r="Q5" s="1">
        <v>3102</v>
      </c>
      <c r="R5" s="1">
        <v>0</v>
      </c>
      <c r="S5" s="1">
        <v>1078</v>
      </c>
      <c r="T5" s="1">
        <v>1229</v>
      </c>
      <c r="U5" s="1">
        <v>14</v>
      </c>
      <c r="V5" s="1">
        <v>2</v>
      </c>
      <c r="W5" s="1">
        <v>2</v>
      </c>
      <c r="X5" s="1">
        <v>1</v>
      </c>
      <c r="Y5" s="1">
        <v>0</v>
      </c>
      <c r="Z5" s="1">
        <v>1</v>
      </c>
      <c r="AA5" s="1" t="s">
        <v>664</v>
      </c>
      <c r="AB5" s="1">
        <v>41</v>
      </c>
      <c r="AC5" s="1">
        <v>6.5</v>
      </c>
      <c r="AD5" s="1">
        <v>23</v>
      </c>
      <c r="AE5" s="1">
        <v>22</v>
      </c>
      <c r="AF5" s="1">
        <v>13</v>
      </c>
      <c r="AG5" s="1">
        <v>0</v>
      </c>
      <c r="AH5" s="1">
        <v>2.2000000000000002</v>
      </c>
      <c r="AI5" s="1">
        <v>13.1</v>
      </c>
      <c r="AJ5" s="1">
        <v>0</v>
      </c>
      <c r="AK5" s="1">
        <v>6.3</v>
      </c>
      <c r="AL5" s="1">
        <v>17</v>
      </c>
      <c r="AM5" s="8">
        <v>14.3</v>
      </c>
      <c r="AN5" s="1">
        <v>3.1</v>
      </c>
      <c r="AR5" s="10" t="s">
        <v>711</v>
      </c>
      <c r="AS5" s="10" t="s">
        <v>712</v>
      </c>
      <c r="AT5" s="10">
        <v>10.5</v>
      </c>
      <c r="AU5" s="10">
        <v>12.5</v>
      </c>
      <c r="AV5" s="10"/>
      <c r="AW5" s="10"/>
    </row>
    <row r="6" spans="1:49" x14ac:dyDescent="0.35">
      <c r="A6" s="1" t="s">
        <v>1171</v>
      </c>
      <c r="B6" s="12">
        <v>45112</v>
      </c>
      <c r="C6" s="1" t="s">
        <v>1175</v>
      </c>
      <c r="D6" s="1" t="s">
        <v>1170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12</v>
      </c>
      <c r="Q6" s="1">
        <v>3433</v>
      </c>
      <c r="R6" s="1">
        <v>0</v>
      </c>
      <c r="S6" s="1">
        <v>876</v>
      </c>
      <c r="T6" s="1">
        <v>1038</v>
      </c>
      <c r="U6" s="1">
        <v>14</v>
      </c>
      <c r="V6" s="1">
        <v>1</v>
      </c>
      <c r="W6" s="1">
        <v>0</v>
      </c>
      <c r="X6" s="1">
        <v>0</v>
      </c>
      <c r="Y6" s="1">
        <v>0</v>
      </c>
      <c r="Z6" s="1">
        <v>0</v>
      </c>
      <c r="AA6" s="1" t="s">
        <v>664</v>
      </c>
      <c r="AB6" s="1">
        <v>36</v>
      </c>
      <c r="AC6" s="8">
        <v>6</v>
      </c>
      <c r="AD6" s="1">
        <v>23</v>
      </c>
      <c r="AE6" s="1">
        <v>22</v>
      </c>
      <c r="AF6" s="1">
        <v>17</v>
      </c>
      <c r="AG6" s="1">
        <v>0</v>
      </c>
      <c r="AH6" s="1">
        <v>1.8</v>
      </c>
      <c r="AI6" s="1">
        <v>16.2</v>
      </c>
      <c r="AJ6" s="1">
        <v>0.6</v>
      </c>
      <c r="AK6" s="1">
        <v>6.6</v>
      </c>
      <c r="AL6" s="8">
        <v>17.8</v>
      </c>
      <c r="AM6" s="1">
        <v>17.2</v>
      </c>
      <c r="AN6" s="1">
        <v>3.8</v>
      </c>
      <c r="AR6" s="10" t="s">
        <v>717</v>
      </c>
      <c r="AS6" s="10" t="s">
        <v>712</v>
      </c>
      <c r="AT6" s="10">
        <v>10.5</v>
      </c>
      <c r="AU6" s="10">
        <v>12.5</v>
      </c>
      <c r="AV6" s="10"/>
      <c r="AW6" s="10"/>
    </row>
    <row r="7" spans="1:49" x14ac:dyDescent="0.35">
      <c r="A7" s="1" t="s">
        <v>1172</v>
      </c>
      <c r="B7" s="12">
        <v>44931</v>
      </c>
      <c r="C7" s="1" t="s">
        <v>1175</v>
      </c>
      <c r="D7" s="1" t="s">
        <v>1170</v>
      </c>
      <c r="E7" s="1">
        <v>1</v>
      </c>
      <c r="F7" s="1">
        <v>0</v>
      </c>
      <c r="G7" s="1">
        <v>0</v>
      </c>
      <c r="H7" s="1">
        <v>0</v>
      </c>
      <c r="I7" s="1">
        <v>0</v>
      </c>
      <c r="J7" s="1">
        <v>1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10</v>
      </c>
      <c r="Q7" s="1">
        <v>3383</v>
      </c>
      <c r="R7" s="1">
        <v>0</v>
      </c>
      <c r="S7" s="1">
        <v>890</v>
      </c>
      <c r="T7" s="1">
        <v>1090</v>
      </c>
      <c r="U7" s="1">
        <v>14</v>
      </c>
      <c r="V7" s="1">
        <v>1</v>
      </c>
      <c r="W7" s="1">
        <v>0</v>
      </c>
      <c r="X7" s="1">
        <v>1</v>
      </c>
      <c r="Y7" s="1">
        <v>0</v>
      </c>
      <c r="Z7" s="1">
        <v>0</v>
      </c>
      <c r="AA7" s="1" t="s">
        <v>664</v>
      </c>
      <c r="AB7" s="1">
        <v>36</v>
      </c>
      <c r="AC7" s="8">
        <v>6</v>
      </c>
      <c r="AD7" s="1">
        <v>22</v>
      </c>
      <c r="AE7" s="1">
        <v>21</v>
      </c>
      <c r="AF7" s="1">
        <v>16</v>
      </c>
      <c r="AG7" s="1">
        <v>0</v>
      </c>
      <c r="AH7" s="1">
        <v>2</v>
      </c>
      <c r="AI7" s="1">
        <v>11.2</v>
      </c>
      <c r="AJ7" s="1">
        <v>0</v>
      </c>
      <c r="AK7" s="1">
        <v>6.3</v>
      </c>
      <c r="AL7" s="1">
        <v>16.600000000000001</v>
      </c>
      <c r="AM7" s="1">
        <v>14.5</v>
      </c>
      <c r="AN7" s="1">
        <v>3.6</v>
      </c>
      <c r="AR7" s="10" t="s">
        <v>719</v>
      </c>
      <c r="AS7" s="10" t="s">
        <v>712</v>
      </c>
      <c r="AT7" s="10">
        <v>1.5</v>
      </c>
      <c r="AU7" s="10">
        <v>2.5</v>
      </c>
      <c r="AV7" s="10"/>
      <c r="AW7" s="10"/>
    </row>
    <row r="8" spans="1:49" x14ac:dyDescent="0.35">
      <c r="A8" s="1" t="s">
        <v>1173</v>
      </c>
      <c r="B8" s="12">
        <v>44931</v>
      </c>
      <c r="C8" s="1" t="s">
        <v>1175</v>
      </c>
      <c r="D8" s="1" t="s">
        <v>1170</v>
      </c>
      <c r="E8" s="1">
        <v>1</v>
      </c>
      <c r="F8" s="1">
        <v>0</v>
      </c>
      <c r="G8" s="1">
        <v>0</v>
      </c>
      <c r="H8" s="1">
        <v>0</v>
      </c>
      <c r="I8" s="1">
        <v>0</v>
      </c>
      <c r="J8" s="1">
        <v>1</v>
      </c>
      <c r="K8" s="1">
        <v>0</v>
      </c>
      <c r="L8" s="1">
        <v>0</v>
      </c>
      <c r="M8" s="1">
        <v>1</v>
      </c>
      <c r="N8" s="1">
        <v>0</v>
      </c>
      <c r="O8" s="1">
        <v>0</v>
      </c>
      <c r="P8" s="1">
        <v>11</v>
      </c>
      <c r="Q8" s="1">
        <v>3523</v>
      </c>
      <c r="R8" s="1">
        <v>0</v>
      </c>
      <c r="S8" s="1">
        <v>954</v>
      </c>
      <c r="T8" s="1">
        <v>1070</v>
      </c>
      <c r="U8" s="1">
        <v>14</v>
      </c>
      <c r="V8" s="1">
        <v>1</v>
      </c>
      <c r="W8" s="1">
        <v>0</v>
      </c>
      <c r="X8" s="1">
        <v>1</v>
      </c>
      <c r="Y8" s="1">
        <v>0</v>
      </c>
      <c r="Z8" s="1">
        <v>0</v>
      </c>
      <c r="AA8" s="1" t="s">
        <v>664</v>
      </c>
      <c r="AB8" s="1">
        <v>36</v>
      </c>
      <c r="AC8" s="8">
        <v>5.9</v>
      </c>
      <c r="AD8" s="1">
        <v>22</v>
      </c>
      <c r="AE8" s="1">
        <v>21</v>
      </c>
      <c r="AF8" s="1">
        <v>16</v>
      </c>
      <c r="AG8" s="1">
        <v>0</v>
      </c>
      <c r="AH8" s="1">
        <v>1.8</v>
      </c>
      <c r="AI8" s="1">
        <v>12.8</v>
      </c>
      <c r="AJ8" s="1">
        <v>0</v>
      </c>
      <c r="AK8" s="1">
        <v>6.7</v>
      </c>
      <c r="AL8" s="8">
        <v>17.2</v>
      </c>
      <c r="AM8" s="1">
        <v>15.2</v>
      </c>
      <c r="AN8" s="1">
        <v>3.9</v>
      </c>
      <c r="AR8" s="10" t="s">
        <v>726</v>
      </c>
      <c r="AS8" s="10" t="s">
        <v>712</v>
      </c>
      <c r="AT8" s="10">
        <v>7.9</v>
      </c>
      <c r="AU8" s="10">
        <v>8.9</v>
      </c>
      <c r="AV8" s="10"/>
      <c r="AW8" s="10"/>
    </row>
    <row r="9" spans="1:49" x14ac:dyDescent="0.35">
      <c r="A9" s="1" t="s">
        <v>1174</v>
      </c>
      <c r="B9" s="12">
        <v>44931</v>
      </c>
      <c r="C9" s="1" t="s">
        <v>1175</v>
      </c>
      <c r="D9" s="1" t="s">
        <v>1170</v>
      </c>
      <c r="E9" s="1">
        <v>2</v>
      </c>
      <c r="F9" s="1">
        <v>0</v>
      </c>
      <c r="G9" s="1">
        <v>0</v>
      </c>
      <c r="H9" s="1">
        <v>0</v>
      </c>
      <c r="I9" s="1">
        <v>0</v>
      </c>
      <c r="J9" s="1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10</v>
      </c>
      <c r="Q9" s="1">
        <v>3318</v>
      </c>
      <c r="R9" s="1">
        <v>0</v>
      </c>
      <c r="S9" s="1">
        <v>890</v>
      </c>
      <c r="T9" s="1">
        <v>1001</v>
      </c>
      <c r="U9" s="1">
        <v>15</v>
      </c>
      <c r="V9" s="1">
        <v>1</v>
      </c>
      <c r="W9" s="1">
        <v>0</v>
      </c>
      <c r="X9" s="1">
        <v>1</v>
      </c>
      <c r="Y9" s="1">
        <v>0</v>
      </c>
      <c r="Z9" s="1">
        <v>0</v>
      </c>
      <c r="AA9" s="1" t="s">
        <v>664</v>
      </c>
      <c r="AB9" s="1">
        <v>36</v>
      </c>
      <c r="AC9" s="8">
        <v>5.9</v>
      </c>
      <c r="AD9" s="1">
        <v>22</v>
      </c>
      <c r="AE9" s="1">
        <v>21</v>
      </c>
      <c r="AF9" s="1">
        <v>16</v>
      </c>
      <c r="AG9" s="1">
        <v>0</v>
      </c>
      <c r="AH9" s="1">
        <v>2</v>
      </c>
      <c r="AI9" s="1">
        <v>11.1</v>
      </c>
      <c r="AJ9" s="1">
        <v>0</v>
      </c>
      <c r="AK9" s="1">
        <v>6.4</v>
      </c>
      <c r="AL9" s="1">
        <v>16.600000000000001</v>
      </c>
      <c r="AM9" s="1">
        <v>14.5</v>
      </c>
      <c r="AN9" s="1">
        <v>3.6</v>
      </c>
      <c r="AR9" s="10" t="s">
        <v>316</v>
      </c>
      <c r="AS9" s="10" t="s">
        <v>968</v>
      </c>
      <c r="AT9" s="10">
        <v>1</v>
      </c>
      <c r="AU9" s="10">
        <v>2</v>
      </c>
      <c r="AV9" s="10"/>
      <c r="AW9" s="10"/>
    </row>
    <row r="10" spans="1:49" x14ac:dyDescent="0.35"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R10" s="10" t="s">
        <v>722</v>
      </c>
      <c r="AS10" s="10" t="s">
        <v>712</v>
      </c>
      <c r="AT10" s="10">
        <v>1.5</v>
      </c>
      <c r="AU10" s="10">
        <v>2.5</v>
      </c>
      <c r="AV10" s="10"/>
      <c r="AW10" s="10"/>
    </row>
    <row r="11" spans="1:49" x14ac:dyDescent="0.35">
      <c r="A11" s="11" t="s">
        <v>649</v>
      </c>
      <c r="B11" s="11" t="s">
        <v>321</v>
      </c>
      <c r="C11" s="11" t="s">
        <v>2</v>
      </c>
      <c r="D11" s="11" t="s">
        <v>650</v>
      </c>
      <c r="E11" s="11" t="s">
        <v>338</v>
      </c>
      <c r="F11" s="11" t="s">
        <v>339</v>
      </c>
      <c r="G11" s="11" t="s">
        <v>340</v>
      </c>
      <c r="H11" s="11" t="s">
        <v>341</v>
      </c>
      <c r="I11" s="11" t="s">
        <v>342</v>
      </c>
      <c r="J11" s="11" t="s">
        <v>343</v>
      </c>
      <c r="K11" s="11" t="s">
        <v>344</v>
      </c>
      <c r="L11" s="11" t="s">
        <v>345</v>
      </c>
      <c r="M11" s="11" t="s">
        <v>354</v>
      </c>
      <c r="N11" s="11" t="s">
        <v>355</v>
      </c>
      <c r="O11" s="11" t="s">
        <v>356</v>
      </c>
      <c r="P11" s="11" t="s">
        <v>349</v>
      </c>
      <c r="Q11" s="11" t="s">
        <v>350</v>
      </c>
      <c r="R11" s="11" t="s">
        <v>351</v>
      </c>
      <c r="S11" s="11" t="s">
        <v>352</v>
      </c>
      <c r="T11" s="11" t="s">
        <v>353</v>
      </c>
      <c r="U11" s="11" t="s">
        <v>346</v>
      </c>
      <c r="V11" s="11" t="s">
        <v>348</v>
      </c>
      <c r="W11" s="11" t="s">
        <v>347</v>
      </c>
      <c r="X11" s="11" t="s">
        <v>359</v>
      </c>
      <c r="Y11" s="11" t="s">
        <v>358</v>
      </c>
      <c r="Z11" s="11" t="s">
        <v>357</v>
      </c>
      <c r="AA11" s="11" t="s">
        <v>651</v>
      </c>
      <c r="AB11" s="11" t="s">
        <v>671</v>
      </c>
      <c r="AC11" s="11" t="s">
        <v>652</v>
      </c>
      <c r="AD11" s="11" t="s">
        <v>653</v>
      </c>
      <c r="AE11" s="11" t="s">
        <v>654</v>
      </c>
      <c r="AF11" s="11" t="s">
        <v>655</v>
      </c>
      <c r="AG11" s="11" t="s">
        <v>656</v>
      </c>
      <c r="AH11" s="11" t="s">
        <v>128</v>
      </c>
      <c r="AI11" s="11" t="s">
        <v>332</v>
      </c>
      <c r="AJ11" s="11" t="s">
        <v>657</v>
      </c>
      <c r="AK11" s="11" t="s">
        <v>658</v>
      </c>
      <c r="AL11" s="11" t="s">
        <v>659</v>
      </c>
      <c r="AM11" s="11" t="s">
        <v>660</v>
      </c>
      <c r="AN11" s="11" t="s">
        <v>661</v>
      </c>
      <c r="AO11" s="11" t="s">
        <v>133</v>
      </c>
      <c r="AR11" s="10" t="s">
        <v>714</v>
      </c>
      <c r="AS11" s="10" t="s">
        <v>712</v>
      </c>
      <c r="AT11" s="10">
        <v>2.7</v>
      </c>
      <c r="AU11" s="10">
        <v>3.5</v>
      </c>
      <c r="AV11" s="10"/>
      <c r="AW11" s="10"/>
    </row>
    <row r="12" spans="1:49" x14ac:dyDescent="0.35">
      <c r="A12" s="1" t="s">
        <v>672</v>
      </c>
      <c r="B12" s="12">
        <v>44744</v>
      </c>
      <c r="C12" s="1" t="s">
        <v>663</v>
      </c>
      <c r="D12" s="1" t="s">
        <v>673</v>
      </c>
      <c r="E12" s="1">
        <v>1</v>
      </c>
      <c r="F12" s="1">
        <v>0</v>
      </c>
      <c r="G12" s="1">
        <v>0</v>
      </c>
      <c r="H12" s="1">
        <v>0</v>
      </c>
      <c r="I12" s="1">
        <v>0</v>
      </c>
      <c r="J12" s="1">
        <v>1</v>
      </c>
      <c r="K12" s="1">
        <v>0</v>
      </c>
      <c r="L12" s="1">
        <v>0</v>
      </c>
      <c r="M12" s="1">
        <v>64</v>
      </c>
      <c r="N12" s="1">
        <v>0</v>
      </c>
      <c r="O12" s="1">
        <v>0</v>
      </c>
      <c r="P12" s="1">
        <v>318</v>
      </c>
      <c r="Q12" s="1">
        <v>1460</v>
      </c>
      <c r="R12" s="1">
        <v>0</v>
      </c>
      <c r="S12" s="1">
        <v>1349</v>
      </c>
      <c r="T12" s="1">
        <v>1493</v>
      </c>
      <c r="U12" s="1">
        <v>6</v>
      </c>
      <c r="V12" s="1">
        <v>2</v>
      </c>
      <c r="W12" s="1">
        <v>102</v>
      </c>
      <c r="X12" s="1">
        <v>0</v>
      </c>
      <c r="Y12" s="1">
        <v>0</v>
      </c>
      <c r="Z12" s="1">
        <v>0</v>
      </c>
      <c r="AA12" s="1" t="s">
        <v>664</v>
      </c>
      <c r="AB12" s="1">
        <v>0</v>
      </c>
      <c r="AC12" s="1">
        <v>99</v>
      </c>
      <c r="AD12" s="1">
        <v>14.6</v>
      </c>
      <c r="AE12" s="1">
        <v>21</v>
      </c>
      <c r="AF12" s="1">
        <v>19</v>
      </c>
      <c r="AG12" s="1">
        <v>12</v>
      </c>
      <c r="AH12" s="1">
        <v>0</v>
      </c>
      <c r="AI12" s="1">
        <v>2.6</v>
      </c>
      <c r="AJ12" s="1">
        <v>17.2</v>
      </c>
      <c r="AK12" s="1">
        <v>0.9</v>
      </c>
      <c r="AL12" s="1">
        <v>14.1</v>
      </c>
      <c r="AM12" s="1">
        <v>20.5</v>
      </c>
      <c r="AN12" s="1">
        <v>20.8</v>
      </c>
      <c r="AO12" s="1">
        <v>4.3</v>
      </c>
      <c r="AR12" s="10" t="s">
        <v>738</v>
      </c>
      <c r="AS12" s="10" t="s">
        <v>967</v>
      </c>
      <c r="AT12" s="10">
        <v>8.9</v>
      </c>
      <c r="AU12" s="10">
        <v>9.1999999999999993</v>
      </c>
      <c r="AV12" s="10"/>
      <c r="AW12" s="10"/>
    </row>
    <row r="13" spans="1:49" x14ac:dyDescent="0.35">
      <c r="A13" s="1" t="s">
        <v>674</v>
      </c>
      <c r="B13" s="12">
        <v>44744</v>
      </c>
      <c r="C13" s="1" t="s">
        <v>668</v>
      </c>
      <c r="D13" s="1" t="s">
        <v>673</v>
      </c>
      <c r="E13" s="1">
        <v>2</v>
      </c>
      <c r="F13" s="1">
        <v>0</v>
      </c>
      <c r="G13" s="1">
        <v>0</v>
      </c>
      <c r="H13" s="1">
        <v>0</v>
      </c>
      <c r="I13" s="1">
        <v>0</v>
      </c>
      <c r="J13" s="1">
        <v>1</v>
      </c>
      <c r="K13" s="1">
        <v>0</v>
      </c>
      <c r="L13" s="1">
        <v>0</v>
      </c>
      <c r="M13" s="1">
        <v>66</v>
      </c>
      <c r="N13" s="1">
        <v>0</v>
      </c>
      <c r="O13" s="1">
        <v>1</v>
      </c>
      <c r="P13" s="1">
        <v>321</v>
      </c>
      <c r="Q13" s="1">
        <v>1467</v>
      </c>
      <c r="R13" s="1">
        <v>0</v>
      </c>
      <c r="S13" s="1">
        <v>1379</v>
      </c>
      <c r="T13" s="1">
        <v>1565</v>
      </c>
      <c r="U13" s="1">
        <v>7</v>
      </c>
      <c r="V13" s="1">
        <v>3</v>
      </c>
      <c r="W13" s="1">
        <v>101</v>
      </c>
      <c r="X13" s="1">
        <v>0</v>
      </c>
      <c r="Y13" s="1">
        <v>0</v>
      </c>
      <c r="Z13" s="1">
        <v>1</v>
      </c>
      <c r="AA13" s="1" t="s">
        <v>664</v>
      </c>
      <c r="AB13" s="1">
        <v>0</v>
      </c>
      <c r="AC13" s="1">
        <v>99</v>
      </c>
      <c r="AD13" s="1">
        <v>14.6</v>
      </c>
      <c r="AE13" s="1">
        <v>21</v>
      </c>
      <c r="AF13" s="1">
        <v>19</v>
      </c>
      <c r="AG13" s="1">
        <v>12</v>
      </c>
      <c r="AH13" s="1">
        <v>0</v>
      </c>
      <c r="AI13" s="1">
        <v>2.6</v>
      </c>
      <c r="AJ13" s="1">
        <v>17.3</v>
      </c>
      <c r="AK13" s="1">
        <v>0.9</v>
      </c>
      <c r="AL13" s="1">
        <v>14.1</v>
      </c>
      <c r="AM13" s="1">
        <v>20.6</v>
      </c>
      <c r="AN13" s="1">
        <v>20.8</v>
      </c>
      <c r="AO13" s="1">
        <v>4.3</v>
      </c>
      <c r="AR13" s="10" t="s">
        <v>333</v>
      </c>
      <c r="AS13" s="10" t="s">
        <v>967</v>
      </c>
      <c r="AT13" s="10">
        <v>23.6</v>
      </c>
      <c r="AU13" s="10">
        <v>24.4</v>
      </c>
      <c r="AV13" s="10"/>
      <c r="AW13" s="10"/>
    </row>
    <row r="14" spans="1:49" x14ac:dyDescent="0.35">
      <c r="A14" s="1" t="s">
        <v>675</v>
      </c>
      <c r="B14" s="1" t="s">
        <v>666</v>
      </c>
      <c r="C14" s="1" t="s">
        <v>663</v>
      </c>
      <c r="D14" s="1" t="s">
        <v>673</v>
      </c>
      <c r="E14" s="1">
        <v>1</v>
      </c>
      <c r="F14" s="1">
        <v>0</v>
      </c>
      <c r="G14" s="1">
        <v>0</v>
      </c>
      <c r="H14" s="1">
        <v>0</v>
      </c>
      <c r="I14" s="1">
        <v>0</v>
      </c>
      <c r="J14" s="1">
        <v>1</v>
      </c>
      <c r="K14" s="1">
        <v>0</v>
      </c>
      <c r="L14" s="1">
        <v>0</v>
      </c>
      <c r="M14" s="1">
        <v>69</v>
      </c>
      <c r="N14" s="1">
        <v>0</v>
      </c>
      <c r="O14" s="1">
        <v>0</v>
      </c>
      <c r="P14" s="1">
        <v>333</v>
      </c>
      <c r="Q14" s="1">
        <v>1512</v>
      </c>
      <c r="R14" s="1">
        <v>0</v>
      </c>
      <c r="S14" s="1">
        <v>1389</v>
      </c>
      <c r="T14" s="1">
        <v>1624</v>
      </c>
      <c r="U14" s="1">
        <v>6</v>
      </c>
      <c r="V14" s="1">
        <v>2</v>
      </c>
      <c r="W14" s="1">
        <v>101</v>
      </c>
      <c r="X14" s="1">
        <v>0</v>
      </c>
      <c r="Y14" s="1">
        <v>0</v>
      </c>
      <c r="Z14" s="1">
        <v>1</v>
      </c>
      <c r="AA14" s="1" t="s">
        <v>664</v>
      </c>
      <c r="AB14" s="1">
        <v>0</v>
      </c>
      <c r="AC14" s="1">
        <v>99</v>
      </c>
      <c r="AD14" s="1">
        <v>14.6</v>
      </c>
      <c r="AE14" s="1">
        <v>18</v>
      </c>
      <c r="AF14" s="1">
        <v>16</v>
      </c>
      <c r="AG14" s="1">
        <v>13</v>
      </c>
      <c r="AH14" s="1">
        <v>1</v>
      </c>
      <c r="AI14" s="1">
        <v>2.4</v>
      </c>
      <c r="AJ14" s="1">
        <v>16.7</v>
      </c>
      <c r="AK14" s="1">
        <v>0.9</v>
      </c>
      <c r="AL14" s="1">
        <v>14.2</v>
      </c>
      <c r="AM14" s="1">
        <v>20.5</v>
      </c>
      <c r="AN14" s="1">
        <v>20.6</v>
      </c>
      <c r="AO14" s="1">
        <v>4.2</v>
      </c>
      <c r="AR14" s="10" t="s">
        <v>741</v>
      </c>
      <c r="AS14" s="10"/>
      <c r="AT14" s="10">
        <v>4.5999999999999996</v>
      </c>
      <c r="AU14" s="10">
        <v>5.4</v>
      </c>
      <c r="AV14" s="10"/>
      <c r="AW14" s="10"/>
    </row>
    <row r="15" spans="1:49" x14ac:dyDescent="0.35">
      <c r="A15" s="1" t="s">
        <v>676</v>
      </c>
      <c r="B15" s="1" t="s">
        <v>666</v>
      </c>
      <c r="C15" s="1" t="s">
        <v>668</v>
      </c>
      <c r="D15" s="1" t="s">
        <v>673</v>
      </c>
      <c r="E15" s="1">
        <v>1</v>
      </c>
      <c r="F15" s="1">
        <v>0</v>
      </c>
      <c r="G15" s="1">
        <v>0</v>
      </c>
      <c r="H15" s="1">
        <v>0</v>
      </c>
      <c r="I15" s="1">
        <v>0</v>
      </c>
      <c r="J15" s="1">
        <v>1</v>
      </c>
      <c r="K15" s="1">
        <v>0</v>
      </c>
      <c r="L15" s="1">
        <v>0</v>
      </c>
      <c r="M15" s="1">
        <v>65</v>
      </c>
      <c r="N15" s="1">
        <v>0</v>
      </c>
      <c r="O15" s="1">
        <v>0</v>
      </c>
      <c r="P15" s="1">
        <v>310</v>
      </c>
      <c r="Q15" s="1">
        <v>1415</v>
      </c>
      <c r="R15" s="1">
        <v>0</v>
      </c>
      <c r="S15" s="1">
        <v>1397</v>
      </c>
      <c r="T15" s="1">
        <v>1492</v>
      </c>
      <c r="U15" s="1">
        <v>5</v>
      </c>
      <c r="V15" s="1">
        <v>2</v>
      </c>
      <c r="W15" s="1">
        <v>95</v>
      </c>
      <c r="X15" s="1">
        <v>0</v>
      </c>
      <c r="Y15" s="1">
        <v>0</v>
      </c>
      <c r="Z15" s="1">
        <v>1</v>
      </c>
      <c r="AA15" s="1" t="s">
        <v>664</v>
      </c>
      <c r="AB15" s="1">
        <v>0</v>
      </c>
      <c r="AC15" s="1">
        <v>98</v>
      </c>
      <c r="AD15" s="1">
        <v>14.6</v>
      </c>
      <c r="AE15" s="1">
        <v>20</v>
      </c>
      <c r="AF15" s="1">
        <v>17</v>
      </c>
      <c r="AG15" s="1">
        <v>13</v>
      </c>
      <c r="AH15" s="1">
        <v>1</v>
      </c>
      <c r="AI15" s="1">
        <v>2.4</v>
      </c>
      <c r="AJ15" s="1">
        <v>16.600000000000001</v>
      </c>
      <c r="AK15" s="1">
        <v>0.9</v>
      </c>
      <c r="AL15" s="1">
        <v>14.2</v>
      </c>
      <c r="AM15" s="1">
        <v>20.5</v>
      </c>
      <c r="AN15" s="1">
        <v>20.6</v>
      </c>
      <c r="AO15" s="1">
        <v>4.2</v>
      </c>
      <c r="AR15" s="10" t="s">
        <v>715</v>
      </c>
      <c r="AS15" s="10" t="s">
        <v>712</v>
      </c>
      <c r="AT15" s="10">
        <v>2.5</v>
      </c>
      <c r="AU15" s="10">
        <v>3.5</v>
      </c>
      <c r="AV15" s="10"/>
      <c r="AW15" s="10"/>
    </row>
    <row r="16" spans="1:49" x14ac:dyDescent="0.35">
      <c r="A16" s="1" t="s">
        <v>1177</v>
      </c>
      <c r="B16" s="1">
        <v>45112</v>
      </c>
      <c r="C16" s="1" t="s">
        <v>1176</v>
      </c>
      <c r="D16" s="1" t="s">
        <v>1182</v>
      </c>
      <c r="E16" s="1">
        <v>2</v>
      </c>
      <c r="F16" s="1">
        <v>0</v>
      </c>
      <c r="G16" s="1">
        <v>0</v>
      </c>
      <c r="H16" s="1">
        <v>0</v>
      </c>
      <c r="I16" s="1">
        <v>0</v>
      </c>
      <c r="J16" s="1">
        <v>2</v>
      </c>
      <c r="K16" s="1">
        <v>0</v>
      </c>
      <c r="L16" s="1">
        <v>0</v>
      </c>
      <c r="M16" s="13">
        <v>45</v>
      </c>
      <c r="N16" s="1">
        <v>0</v>
      </c>
      <c r="O16" s="1">
        <v>0</v>
      </c>
      <c r="P16" s="13">
        <v>443</v>
      </c>
      <c r="Q16" s="13">
        <v>1596</v>
      </c>
      <c r="R16" s="1">
        <v>0</v>
      </c>
      <c r="S16" s="13">
        <v>1035</v>
      </c>
      <c r="T16" s="13">
        <v>1166</v>
      </c>
      <c r="U16" s="13">
        <v>10</v>
      </c>
      <c r="V16" s="13">
        <v>2</v>
      </c>
      <c r="W16" s="13">
        <v>69</v>
      </c>
      <c r="X16" s="1">
        <v>0</v>
      </c>
      <c r="Y16" s="1">
        <v>0</v>
      </c>
      <c r="Z16" s="1">
        <v>0</v>
      </c>
      <c r="AA16" s="1" t="s">
        <v>664</v>
      </c>
      <c r="AB16" s="1">
        <v>0</v>
      </c>
      <c r="AC16" s="13">
        <v>107</v>
      </c>
      <c r="AD16" s="258">
        <v>14.1</v>
      </c>
      <c r="AE16" s="1">
        <v>23</v>
      </c>
      <c r="AF16" s="1">
        <v>21</v>
      </c>
      <c r="AG16" s="1">
        <v>15</v>
      </c>
      <c r="AH16" s="1">
        <v>0</v>
      </c>
      <c r="AI16" s="8">
        <v>2</v>
      </c>
      <c r="AJ16" s="1">
        <v>20.8</v>
      </c>
      <c r="AK16" s="1">
        <v>1.3</v>
      </c>
      <c r="AL16" s="1">
        <v>20.7</v>
      </c>
      <c r="AM16" s="1">
        <v>21.3</v>
      </c>
      <c r="AN16" s="8">
        <v>27.3</v>
      </c>
      <c r="AO16" s="1">
        <v>5</v>
      </c>
      <c r="AR16" s="10" t="s">
        <v>969</v>
      </c>
      <c r="AS16" s="10" t="s">
        <v>712</v>
      </c>
      <c r="AT16" s="10">
        <v>0.5</v>
      </c>
      <c r="AU16" s="10">
        <v>1</v>
      </c>
      <c r="AV16" s="10"/>
      <c r="AW16" s="10"/>
    </row>
    <row r="17" spans="1:49" x14ac:dyDescent="0.35">
      <c r="A17" s="1" t="s">
        <v>1178</v>
      </c>
      <c r="B17" s="1">
        <v>44931</v>
      </c>
      <c r="C17" s="1" t="s">
        <v>1176</v>
      </c>
      <c r="D17" s="1" t="s">
        <v>1182</v>
      </c>
      <c r="E17" s="1">
        <v>1</v>
      </c>
      <c r="F17" s="1">
        <v>0</v>
      </c>
      <c r="G17" s="1">
        <v>0</v>
      </c>
      <c r="H17" s="1">
        <v>0</v>
      </c>
      <c r="I17" s="1">
        <v>0</v>
      </c>
      <c r="J17" s="1">
        <v>2</v>
      </c>
      <c r="K17" s="1">
        <v>0</v>
      </c>
      <c r="L17" s="1">
        <v>0</v>
      </c>
      <c r="M17" s="13">
        <v>44</v>
      </c>
      <c r="N17" s="1">
        <v>0</v>
      </c>
      <c r="O17" s="1">
        <v>0</v>
      </c>
      <c r="P17" s="13">
        <v>420</v>
      </c>
      <c r="Q17" s="13">
        <v>1548</v>
      </c>
      <c r="R17" s="1">
        <v>0</v>
      </c>
      <c r="S17" s="13">
        <v>1031</v>
      </c>
      <c r="T17" s="13">
        <v>1135</v>
      </c>
      <c r="U17" s="13">
        <v>11</v>
      </c>
      <c r="V17" s="13">
        <v>1</v>
      </c>
      <c r="W17" s="13">
        <v>65</v>
      </c>
      <c r="X17" s="1">
        <v>0</v>
      </c>
      <c r="Y17" s="1">
        <v>0</v>
      </c>
      <c r="Z17" s="1">
        <v>0</v>
      </c>
      <c r="AA17" s="1" t="s">
        <v>664</v>
      </c>
      <c r="AB17" s="1">
        <v>0</v>
      </c>
      <c r="AC17" s="13">
        <v>108</v>
      </c>
      <c r="AD17" s="258">
        <v>14.2</v>
      </c>
      <c r="AE17" s="1">
        <v>23</v>
      </c>
      <c r="AF17" s="1">
        <v>21</v>
      </c>
      <c r="AG17" s="1">
        <v>14</v>
      </c>
      <c r="AH17" s="1">
        <v>0</v>
      </c>
      <c r="AI17" s="8">
        <v>2.2000000000000002</v>
      </c>
      <c r="AJ17" s="1">
        <v>15.3</v>
      </c>
      <c r="AK17" s="1">
        <v>0.8</v>
      </c>
      <c r="AL17" s="1">
        <v>20.3</v>
      </c>
      <c r="AM17" s="1">
        <v>20</v>
      </c>
      <c r="AN17" s="8">
        <v>24.4</v>
      </c>
      <c r="AO17" s="8">
        <v>4.7</v>
      </c>
      <c r="AR17" s="10" t="s">
        <v>724</v>
      </c>
      <c r="AS17" s="10" t="s">
        <v>712</v>
      </c>
      <c r="AT17" s="10">
        <v>2.9</v>
      </c>
      <c r="AU17" s="10">
        <v>3.9</v>
      </c>
      <c r="AV17" s="10"/>
      <c r="AW17" s="10"/>
    </row>
    <row r="18" spans="1:49" x14ac:dyDescent="0.35">
      <c r="A18" s="1" t="s">
        <v>1179</v>
      </c>
      <c r="B18" s="1" t="s">
        <v>1181</v>
      </c>
      <c r="C18" s="1" t="s">
        <v>1176</v>
      </c>
      <c r="D18" s="1" t="s">
        <v>1182</v>
      </c>
      <c r="E18" s="1">
        <v>1</v>
      </c>
      <c r="F18" s="1">
        <v>0</v>
      </c>
      <c r="G18" s="1">
        <v>0</v>
      </c>
      <c r="H18" s="1">
        <v>0</v>
      </c>
      <c r="I18" s="1">
        <v>0</v>
      </c>
      <c r="J18" s="1">
        <v>2</v>
      </c>
      <c r="K18" s="1">
        <v>0</v>
      </c>
      <c r="L18" s="1">
        <v>0</v>
      </c>
      <c r="M18" s="13">
        <v>43</v>
      </c>
      <c r="N18" s="1">
        <v>0</v>
      </c>
      <c r="O18" s="1">
        <v>0</v>
      </c>
      <c r="P18" s="13">
        <v>415</v>
      </c>
      <c r="Q18" s="13">
        <v>1513</v>
      </c>
      <c r="R18" s="1">
        <v>0</v>
      </c>
      <c r="S18" s="13">
        <v>991</v>
      </c>
      <c r="T18" s="13">
        <v>1115</v>
      </c>
      <c r="U18" s="13">
        <v>10</v>
      </c>
      <c r="V18" s="13">
        <v>1</v>
      </c>
      <c r="W18" s="13">
        <v>65</v>
      </c>
      <c r="X18" s="1">
        <v>0</v>
      </c>
      <c r="Y18" s="1">
        <v>0</v>
      </c>
      <c r="Z18" s="1">
        <v>0</v>
      </c>
      <c r="AA18" s="1" t="s">
        <v>664</v>
      </c>
      <c r="AB18" s="1">
        <v>0</v>
      </c>
      <c r="AC18" s="13">
        <v>107</v>
      </c>
      <c r="AD18" s="258">
        <v>14.2</v>
      </c>
      <c r="AE18" s="1">
        <v>23</v>
      </c>
      <c r="AF18" s="1">
        <v>22</v>
      </c>
      <c r="AG18" s="1">
        <v>14</v>
      </c>
      <c r="AH18" s="1">
        <v>0</v>
      </c>
      <c r="AI18" s="8">
        <v>2.1</v>
      </c>
      <c r="AJ18" s="1">
        <v>15.7</v>
      </c>
      <c r="AK18" s="1">
        <v>0.7</v>
      </c>
      <c r="AL18" s="1">
        <v>20.100000000000001</v>
      </c>
      <c r="AM18" s="1">
        <v>20.100000000000001</v>
      </c>
      <c r="AN18" s="8">
        <v>24.6</v>
      </c>
      <c r="AO18" s="8">
        <v>4.7</v>
      </c>
      <c r="AR18" s="10"/>
      <c r="AS18" s="10"/>
      <c r="AT18" s="10"/>
      <c r="AU18" s="10"/>
      <c r="AV18" s="10"/>
      <c r="AW18" s="10"/>
    </row>
    <row r="19" spans="1:49" x14ac:dyDescent="0.35">
      <c r="A19" s="1" t="s">
        <v>1180</v>
      </c>
      <c r="B19" s="1" t="s">
        <v>1181</v>
      </c>
      <c r="C19" s="1" t="s">
        <v>1176</v>
      </c>
      <c r="D19" s="1" t="s">
        <v>1182</v>
      </c>
      <c r="E19" s="1">
        <v>2</v>
      </c>
      <c r="F19" s="1">
        <v>0</v>
      </c>
      <c r="G19" s="1">
        <v>0</v>
      </c>
      <c r="H19" s="1">
        <v>0</v>
      </c>
      <c r="I19" s="1">
        <v>0</v>
      </c>
      <c r="J19" s="1">
        <v>2</v>
      </c>
      <c r="K19" s="1">
        <v>0</v>
      </c>
      <c r="L19" s="1">
        <v>0</v>
      </c>
      <c r="M19" s="13">
        <v>43</v>
      </c>
      <c r="N19" s="1">
        <v>0</v>
      </c>
      <c r="O19" s="1">
        <v>0</v>
      </c>
      <c r="P19" s="13">
        <v>426</v>
      </c>
      <c r="Q19" s="13">
        <v>1540</v>
      </c>
      <c r="R19" s="1">
        <v>0</v>
      </c>
      <c r="S19" s="13">
        <v>993</v>
      </c>
      <c r="T19" s="13">
        <v>1134</v>
      </c>
      <c r="U19" s="13">
        <v>10</v>
      </c>
      <c r="V19" s="13">
        <v>2</v>
      </c>
      <c r="W19" s="13">
        <v>68</v>
      </c>
      <c r="X19" s="1">
        <v>0</v>
      </c>
      <c r="Y19" s="1">
        <v>0</v>
      </c>
      <c r="Z19" s="1">
        <v>0</v>
      </c>
      <c r="AA19" s="1" t="s">
        <v>664</v>
      </c>
      <c r="AB19" s="1">
        <v>0</v>
      </c>
      <c r="AC19" s="13">
        <v>108</v>
      </c>
      <c r="AD19" s="258">
        <v>14.2</v>
      </c>
      <c r="AE19" s="1">
        <v>23</v>
      </c>
      <c r="AF19" s="1">
        <v>21</v>
      </c>
      <c r="AG19" s="1">
        <v>14</v>
      </c>
      <c r="AH19" s="1">
        <v>0</v>
      </c>
      <c r="AI19" s="8">
        <v>2.1</v>
      </c>
      <c r="AJ19" s="1">
        <v>15.8</v>
      </c>
      <c r="AK19" s="1">
        <v>0.7</v>
      </c>
      <c r="AL19" s="1">
        <v>20.3</v>
      </c>
      <c r="AM19" s="1">
        <v>20.2</v>
      </c>
      <c r="AN19" s="8">
        <v>24.7</v>
      </c>
      <c r="AO19" s="8">
        <v>4.7</v>
      </c>
      <c r="AR19" s="10"/>
      <c r="AS19" s="10"/>
      <c r="AT19" s="10"/>
      <c r="AU19" s="10"/>
      <c r="AV19" s="10"/>
      <c r="AW19" s="10"/>
    </row>
    <row r="20" spans="1:49" x14ac:dyDescent="0.35">
      <c r="AR20" s="10"/>
      <c r="AS20" s="10"/>
      <c r="AT20" s="10"/>
      <c r="AU20" s="10"/>
      <c r="AV20" s="10"/>
      <c r="AW20" s="10"/>
    </row>
    <row r="21" spans="1:49" x14ac:dyDescent="0.35">
      <c r="AR21" s="10"/>
      <c r="AS21" s="10"/>
      <c r="AT21" s="10"/>
      <c r="AU21" s="10"/>
      <c r="AV21" s="10"/>
      <c r="AW21" s="10"/>
    </row>
    <row r="22" spans="1:49" x14ac:dyDescent="0.35">
      <c r="A22" s="11" t="s">
        <v>649</v>
      </c>
      <c r="B22" s="11" t="s">
        <v>321</v>
      </c>
      <c r="C22" s="11" t="s">
        <v>2</v>
      </c>
      <c r="D22" s="11" t="s">
        <v>650</v>
      </c>
      <c r="E22" s="11" t="s">
        <v>338</v>
      </c>
      <c r="F22" s="11" t="s">
        <v>339</v>
      </c>
      <c r="G22" s="11" t="s">
        <v>340</v>
      </c>
      <c r="H22" s="11" t="s">
        <v>341</v>
      </c>
      <c r="I22" s="11" t="s">
        <v>342</v>
      </c>
      <c r="J22" s="11" t="s">
        <v>343</v>
      </c>
      <c r="K22" s="11" t="s">
        <v>344</v>
      </c>
      <c r="L22" s="11" t="s">
        <v>345</v>
      </c>
      <c r="M22" s="11" t="s">
        <v>354</v>
      </c>
      <c r="N22" s="11" t="s">
        <v>355</v>
      </c>
      <c r="O22" s="11" t="s">
        <v>356</v>
      </c>
      <c r="P22" s="11" t="s">
        <v>349</v>
      </c>
      <c r="Q22" s="11" t="s">
        <v>350</v>
      </c>
      <c r="R22" s="11" t="s">
        <v>351</v>
      </c>
      <c r="S22" s="11" t="s">
        <v>352</v>
      </c>
      <c r="T22" s="11" t="s">
        <v>353</v>
      </c>
      <c r="U22" s="11" t="s">
        <v>346</v>
      </c>
      <c r="V22" s="11" t="s">
        <v>348</v>
      </c>
      <c r="W22" s="11" t="s">
        <v>347</v>
      </c>
      <c r="X22" s="11" t="s">
        <v>359</v>
      </c>
      <c r="Y22" s="11" t="s">
        <v>358</v>
      </c>
      <c r="Z22" s="11" t="s">
        <v>357</v>
      </c>
      <c r="AA22" s="11" t="s">
        <v>651</v>
      </c>
      <c r="AB22" s="11" t="s">
        <v>652</v>
      </c>
      <c r="AC22" s="11" t="s">
        <v>653</v>
      </c>
      <c r="AD22" s="11" t="s">
        <v>654</v>
      </c>
      <c r="AE22" s="11" t="s">
        <v>655</v>
      </c>
      <c r="AF22" s="11" t="s">
        <v>656</v>
      </c>
      <c r="AG22" s="11" t="s">
        <v>128</v>
      </c>
      <c r="AH22" s="11" t="s">
        <v>332</v>
      </c>
      <c r="AI22" s="11" t="s">
        <v>657</v>
      </c>
      <c r="AJ22" s="11" t="s">
        <v>658</v>
      </c>
      <c r="AK22" s="11" t="s">
        <v>659</v>
      </c>
      <c r="AL22" s="11" t="s">
        <v>660</v>
      </c>
      <c r="AM22" s="11" t="s">
        <v>661</v>
      </c>
      <c r="AN22" s="11" t="s">
        <v>133</v>
      </c>
    </row>
    <row r="23" spans="1:49" x14ac:dyDescent="0.35">
      <c r="A23" s="1" t="s">
        <v>677</v>
      </c>
      <c r="B23" s="1" t="s">
        <v>678</v>
      </c>
      <c r="C23" s="1" t="s">
        <v>668</v>
      </c>
      <c r="D23" s="1" t="s">
        <v>395</v>
      </c>
      <c r="E23" s="1">
        <v>2</v>
      </c>
      <c r="F23" s="1">
        <v>0</v>
      </c>
      <c r="G23" s="1">
        <v>0</v>
      </c>
      <c r="H23" s="1">
        <v>0</v>
      </c>
      <c r="I23" s="1">
        <v>0</v>
      </c>
      <c r="J23" s="1">
        <v>1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14</v>
      </c>
      <c r="Q23" s="1">
        <v>3240</v>
      </c>
      <c r="R23" s="1">
        <v>0</v>
      </c>
      <c r="S23" s="1">
        <v>983</v>
      </c>
      <c r="T23" s="1">
        <v>1152</v>
      </c>
      <c r="U23" s="1">
        <v>17</v>
      </c>
      <c r="V23" s="1">
        <v>2</v>
      </c>
      <c r="W23" s="1">
        <v>1</v>
      </c>
      <c r="X23" s="1">
        <v>1</v>
      </c>
      <c r="Y23" s="1">
        <v>0</v>
      </c>
      <c r="Z23" s="1">
        <v>0</v>
      </c>
      <c r="AA23" s="1" t="s">
        <v>664</v>
      </c>
      <c r="AB23" s="1"/>
      <c r="AC23" s="61">
        <v>18.7</v>
      </c>
      <c r="AD23" s="1">
        <v>22</v>
      </c>
      <c r="AE23" s="1">
        <v>21</v>
      </c>
      <c r="AF23" s="1">
        <v>13</v>
      </c>
      <c r="AG23" s="1">
        <v>0</v>
      </c>
      <c r="AH23" s="1">
        <v>1.9</v>
      </c>
      <c r="AI23" s="1">
        <v>10.6</v>
      </c>
      <c r="AJ23" s="1">
        <v>0</v>
      </c>
      <c r="AK23" s="1">
        <v>6.8</v>
      </c>
      <c r="AL23" s="1">
        <v>17.100000000000001</v>
      </c>
      <c r="AM23" s="1">
        <v>14.4</v>
      </c>
      <c r="AN23" s="1">
        <v>4.2</v>
      </c>
    </row>
    <row r="24" spans="1:49" x14ac:dyDescent="0.35">
      <c r="A24" s="1" t="s">
        <v>679</v>
      </c>
      <c r="B24" s="1" t="s">
        <v>680</v>
      </c>
      <c r="C24" s="1" t="s">
        <v>668</v>
      </c>
      <c r="D24" s="1" t="s">
        <v>395</v>
      </c>
      <c r="E24" s="1">
        <v>2</v>
      </c>
      <c r="F24" s="1">
        <v>0</v>
      </c>
      <c r="G24" s="1">
        <v>0</v>
      </c>
      <c r="H24" s="1">
        <v>0</v>
      </c>
      <c r="I24" s="1">
        <v>0</v>
      </c>
      <c r="J24" s="1">
        <v>2</v>
      </c>
      <c r="K24" s="1">
        <v>0</v>
      </c>
      <c r="L24" s="1">
        <v>0</v>
      </c>
      <c r="M24" s="1">
        <v>0</v>
      </c>
      <c r="N24" s="1">
        <v>0</v>
      </c>
      <c r="O24" s="1">
        <v>1</v>
      </c>
      <c r="P24" s="1">
        <v>15</v>
      </c>
      <c r="Q24" s="1">
        <v>3171</v>
      </c>
      <c r="R24" s="1">
        <v>0</v>
      </c>
      <c r="S24" s="1">
        <v>899</v>
      </c>
      <c r="T24" s="1">
        <v>1154</v>
      </c>
      <c r="U24" s="1">
        <v>13</v>
      </c>
      <c r="V24" s="1">
        <v>2</v>
      </c>
      <c r="W24" s="1">
        <v>2</v>
      </c>
      <c r="X24" s="1">
        <v>1</v>
      </c>
      <c r="Y24" s="1">
        <v>0</v>
      </c>
      <c r="Z24" s="1">
        <v>0</v>
      </c>
      <c r="AA24" s="1" t="s">
        <v>664</v>
      </c>
      <c r="AB24" s="1"/>
      <c r="AC24" s="61">
        <v>18.8</v>
      </c>
      <c r="AD24" s="1">
        <v>22</v>
      </c>
      <c r="AE24" s="1">
        <v>21</v>
      </c>
      <c r="AF24" s="1">
        <v>12</v>
      </c>
      <c r="AG24" s="1">
        <v>0</v>
      </c>
      <c r="AH24" s="1">
        <v>1.7</v>
      </c>
      <c r="AI24" s="1">
        <v>9.4</v>
      </c>
      <c r="AJ24" s="1">
        <v>0</v>
      </c>
      <c r="AK24" s="1">
        <v>6.4</v>
      </c>
      <c r="AL24" s="1">
        <v>16.100000000000001</v>
      </c>
      <c r="AM24" s="1">
        <v>13.6</v>
      </c>
      <c r="AN24" s="1">
        <v>4</v>
      </c>
    </row>
    <row r="25" spans="1:49" x14ac:dyDescent="0.35">
      <c r="A25" s="1" t="s">
        <v>681</v>
      </c>
      <c r="B25" s="12">
        <v>43899</v>
      </c>
      <c r="C25" s="1" t="s">
        <v>682</v>
      </c>
      <c r="D25" s="1" t="s">
        <v>395</v>
      </c>
      <c r="E25" s="1">
        <v>1</v>
      </c>
      <c r="F25" s="1">
        <v>0</v>
      </c>
      <c r="G25" s="1">
        <v>0</v>
      </c>
      <c r="H25" s="1">
        <v>0</v>
      </c>
      <c r="I25" s="1">
        <v>0</v>
      </c>
      <c r="J25" s="1">
        <v>2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17</v>
      </c>
      <c r="Q25" s="1">
        <v>3455</v>
      </c>
      <c r="R25" s="1">
        <v>2</v>
      </c>
      <c r="S25" s="1">
        <v>872</v>
      </c>
      <c r="T25" s="1">
        <v>1212</v>
      </c>
      <c r="U25" s="1">
        <v>21</v>
      </c>
      <c r="V25" s="1">
        <v>2</v>
      </c>
      <c r="W25" s="1">
        <v>2</v>
      </c>
      <c r="X25" s="1">
        <v>1</v>
      </c>
      <c r="Y25" s="1">
        <v>0</v>
      </c>
      <c r="Z25" s="1">
        <v>0</v>
      </c>
      <c r="AA25" s="1" t="s">
        <v>664</v>
      </c>
      <c r="AB25" s="1"/>
      <c r="AC25" s="61">
        <v>18.899999999999999</v>
      </c>
      <c r="AD25" s="1">
        <v>23</v>
      </c>
      <c r="AE25" s="1">
        <v>21</v>
      </c>
      <c r="AF25" s="1">
        <v>13</v>
      </c>
      <c r="AG25" s="1">
        <v>0</v>
      </c>
      <c r="AH25" s="1">
        <v>3.8</v>
      </c>
      <c r="AI25" s="1">
        <v>10.9</v>
      </c>
      <c r="AJ25" s="1">
        <v>0</v>
      </c>
      <c r="AK25" s="1">
        <v>6.3</v>
      </c>
      <c r="AL25" s="1">
        <v>16.600000000000001</v>
      </c>
      <c r="AM25" s="1">
        <v>14.5</v>
      </c>
      <c r="AN25" s="1">
        <v>3.9</v>
      </c>
    </row>
    <row r="26" spans="1:49" x14ac:dyDescent="0.35">
      <c r="A26" s="1" t="s">
        <v>683</v>
      </c>
      <c r="B26" s="1" t="s">
        <v>684</v>
      </c>
      <c r="C26" s="1" t="s">
        <v>668</v>
      </c>
      <c r="D26" s="1" t="s">
        <v>395</v>
      </c>
      <c r="E26" s="1">
        <v>2</v>
      </c>
      <c r="F26" s="1">
        <v>0</v>
      </c>
      <c r="G26" s="1">
        <v>0</v>
      </c>
      <c r="H26" s="1">
        <v>0</v>
      </c>
      <c r="I26" s="1">
        <v>0</v>
      </c>
      <c r="J26" s="1">
        <v>1</v>
      </c>
      <c r="K26" s="1">
        <v>0</v>
      </c>
      <c r="L26" s="1">
        <v>0</v>
      </c>
      <c r="M26" s="1">
        <v>2</v>
      </c>
      <c r="N26" s="1">
        <v>0</v>
      </c>
      <c r="O26" s="1">
        <v>1</v>
      </c>
      <c r="P26" s="1">
        <v>14</v>
      </c>
      <c r="Q26" s="1">
        <v>3502</v>
      </c>
      <c r="R26" s="1">
        <v>0</v>
      </c>
      <c r="S26" s="1">
        <v>819</v>
      </c>
      <c r="T26" s="1">
        <v>1195</v>
      </c>
      <c r="U26" s="1">
        <v>18</v>
      </c>
      <c r="V26" s="1">
        <v>2</v>
      </c>
      <c r="W26" s="1">
        <v>2</v>
      </c>
      <c r="X26" s="1">
        <v>1</v>
      </c>
      <c r="Y26" s="1">
        <v>0</v>
      </c>
      <c r="Z26" s="1">
        <v>0</v>
      </c>
      <c r="AA26" s="1" t="s">
        <v>664</v>
      </c>
      <c r="AB26" s="1"/>
      <c r="AC26" s="61">
        <v>18.5</v>
      </c>
      <c r="AD26" s="1">
        <v>22</v>
      </c>
      <c r="AE26" s="1">
        <v>20</v>
      </c>
      <c r="AF26" s="1">
        <v>13</v>
      </c>
      <c r="AG26" s="1">
        <v>0</v>
      </c>
      <c r="AH26" s="1">
        <v>3.6</v>
      </c>
      <c r="AI26" s="1">
        <v>10</v>
      </c>
      <c r="AJ26" s="1">
        <v>0</v>
      </c>
      <c r="AK26" s="1">
        <v>6.2</v>
      </c>
      <c r="AL26" s="1">
        <v>16.399999999999999</v>
      </c>
      <c r="AM26" s="1">
        <v>14.3</v>
      </c>
      <c r="AN26" s="1">
        <v>3.9</v>
      </c>
    </row>
    <row r="27" spans="1:49" x14ac:dyDescent="0.35">
      <c r="A27" s="1" t="s">
        <v>1186</v>
      </c>
      <c r="B27" s="1" t="s">
        <v>1185</v>
      </c>
      <c r="C27" s="1" t="s">
        <v>1183</v>
      </c>
      <c r="D27" s="1" t="s">
        <v>1184</v>
      </c>
      <c r="E27" s="1">
        <v>1</v>
      </c>
      <c r="F27" s="1">
        <v>0</v>
      </c>
      <c r="G27" s="1">
        <v>0</v>
      </c>
      <c r="H27" s="1">
        <v>0</v>
      </c>
      <c r="I27" s="1">
        <v>0</v>
      </c>
      <c r="J27" s="1">
        <v>1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16</v>
      </c>
      <c r="Q27" s="1">
        <v>3107</v>
      </c>
      <c r="R27" s="1">
        <v>0</v>
      </c>
      <c r="S27" s="1">
        <v>981</v>
      </c>
      <c r="T27" s="1">
        <v>1137</v>
      </c>
      <c r="U27" s="1">
        <v>14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 t="s">
        <v>664</v>
      </c>
      <c r="AB27" s="1">
        <v>204</v>
      </c>
      <c r="AC27" s="61">
        <v>18.2</v>
      </c>
      <c r="AD27" s="1">
        <v>23</v>
      </c>
      <c r="AE27" s="1">
        <v>22</v>
      </c>
      <c r="AF27" s="1">
        <v>16</v>
      </c>
      <c r="AG27" s="1">
        <v>0</v>
      </c>
      <c r="AH27" s="1">
        <v>3.2</v>
      </c>
      <c r="AI27" s="1">
        <v>9.8000000000000007</v>
      </c>
      <c r="AJ27" s="1">
        <v>0</v>
      </c>
      <c r="AK27" s="1">
        <v>6.6</v>
      </c>
      <c r="AL27" s="1">
        <v>16.8</v>
      </c>
      <c r="AM27" s="1">
        <v>14.9</v>
      </c>
      <c r="AN27" s="1">
        <v>4.0999999999999996</v>
      </c>
    </row>
    <row r="28" spans="1:49" x14ac:dyDescent="0.35">
      <c r="A28" s="332" t="s">
        <v>1187</v>
      </c>
      <c r="B28" s="12">
        <v>44722</v>
      </c>
      <c r="C28" s="1" t="s">
        <v>1183</v>
      </c>
      <c r="D28" s="1" t="s">
        <v>1184</v>
      </c>
      <c r="E28" s="1">
        <v>1</v>
      </c>
      <c r="F28" s="1">
        <v>0</v>
      </c>
      <c r="G28" s="1">
        <v>0</v>
      </c>
      <c r="H28" s="1">
        <v>0</v>
      </c>
      <c r="I28" s="1">
        <v>0</v>
      </c>
      <c r="J28" s="1">
        <v>1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12</v>
      </c>
      <c r="Q28" s="1">
        <v>3255</v>
      </c>
      <c r="R28" s="1">
        <v>0</v>
      </c>
      <c r="S28" s="1">
        <v>871</v>
      </c>
      <c r="T28" s="1">
        <v>1001</v>
      </c>
      <c r="U28" s="1">
        <v>12</v>
      </c>
      <c r="V28" s="1">
        <v>0</v>
      </c>
      <c r="W28" s="1">
        <v>1</v>
      </c>
      <c r="X28" s="1">
        <v>0</v>
      </c>
      <c r="Y28" s="1">
        <v>0</v>
      </c>
      <c r="Z28" s="1">
        <v>0</v>
      </c>
      <c r="AA28" s="1" t="s">
        <v>664</v>
      </c>
      <c r="AB28" s="1">
        <v>201</v>
      </c>
      <c r="AC28" s="61">
        <v>17.899999999999999</v>
      </c>
      <c r="AD28" s="1">
        <v>23</v>
      </c>
      <c r="AE28" s="1">
        <v>21</v>
      </c>
      <c r="AF28" s="1">
        <v>17</v>
      </c>
      <c r="AG28" s="1">
        <v>0</v>
      </c>
      <c r="AH28" s="1">
        <v>2</v>
      </c>
      <c r="AI28" s="1">
        <v>9.8000000000000007</v>
      </c>
      <c r="AJ28" s="1">
        <v>0</v>
      </c>
      <c r="AK28" s="1">
        <v>6.6</v>
      </c>
      <c r="AL28" s="1">
        <v>16.600000000000001</v>
      </c>
      <c r="AM28" s="1">
        <v>14.6</v>
      </c>
      <c r="AN28" s="1">
        <v>4.0999999999999996</v>
      </c>
    </row>
    <row r="31" spans="1:49" s="38" customFormat="1" x14ac:dyDescent="0.35">
      <c r="A31" s="328" t="s">
        <v>321</v>
      </c>
      <c r="B31" s="328" t="s">
        <v>320</v>
      </c>
      <c r="C31" s="329" t="s">
        <v>685</v>
      </c>
      <c r="D31" s="329" t="s">
        <v>686</v>
      </c>
      <c r="E31" s="330" t="s">
        <v>338</v>
      </c>
      <c r="F31" s="330" t="s">
        <v>339</v>
      </c>
      <c r="G31" s="330" t="s">
        <v>340</v>
      </c>
      <c r="H31" s="330" t="s">
        <v>341</v>
      </c>
      <c r="I31" s="330" t="s">
        <v>342</v>
      </c>
      <c r="J31" s="330" t="s">
        <v>343</v>
      </c>
      <c r="K31" s="330" t="s">
        <v>344</v>
      </c>
      <c r="L31" s="330" t="s">
        <v>345</v>
      </c>
      <c r="M31" s="330" t="s">
        <v>346</v>
      </c>
      <c r="N31" s="330" t="s">
        <v>347</v>
      </c>
      <c r="O31" s="330" t="s">
        <v>348</v>
      </c>
      <c r="P31" s="330" t="s">
        <v>349</v>
      </c>
      <c r="Q31" s="330" t="s">
        <v>350</v>
      </c>
      <c r="R31" s="330" t="s">
        <v>351</v>
      </c>
      <c r="S31" s="330" t="s">
        <v>352</v>
      </c>
      <c r="T31" s="330" t="s">
        <v>353</v>
      </c>
      <c r="U31" s="330" t="s">
        <v>354</v>
      </c>
      <c r="V31" s="330" t="s">
        <v>355</v>
      </c>
      <c r="W31" s="330" t="s">
        <v>356</v>
      </c>
      <c r="X31" s="330" t="s">
        <v>357</v>
      </c>
      <c r="Y31" s="330" t="s">
        <v>359</v>
      </c>
      <c r="Z31" s="330" t="s">
        <v>358</v>
      </c>
      <c r="AA31" s="330" t="s">
        <v>687</v>
      </c>
      <c r="AB31" s="330" t="s">
        <v>688</v>
      </c>
      <c r="AC31" s="330" t="s">
        <v>689</v>
      </c>
      <c r="AD31" s="330" t="s">
        <v>660</v>
      </c>
      <c r="AE31" s="330" t="s">
        <v>332</v>
      </c>
      <c r="AF31" s="330" t="s">
        <v>658</v>
      </c>
      <c r="AG31" s="330" t="s">
        <v>657</v>
      </c>
      <c r="AH31" s="330" t="s">
        <v>690</v>
      </c>
    </row>
    <row r="32" spans="1:49" s="38" customFormat="1" x14ac:dyDescent="0.35">
      <c r="A32" s="39">
        <v>44618</v>
      </c>
      <c r="B32" s="40" t="s">
        <v>691</v>
      </c>
      <c r="C32" s="40">
        <v>78.900000000000006</v>
      </c>
      <c r="D32" s="40">
        <v>705</v>
      </c>
      <c r="E32" s="41">
        <v>0.16</v>
      </c>
      <c r="F32" s="41">
        <v>0</v>
      </c>
      <c r="G32" s="41">
        <v>0</v>
      </c>
      <c r="H32" s="41">
        <v>0</v>
      </c>
      <c r="I32" s="41">
        <v>0</v>
      </c>
      <c r="J32" s="41">
        <v>0.86</v>
      </c>
      <c r="K32" s="41">
        <v>0.17</v>
      </c>
      <c r="L32" s="41">
        <v>0.05</v>
      </c>
      <c r="M32" s="41">
        <v>22.05</v>
      </c>
      <c r="N32" s="41">
        <v>28.96</v>
      </c>
      <c r="O32" s="41">
        <v>0</v>
      </c>
      <c r="P32" s="41">
        <v>0.11</v>
      </c>
      <c r="Q32" s="41">
        <v>1.63</v>
      </c>
      <c r="R32" s="41">
        <v>0</v>
      </c>
      <c r="S32" s="41">
        <v>183.8</v>
      </c>
      <c r="T32" s="41">
        <v>0.88</v>
      </c>
      <c r="U32" s="41">
        <v>0</v>
      </c>
      <c r="V32" s="41">
        <v>0.13</v>
      </c>
      <c r="W32" s="41">
        <v>0</v>
      </c>
      <c r="X32" s="41">
        <v>0</v>
      </c>
      <c r="Y32" s="41">
        <v>0.03</v>
      </c>
      <c r="Z32" s="41">
        <v>0</v>
      </c>
      <c r="AA32" s="41">
        <v>51.290320999999999</v>
      </c>
      <c r="AB32" s="41">
        <v>3.3677260000000002</v>
      </c>
      <c r="AC32" s="41">
        <v>43</v>
      </c>
      <c r="AD32" s="41">
        <v>15.437372</v>
      </c>
      <c r="AE32" s="41">
        <v>2.4232399999999998</v>
      </c>
      <c r="AF32" s="41">
        <v>4.8973240000000002</v>
      </c>
      <c r="AG32" s="41">
        <v>7.5396739999999998</v>
      </c>
      <c r="AH32" s="41">
        <v>0</v>
      </c>
    </row>
    <row r="33" spans="1:36" s="38" customFormat="1" x14ac:dyDescent="0.35">
      <c r="A33" s="328" t="s">
        <v>321</v>
      </c>
      <c r="B33" s="328" t="s">
        <v>320</v>
      </c>
      <c r="C33" s="331" t="s">
        <v>685</v>
      </c>
      <c r="D33" s="331" t="s">
        <v>686</v>
      </c>
      <c r="E33" s="330" t="s">
        <v>338</v>
      </c>
      <c r="F33" s="330" t="s">
        <v>339</v>
      </c>
      <c r="G33" s="330" t="s">
        <v>340</v>
      </c>
      <c r="H33" s="330" t="s">
        <v>341</v>
      </c>
      <c r="I33" s="330" t="s">
        <v>342</v>
      </c>
      <c r="J33" s="330" t="s">
        <v>343</v>
      </c>
      <c r="K33" s="330" t="s">
        <v>344</v>
      </c>
      <c r="L33" s="330" t="s">
        <v>345</v>
      </c>
      <c r="M33" s="330" t="s">
        <v>346</v>
      </c>
      <c r="N33" s="330" t="s">
        <v>347</v>
      </c>
      <c r="O33" s="330" t="s">
        <v>348</v>
      </c>
      <c r="P33" s="330" t="s">
        <v>349</v>
      </c>
      <c r="Q33" s="330" t="s">
        <v>350</v>
      </c>
      <c r="R33" s="330" t="s">
        <v>351</v>
      </c>
      <c r="S33" s="330" t="s">
        <v>352</v>
      </c>
      <c r="T33" s="330" t="s">
        <v>353</v>
      </c>
      <c r="U33" s="330" t="s">
        <v>354</v>
      </c>
      <c r="V33" s="330" t="s">
        <v>355</v>
      </c>
      <c r="W33" s="330" t="s">
        <v>356</v>
      </c>
      <c r="X33" s="330" t="s">
        <v>357</v>
      </c>
      <c r="Y33" s="330" t="s">
        <v>359</v>
      </c>
      <c r="Z33" s="330" t="s">
        <v>358</v>
      </c>
      <c r="AA33" s="330" t="s">
        <v>687</v>
      </c>
      <c r="AB33" s="330" t="s">
        <v>688</v>
      </c>
      <c r="AC33" s="330" t="s">
        <v>689</v>
      </c>
      <c r="AD33" s="330" t="s">
        <v>660</v>
      </c>
      <c r="AE33" s="330" t="s">
        <v>332</v>
      </c>
      <c r="AF33" s="330" t="s">
        <v>658</v>
      </c>
      <c r="AG33" s="330" t="s">
        <v>657</v>
      </c>
      <c r="AH33" s="330" t="s">
        <v>690</v>
      </c>
    </row>
    <row r="34" spans="1:36" s="38" customFormat="1" x14ac:dyDescent="0.35">
      <c r="A34" s="39">
        <v>44646</v>
      </c>
      <c r="B34" s="40" t="s">
        <v>691</v>
      </c>
      <c r="C34" s="40">
        <v>78.900000000000006</v>
      </c>
      <c r="D34" s="40">
        <v>705</v>
      </c>
      <c r="E34" s="41">
        <v>0.16</v>
      </c>
      <c r="F34" s="41">
        <v>0</v>
      </c>
      <c r="G34" s="41">
        <v>0</v>
      </c>
      <c r="H34" s="41">
        <v>0</v>
      </c>
      <c r="I34" s="41">
        <v>0</v>
      </c>
      <c r="J34" s="41">
        <v>0.86</v>
      </c>
      <c r="K34" s="41">
        <v>0.17</v>
      </c>
      <c r="L34" s="41">
        <v>0.05</v>
      </c>
      <c r="M34" s="41">
        <v>22.05</v>
      </c>
      <c r="N34" s="41">
        <v>28.96</v>
      </c>
      <c r="O34" s="41">
        <v>0</v>
      </c>
      <c r="P34" s="41">
        <v>0.11</v>
      </c>
      <c r="Q34" s="41">
        <v>1.63</v>
      </c>
      <c r="R34" s="41">
        <v>0</v>
      </c>
      <c r="S34" s="41">
        <v>183.8</v>
      </c>
      <c r="T34" s="41">
        <v>0.88</v>
      </c>
      <c r="U34" s="41">
        <v>0</v>
      </c>
      <c r="V34" s="41">
        <v>0.13</v>
      </c>
      <c r="W34" s="41">
        <v>0</v>
      </c>
      <c r="X34" s="41">
        <v>0</v>
      </c>
      <c r="Y34" s="41">
        <v>0.03</v>
      </c>
      <c r="Z34" s="41">
        <v>0</v>
      </c>
      <c r="AA34" s="41">
        <v>51.290320999999999</v>
      </c>
      <c r="AB34" s="41">
        <v>3.3677260000000002</v>
      </c>
      <c r="AC34" s="41">
        <v>43</v>
      </c>
      <c r="AD34" s="41">
        <v>15.437372</v>
      </c>
      <c r="AE34" s="41">
        <v>2.4232399999999998</v>
      </c>
      <c r="AF34" s="41">
        <v>4.8973240000000002</v>
      </c>
      <c r="AG34" s="41">
        <v>7.5396739999999998</v>
      </c>
      <c r="AH34" s="41">
        <v>0</v>
      </c>
    </row>
    <row r="35" spans="1:36" x14ac:dyDescent="0.35">
      <c r="A35" s="328" t="s">
        <v>321</v>
      </c>
      <c r="B35" s="328" t="s">
        <v>320</v>
      </c>
      <c r="C35" s="331" t="s">
        <v>685</v>
      </c>
      <c r="D35" s="331" t="s">
        <v>686</v>
      </c>
      <c r="E35" s="330" t="s">
        <v>338</v>
      </c>
      <c r="F35" s="330" t="s">
        <v>339</v>
      </c>
      <c r="G35" s="330" t="s">
        <v>340</v>
      </c>
      <c r="H35" s="330" t="s">
        <v>341</v>
      </c>
      <c r="I35" s="330" t="s">
        <v>342</v>
      </c>
      <c r="J35" s="330" t="s">
        <v>343</v>
      </c>
      <c r="K35" s="330" t="s">
        <v>344</v>
      </c>
      <c r="L35" s="330" t="s">
        <v>345</v>
      </c>
      <c r="M35" s="330" t="s">
        <v>346</v>
      </c>
      <c r="N35" s="330" t="s">
        <v>347</v>
      </c>
      <c r="O35" s="330" t="s">
        <v>348</v>
      </c>
      <c r="P35" s="330" t="s">
        <v>349</v>
      </c>
      <c r="Q35" s="330" t="s">
        <v>350</v>
      </c>
      <c r="R35" s="330" t="s">
        <v>351</v>
      </c>
      <c r="S35" s="330" t="s">
        <v>352</v>
      </c>
      <c r="T35" s="330" t="s">
        <v>353</v>
      </c>
      <c r="U35" s="330" t="s">
        <v>354</v>
      </c>
      <c r="V35" s="330" t="s">
        <v>355</v>
      </c>
      <c r="W35" s="330" t="s">
        <v>356</v>
      </c>
      <c r="X35" s="330" t="s">
        <v>357</v>
      </c>
      <c r="Y35" s="330" t="s">
        <v>359</v>
      </c>
      <c r="Z35" s="330" t="s">
        <v>358</v>
      </c>
      <c r="AA35" s="330" t="s">
        <v>687</v>
      </c>
      <c r="AB35" s="330" t="s">
        <v>688</v>
      </c>
      <c r="AC35" s="330" t="s">
        <v>689</v>
      </c>
      <c r="AD35" s="330" t="s">
        <v>660</v>
      </c>
      <c r="AE35" s="330" t="s">
        <v>332</v>
      </c>
      <c r="AF35" s="330" t="s">
        <v>658</v>
      </c>
      <c r="AG35" s="330" t="s">
        <v>657</v>
      </c>
      <c r="AH35" s="330" t="s">
        <v>690</v>
      </c>
    </row>
    <row r="36" spans="1:36" ht="15" thickBot="1" x14ac:dyDescent="0.4">
      <c r="A36" s="12">
        <v>44728</v>
      </c>
      <c r="B36" s="1" t="s">
        <v>692</v>
      </c>
      <c r="C36" s="1">
        <v>78.900000000000006</v>
      </c>
      <c r="D36" s="1">
        <v>699</v>
      </c>
      <c r="E36" s="5">
        <v>0.16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0.17</v>
      </c>
      <c r="L36" s="5">
        <v>0.05</v>
      </c>
      <c r="M36" s="5">
        <v>34</v>
      </c>
      <c r="N36" s="5">
        <v>0</v>
      </c>
      <c r="O36" s="5">
        <v>0</v>
      </c>
      <c r="P36" s="5">
        <v>0.11</v>
      </c>
      <c r="Q36" s="5">
        <v>0</v>
      </c>
      <c r="R36" s="5">
        <v>0</v>
      </c>
      <c r="S36" s="5">
        <v>550</v>
      </c>
      <c r="T36" s="5">
        <v>0</v>
      </c>
      <c r="U36" s="5">
        <v>0</v>
      </c>
      <c r="V36" s="5">
        <v>0.13</v>
      </c>
      <c r="W36" s="5">
        <v>0</v>
      </c>
      <c r="X36" s="5">
        <v>0</v>
      </c>
      <c r="Y36" s="5">
        <v>0.03</v>
      </c>
      <c r="Z36" s="5">
        <v>0</v>
      </c>
      <c r="AA36" s="5">
        <v>53</v>
      </c>
      <c r="AB36" s="5">
        <v>3.3677260000000002</v>
      </c>
      <c r="AC36" s="5">
        <v>48</v>
      </c>
      <c r="AD36" s="5">
        <v>17</v>
      </c>
      <c r="AE36" s="5">
        <v>3</v>
      </c>
      <c r="AF36" s="5">
        <v>4.8973240000000002</v>
      </c>
      <c r="AG36" s="5">
        <v>5</v>
      </c>
      <c r="AH36" s="5">
        <v>0</v>
      </c>
    </row>
    <row r="37" spans="1:36" x14ac:dyDescent="0.35">
      <c r="A37" s="328" t="s">
        <v>321</v>
      </c>
      <c r="B37" s="30" t="s">
        <v>320</v>
      </c>
      <c r="C37" s="37" t="s">
        <v>685</v>
      </c>
      <c r="D37" s="37" t="s">
        <v>686</v>
      </c>
      <c r="E37" s="31" t="s">
        <v>338</v>
      </c>
      <c r="F37" s="31" t="s">
        <v>339</v>
      </c>
      <c r="G37" s="31" t="s">
        <v>340</v>
      </c>
      <c r="H37" s="31" t="s">
        <v>341</v>
      </c>
      <c r="I37" s="31" t="s">
        <v>342</v>
      </c>
      <c r="J37" s="31" t="s">
        <v>343</v>
      </c>
      <c r="K37" s="31" t="s">
        <v>344</v>
      </c>
      <c r="L37" s="31" t="s">
        <v>345</v>
      </c>
      <c r="M37" s="31" t="s">
        <v>346</v>
      </c>
      <c r="N37" s="31" t="s">
        <v>347</v>
      </c>
      <c r="O37" s="31" t="s">
        <v>348</v>
      </c>
      <c r="P37" s="31" t="s">
        <v>349</v>
      </c>
      <c r="Q37" s="31" t="s">
        <v>350</v>
      </c>
      <c r="R37" s="31" t="s">
        <v>351</v>
      </c>
      <c r="S37" s="31" t="s">
        <v>352</v>
      </c>
      <c r="T37" s="31" t="s">
        <v>353</v>
      </c>
      <c r="U37" s="31" t="s">
        <v>354</v>
      </c>
      <c r="V37" s="31" t="s">
        <v>355</v>
      </c>
      <c r="W37" s="31" t="s">
        <v>356</v>
      </c>
      <c r="X37" s="31" t="s">
        <v>357</v>
      </c>
      <c r="Y37" s="31" t="s">
        <v>359</v>
      </c>
      <c r="Z37" s="31" t="s">
        <v>358</v>
      </c>
      <c r="AA37" s="31" t="s">
        <v>687</v>
      </c>
      <c r="AB37" s="31" t="s">
        <v>688</v>
      </c>
      <c r="AC37" s="31" t="s">
        <v>689</v>
      </c>
      <c r="AD37" s="31" t="s">
        <v>660</v>
      </c>
      <c r="AE37" s="31" t="s">
        <v>332</v>
      </c>
      <c r="AF37" s="31" t="s">
        <v>658</v>
      </c>
      <c r="AG37" s="31" t="s">
        <v>657</v>
      </c>
      <c r="AH37" s="31" t="s">
        <v>690</v>
      </c>
    </row>
    <row r="38" spans="1:36" x14ac:dyDescent="0.35">
      <c r="A38" s="12">
        <v>44952</v>
      </c>
      <c r="B38" s="1" t="s">
        <v>692</v>
      </c>
      <c r="C38" s="1">
        <v>78.900000000000006</v>
      </c>
      <c r="D38" s="1">
        <v>699</v>
      </c>
      <c r="E38" s="5">
        <v>0.16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0.17</v>
      </c>
      <c r="L38" s="5">
        <v>0.05</v>
      </c>
      <c r="M38" s="5">
        <v>34</v>
      </c>
      <c r="N38" s="5">
        <v>0</v>
      </c>
      <c r="O38" s="5">
        <v>0</v>
      </c>
      <c r="P38" s="5">
        <v>0.11</v>
      </c>
      <c r="Q38" s="5">
        <v>0</v>
      </c>
      <c r="R38" s="5">
        <v>0</v>
      </c>
      <c r="S38" s="5">
        <v>550</v>
      </c>
      <c r="T38" s="5">
        <v>0</v>
      </c>
      <c r="U38" s="5">
        <v>0</v>
      </c>
      <c r="V38" s="5">
        <v>0.13</v>
      </c>
      <c r="W38" s="5">
        <v>0</v>
      </c>
      <c r="X38" s="5">
        <v>0</v>
      </c>
      <c r="Y38" s="5">
        <v>0.03</v>
      </c>
      <c r="Z38" s="5">
        <v>0</v>
      </c>
      <c r="AA38" s="5">
        <v>53</v>
      </c>
      <c r="AB38" s="5">
        <v>3.3677260000000002</v>
      </c>
      <c r="AC38" s="5">
        <v>48</v>
      </c>
      <c r="AD38" s="5">
        <v>17</v>
      </c>
      <c r="AE38" s="5">
        <v>3</v>
      </c>
      <c r="AF38" s="5">
        <v>4.8973240000000002</v>
      </c>
      <c r="AG38" s="5">
        <v>5</v>
      </c>
      <c r="AH38" s="5">
        <v>0</v>
      </c>
    </row>
    <row r="40" spans="1:36" ht="15" thickBot="1" x14ac:dyDescent="0.4"/>
    <row r="41" spans="1:36" ht="30.5" thickBot="1" x14ac:dyDescent="0.4">
      <c r="A41" s="382" t="s">
        <v>1445</v>
      </c>
      <c r="B41" s="382" t="s">
        <v>868</v>
      </c>
      <c r="C41" s="382" t="s">
        <v>1446</v>
      </c>
      <c r="D41" s="382" t="s">
        <v>1447</v>
      </c>
      <c r="E41" s="382" t="s">
        <v>1448</v>
      </c>
      <c r="F41" s="382" t="s">
        <v>1449</v>
      </c>
      <c r="G41" s="382" t="s">
        <v>688</v>
      </c>
      <c r="H41" s="382" t="s">
        <v>689</v>
      </c>
      <c r="I41" s="382" t="s">
        <v>660</v>
      </c>
      <c r="J41" s="382" t="s">
        <v>332</v>
      </c>
      <c r="K41" s="382" t="s">
        <v>658</v>
      </c>
      <c r="L41" s="382" t="s">
        <v>657</v>
      </c>
      <c r="M41" s="382" t="s">
        <v>1450</v>
      </c>
      <c r="N41" s="382" t="s">
        <v>1451</v>
      </c>
      <c r="O41" s="382" t="s">
        <v>1452</v>
      </c>
      <c r="P41" s="382" t="s">
        <v>1453</v>
      </c>
      <c r="Q41" s="382" t="s">
        <v>1454</v>
      </c>
      <c r="R41" s="382" t="s">
        <v>1455</v>
      </c>
      <c r="S41" s="382" t="s">
        <v>1456</v>
      </c>
      <c r="T41" s="382" t="s">
        <v>1457</v>
      </c>
      <c r="U41" s="382" t="s">
        <v>1458</v>
      </c>
      <c r="V41" s="382" t="s">
        <v>1459</v>
      </c>
      <c r="W41" s="382" t="s">
        <v>1460</v>
      </c>
      <c r="X41" s="382" t="s">
        <v>1461</v>
      </c>
      <c r="Y41" s="382" t="s">
        <v>1462</v>
      </c>
      <c r="Z41" s="382" t="s">
        <v>1463</v>
      </c>
      <c r="AA41" s="382" t="s">
        <v>1464</v>
      </c>
      <c r="AB41" s="382" t="s">
        <v>1465</v>
      </c>
      <c r="AC41" s="382" t="s">
        <v>1466</v>
      </c>
      <c r="AD41" s="382" t="s">
        <v>1467</v>
      </c>
      <c r="AE41" s="382" t="s">
        <v>1468</v>
      </c>
      <c r="AF41" s="382" t="s">
        <v>1469</v>
      </c>
      <c r="AG41" s="382" t="s">
        <v>1470</v>
      </c>
      <c r="AH41" s="382" t="s">
        <v>1471</v>
      </c>
      <c r="AI41" s="382" t="s">
        <v>1472</v>
      </c>
      <c r="AJ41" s="382" t="s">
        <v>1473</v>
      </c>
    </row>
    <row r="42" spans="1:36" ht="44" thickBot="1" x14ac:dyDescent="0.4">
      <c r="A42" s="383" t="s">
        <v>1474</v>
      </c>
      <c r="B42" s="384">
        <v>46309</v>
      </c>
      <c r="C42" s="384">
        <v>46309</v>
      </c>
      <c r="D42" s="385">
        <v>16</v>
      </c>
      <c r="E42" s="385">
        <v>117.3</v>
      </c>
      <c r="F42" s="385">
        <v>13.7</v>
      </c>
      <c r="G42" s="385">
        <v>3.9</v>
      </c>
      <c r="H42" s="385">
        <v>19.7</v>
      </c>
      <c r="I42" s="385">
        <v>19.8</v>
      </c>
      <c r="J42" s="385">
        <v>2</v>
      </c>
      <c r="K42" s="385">
        <v>0.7</v>
      </c>
      <c r="L42" s="385">
        <v>13.4</v>
      </c>
      <c r="M42" s="385" t="s">
        <v>762</v>
      </c>
      <c r="N42" s="385">
        <v>0</v>
      </c>
      <c r="O42" s="385">
        <v>0</v>
      </c>
      <c r="P42" s="385">
        <v>0</v>
      </c>
      <c r="Q42" s="385">
        <v>0</v>
      </c>
      <c r="R42" s="385">
        <v>0</v>
      </c>
      <c r="S42" s="385">
        <v>0</v>
      </c>
      <c r="T42" s="385">
        <v>0</v>
      </c>
      <c r="U42" s="385">
        <v>0</v>
      </c>
      <c r="V42" s="385">
        <v>7</v>
      </c>
      <c r="W42" s="385">
        <v>168</v>
      </c>
      <c r="X42" s="385">
        <v>0</v>
      </c>
      <c r="Y42" s="385">
        <v>439</v>
      </c>
      <c r="Z42" s="386">
        <v>1870</v>
      </c>
      <c r="AA42" s="385">
        <v>0</v>
      </c>
      <c r="AB42" s="385">
        <v>1085</v>
      </c>
      <c r="AC42" s="385">
        <v>1269</v>
      </c>
      <c r="AD42" s="385">
        <v>59</v>
      </c>
      <c r="AE42" s="385">
        <v>0</v>
      </c>
      <c r="AF42" s="385">
        <v>0</v>
      </c>
      <c r="AG42" s="385">
        <v>0</v>
      </c>
      <c r="AH42" s="385">
        <v>0</v>
      </c>
      <c r="AI42" s="385">
        <v>0</v>
      </c>
      <c r="AJ42" s="385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00B050"/>
  </sheetPr>
  <dimension ref="A1:AJ591"/>
  <sheetViews>
    <sheetView showGridLines="0" zoomScale="55" zoomScaleNormal="55" workbookViewId="0">
      <pane ySplit="1" topLeftCell="A545" activePane="bottomLeft" state="frozen"/>
      <selection pane="bottomLeft" activeCell="AC555" sqref="AC555"/>
    </sheetView>
  </sheetViews>
  <sheetFormatPr baseColWidth="10" defaultColWidth="11.453125" defaultRowHeight="14.5" x14ac:dyDescent="0.35"/>
  <cols>
    <col min="1" max="1" width="13.453125" customWidth="1"/>
    <col min="2" max="2" width="15.26953125" customWidth="1"/>
    <col min="3" max="3" width="40.7265625" customWidth="1"/>
    <col min="4" max="4" width="18.54296875" customWidth="1"/>
    <col min="5" max="5" width="13.7265625" customWidth="1"/>
    <col min="6" max="6" width="10.54296875" customWidth="1"/>
    <col min="7" max="7" width="9.26953125" bestFit="1" customWidth="1"/>
    <col min="8" max="8" width="9.453125" customWidth="1"/>
    <col min="9" max="9" width="9.26953125" customWidth="1"/>
    <col min="10" max="11" width="9.54296875" customWidth="1"/>
    <col min="12" max="12" width="9.26953125" customWidth="1"/>
    <col min="13" max="13" width="9.54296875" customWidth="1"/>
    <col min="14" max="14" width="8.54296875" customWidth="1"/>
    <col min="15" max="15" width="9.54296875" customWidth="1"/>
    <col min="16" max="16" width="8.54296875" customWidth="1"/>
    <col min="17" max="17" width="9.7265625" customWidth="1"/>
    <col min="18" max="18" width="9.26953125" customWidth="1"/>
    <col min="19" max="19" width="9.54296875" customWidth="1"/>
    <col min="20" max="20" width="13.26953125" customWidth="1"/>
    <col min="21" max="22" width="12.54296875" bestFit="1" customWidth="1"/>
    <col min="23" max="25" width="13.453125" bestFit="1" customWidth="1"/>
  </cols>
  <sheetData>
    <row r="1" spans="1:36" s="48" customFormat="1" ht="70.5" customHeight="1" thickBot="1" x14ac:dyDescent="0.4">
      <c r="A1" s="121" t="s">
        <v>693</v>
      </c>
      <c r="B1" s="122" t="s">
        <v>694</v>
      </c>
      <c r="C1" s="51" t="s">
        <v>695</v>
      </c>
      <c r="D1" s="121" t="s">
        <v>696</v>
      </c>
      <c r="E1" s="122" t="s">
        <v>697</v>
      </c>
      <c r="F1" s="51" t="s">
        <v>698</v>
      </c>
      <c r="G1" s="121" t="s">
        <v>346</v>
      </c>
      <c r="H1" s="51" t="s">
        <v>338</v>
      </c>
      <c r="I1" s="51" t="s">
        <v>343</v>
      </c>
      <c r="J1" s="51" t="s">
        <v>341</v>
      </c>
      <c r="K1" s="51" t="s">
        <v>340</v>
      </c>
      <c r="L1" s="51" t="s">
        <v>339</v>
      </c>
      <c r="M1" s="51" t="s">
        <v>342</v>
      </c>
      <c r="N1" s="51" t="s">
        <v>359</v>
      </c>
      <c r="O1" s="51" t="s">
        <v>348</v>
      </c>
      <c r="P1" s="51" t="s">
        <v>352</v>
      </c>
      <c r="Q1" s="51" t="s">
        <v>349</v>
      </c>
      <c r="R1" s="51" t="s">
        <v>353</v>
      </c>
      <c r="S1" s="51" t="s">
        <v>350</v>
      </c>
      <c r="T1" s="122" t="s">
        <v>699</v>
      </c>
      <c r="U1" s="51" t="s">
        <v>700</v>
      </c>
      <c r="V1" s="51" t="s">
        <v>701</v>
      </c>
      <c r="W1" s="51" t="s">
        <v>702</v>
      </c>
      <c r="X1" s="51" t="s">
        <v>703</v>
      </c>
      <c r="Y1" s="51" t="s">
        <v>704</v>
      </c>
      <c r="AB1" s="87" t="s">
        <v>705</v>
      </c>
      <c r="AC1" s="88" t="s">
        <v>706</v>
      </c>
      <c r="AD1" s="88" t="s">
        <v>707</v>
      </c>
      <c r="AE1" s="88" t="s">
        <v>708</v>
      </c>
      <c r="AG1" s="87" t="s">
        <v>705</v>
      </c>
      <c r="AH1" s="88" t="s">
        <v>706</v>
      </c>
      <c r="AI1" s="88" t="s">
        <v>707</v>
      </c>
      <c r="AJ1" s="88" t="s">
        <v>708</v>
      </c>
    </row>
    <row r="2" spans="1:36" s="48" customFormat="1" ht="15" thickBot="1" x14ac:dyDescent="0.4">
      <c r="A2" s="52">
        <v>14202</v>
      </c>
      <c r="B2" s="253">
        <v>44234</v>
      </c>
      <c r="C2" s="254" t="s">
        <v>162</v>
      </c>
      <c r="D2" s="52" t="s">
        <v>723</v>
      </c>
      <c r="E2" s="54">
        <v>15.3</v>
      </c>
      <c r="F2" s="53">
        <v>0</v>
      </c>
      <c r="G2" s="54">
        <v>8.5</v>
      </c>
      <c r="H2" s="54">
        <v>1.4</v>
      </c>
      <c r="I2" s="54">
        <v>1.2</v>
      </c>
      <c r="J2" s="54">
        <v>0</v>
      </c>
      <c r="K2" s="54">
        <v>0</v>
      </c>
      <c r="L2" s="54">
        <v>0</v>
      </c>
      <c r="M2" s="54">
        <v>0</v>
      </c>
      <c r="N2" s="54">
        <v>2.1</v>
      </c>
      <c r="O2" s="54">
        <v>0</v>
      </c>
      <c r="P2" s="54">
        <v>1351.8</v>
      </c>
      <c r="Q2" s="54">
        <v>458.2</v>
      </c>
      <c r="R2" s="54">
        <v>1147.2</v>
      </c>
      <c r="S2" s="255">
        <v>2170.6</v>
      </c>
      <c r="T2" s="254" t="s">
        <v>767</v>
      </c>
      <c r="U2" s="254">
        <v>63109</v>
      </c>
      <c r="V2" s="254">
        <v>18517</v>
      </c>
      <c r="W2" s="254">
        <v>67</v>
      </c>
      <c r="X2" s="254">
        <v>0</v>
      </c>
      <c r="Y2" s="254">
        <v>0</v>
      </c>
      <c r="AB2" s="256" t="s">
        <v>711</v>
      </c>
      <c r="AC2" s="257">
        <v>14</v>
      </c>
      <c r="AD2" s="257">
        <v>16</v>
      </c>
      <c r="AE2" s="257" t="s">
        <v>712</v>
      </c>
      <c r="AG2" s="256" t="s">
        <v>711</v>
      </c>
      <c r="AH2" s="257">
        <v>14</v>
      </c>
      <c r="AI2" s="257">
        <v>16</v>
      </c>
      <c r="AJ2" s="257" t="s">
        <v>712</v>
      </c>
    </row>
    <row r="3" spans="1:36" s="48" customFormat="1" ht="15" thickBot="1" x14ac:dyDescent="0.4">
      <c r="A3" s="52">
        <v>14203</v>
      </c>
      <c r="B3" s="253">
        <v>44234</v>
      </c>
      <c r="C3" s="254" t="s">
        <v>163</v>
      </c>
      <c r="D3" s="52" t="s">
        <v>746</v>
      </c>
      <c r="E3" s="54">
        <v>6</v>
      </c>
      <c r="F3" s="53">
        <v>0</v>
      </c>
      <c r="G3" s="55">
        <v>3.6</v>
      </c>
      <c r="H3" s="55">
        <v>1.8</v>
      </c>
      <c r="I3" s="55">
        <v>0.9</v>
      </c>
      <c r="J3" s="55">
        <v>0.1</v>
      </c>
      <c r="K3" s="55">
        <v>0</v>
      </c>
      <c r="L3" s="55">
        <v>0</v>
      </c>
      <c r="M3" s="55">
        <v>0</v>
      </c>
      <c r="N3" s="55">
        <v>1.1000000000000001</v>
      </c>
      <c r="O3" s="55">
        <v>2.6</v>
      </c>
      <c r="P3" s="55">
        <v>1238.2</v>
      </c>
      <c r="Q3" s="55">
        <v>10.9</v>
      </c>
      <c r="R3" s="55">
        <v>1150.5</v>
      </c>
      <c r="S3" s="55">
        <v>2912.1</v>
      </c>
      <c r="T3" s="254" t="s">
        <v>761</v>
      </c>
      <c r="U3" s="254">
        <v>5101</v>
      </c>
      <c r="V3" s="254">
        <v>1856</v>
      </c>
      <c r="W3" s="254">
        <v>90</v>
      </c>
      <c r="X3" s="254">
        <v>3</v>
      </c>
      <c r="Y3" s="254">
        <v>0</v>
      </c>
      <c r="AB3" s="256" t="s">
        <v>714</v>
      </c>
      <c r="AC3" s="257">
        <v>3</v>
      </c>
      <c r="AD3" s="257">
        <v>5</v>
      </c>
      <c r="AE3" s="257" t="s">
        <v>712</v>
      </c>
      <c r="AG3" s="256" t="s">
        <v>714</v>
      </c>
      <c r="AH3" s="257">
        <v>3</v>
      </c>
      <c r="AI3" s="257">
        <v>5</v>
      </c>
      <c r="AJ3" s="257" t="s">
        <v>712</v>
      </c>
    </row>
    <row r="4" spans="1:36" s="48" customFormat="1" ht="15" thickBot="1" x14ac:dyDescent="0.4">
      <c r="A4" s="52">
        <v>14204</v>
      </c>
      <c r="B4" s="253">
        <v>44234</v>
      </c>
      <c r="C4" s="254" t="s">
        <v>164</v>
      </c>
      <c r="D4" s="52" t="s">
        <v>723</v>
      </c>
      <c r="E4" s="54">
        <v>15.3</v>
      </c>
      <c r="F4" s="53">
        <v>0</v>
      </c>
      <c r="G4" s="54">
        <v>8.3000000000000007</v>
      </c>
      <c r="H4" s="54">
        <v>1.3</v>
      </c>
      <c r="I4" s="54">
        <v>1.3</v>
      </c>
      <c r="J4" s="54">
        <v>0.1</v>
      </c>
      <c r="K4" s="54">
        <v>0</v>
      </c>
      <c r="L4" s="54">
        <v>0</v>
      </c>
      <c r="M4" s="54">
        <v>0</v>
      </c>
      <c r="N4" s="54">
        <v>1.6</v>
      </c>
      <c r="O4" s="54">
        <v>0.4</v>
      </c>
      <c r="P4" s="54">
        <v>1297.5</v>
      </c>
      <c r="Q4" s="54">
        <v>445.2</v>
      </c>
      <c r="R4" s="54">
        <v>1139.7</v>
      </c>
      <c r="S4" s="255">
        <v>2177.9</v>
      </c>
      <c r="T4" s="254" t="s">
        <v>718</v>
      </c>
      <c r="U4" s="254">
        <v>72677</v>
      </c>
      <c r="V4" s="254">
        <v>20490</v>
      </c>
      <c r="W4" s="254">
        <v>80</v>
      </c>
      <c r="X4" s="254">
        <v>0</v>
      </c>
      <c r="Y4" s="254">
        <v>0</v>
      </c>
      <c r="AB4" s="256" t="s">
        <v>715</v>
      </c>
      <c r="AC4" s="257">
        <v>1.8</v>
      </c>
      <c r="AD4" s="257">
        <v>2</v>
      </c>
      <c r="AE4" s="257" t="s">
        <v>712</v>
      </c>
      <c r="AG4" s="256" t="s">
        <v>715</v>
      </c>
      <c r="AH4" s="257">
        <v>1.8</v>
      </c>
      <c r="AI4" s="257">
        <v>2</v>
      </c>
      <c r="AJ4" s="257" t="s">
        <v>712</v>
      </c>
    </row>
    <row r="5" spans="1:36" s="48" customFormat="1" ht="15" thickBot="1" x14ac:dyDescent="0.4">
      <c r="A5" s="52">
        <v>14205</v>
      </c>
      <c r="B5" s="253">
        <v>44262</v>
      </c>
      <c r="C5" s="254" t="s">
        <v>171</v>
      </c>
      <c r="D5" s="52" t="s">
        <v>723</v>
      </c>
      <c r="E5" s="54">
        <v>15.2</v>
      </c>
      <c r="F5" s="53">
        <v>0</v>
      </c>
      <c r="G5" s="55">
        <v>8.9</v>
      </c>
      <c r="H5" s="55">
        <v>1.4</v>
      </c>
      <c r="I5" s="55">
        <v>1.2</v>
      </c>
      <c r="J5" s="55">
        <v>0</v>
      </c>
      <c r="K5" s="55">
        <v>0</v>
      </c>
      <c r="L5" s="55">
        <v>0</v>
      </c>
      <c r="M5" s="55">
        <v>0</v>
      </c>
      <c r="N5" s="55">
        <v>1.5</v>
      </c>
      <c r="O5" s="55">
        <v>0.2</v>
      </c>
      <c r="P5" s="55">
        <v>1368.9</v>
      </c>
      <c r="Q5" s="55">
        <v>458.8</v>
      </c>
      <c r="R5" s="55">
        <v>1171.9000000000001</v>
      </c>
      <c r="S5" s="55">
        <v>2227.8000000000002</v>
      </c>
      <c r="T5" s="254" t="s">
        <v>764</v>
      </c>
      <c r="U5" s="254">
        <v>90469</v>
      </c>
      <c r="V5" s="254">
        <v>29417</v>
      </c>
      <c r="W5" s="254">
        <v>367</v>
      </c>
      <c r="X5" s="254">
        <v>0</v>
      </c>
      <c r="Y5" s="254">
        <v>0</v>
      </c>
      <c r="AB5" s="256" t="s">
        <v>717</v>
      </c>
      <c r="AC5" s="257">
        <v>9</v>
      </c>
      <c r="AD5" s="257">
        <v>10</v>
      </c>
      <c r="AE5" s="257" t="s">
        <v>712</v>
      </c>
      <c r="AG5" s="256" t="s">
        <v>717</v>
      </c>
      <c r="AH5" s="257">
        <v>9</v>
      </c>
      <c r="AI5" s="257">
        <v>10</v>
      </c>
      <c r="AJ5" s="257" t="s">
        <v>712</v>
      </c>
    </row>
    <row r="6" spans="1:36" s="48" customFormat="1" ht="15" thickBot="1" x14ac:dyDescent="0.4">
      <c r="A6" s="52">
        <v>14206</v>
      </c>
      <c r="B6" s="253">
        <v>44262</v>
      </c>
      <c r="C6" s="254" t="s">
        <v>172</v>
      </c>
      <c r="D6" s="52" t="s">
        <v>746</v>
      </c>
      <c r="E6" s="54">
        <v>6.1</v>
      </c>
      <c r="F6" s="53">
        <v>0</v>
      </c>
      <c r="G6" s="54">
        <v>3.6</v>
      </c>
      <c r="H6" s="54">
        <v>1.9</v>
      </c>
      <c r="I6" s="54">
        <v>0.9</v>
      </c>
      <c r="J6" s="54">
        <v>0</v>
      </c>
      <c r="K6" s="54">
        <v>0</v>
      </c>
      <c r="L6" s="54">
        <v>0</v>
      </c>
      <c r="M6" s="54">
        <v>0</v>
      </c>
      <c r="N6" s="54">
        <v>1.2</v>
      </c>
      <c r="O6" s="54">
        <v>1.9</v>
      </c>
      <c r="P6" s="54">
        <v>1268.5999999999999</v>
      </c>
      <c r="Q6" s="54">
        <v>11.6</v>
      </c>
      <c r="R6" s="54">
        <v>1179.8</v>
      </c>
      <c r="S6" s="255">
        <v>3001.4</v>
      </c>
      <c r="T6" s="254" t="s">
        <v>768</v>
      </c>
      <c r="U6" s="254">
        <v>2276</v>
      </c>
      <c r="V6" s="254">
        <v>704</v>
      </c>
      <c r="W6" s="254">
        <v>30</v>
      </c>
      <c r="X6" s="254">
        <v>0</v>
      </c>
      <c r="Y6" s="254">
        <v>0</v>
      </c>
      <c r="AB6" s="256" t="s">
        <v>719</v>
      </c>
      <c r="AC6" s="257">
        <v>2.2999999999999998</v>
      </c>
      <c r="AD6" s="257">
        <v>3</v>
      </c>
      <c r="AE6" s="257" t="s">
        <v>712</v>
      </c>
      <c r="AG6" s="256" t="s">
        <v>719</v>
      </c>
      <c r="AH6" s="257">
        <v>2.2999999999999998</v>
      </c>
      <c r="AI6" s="257">
        <v>3</v>
      </c>
      <c r="AJ6" s="257" t="s">
        <v>712</v>
      </c>
    </row>
    <row r="7" spans="1:36" s="48" customFormat="1" ht="15" thickBot="1" x14ac:dyDescent="0.4">
      <c r="A7" s="52">
        <v>19418</v>
      </c>
      <c r="B7" s="253">
        <v>44295</v>
      </c>
      <c r="C7" s="254" t="s">
        <v>173</v>
      </c>
      <c r="D7" s="52" t="s">
        <v>709</v>
      </c>
      <c r="E7" s="54">
        <v>15.3</v>
      </c>
      <c r="F7" s="53">
        <v>0</v>
      </c>
      <c r="G7" s="55">
        <v>7.9</v>
      </c>
      <c r="H7" s="55">
        <v>1.8</v>
      </c>
      <c r="I7" s="55">
        <v>1</v>
      </c>
      <c r="J7" s="55">
        <v>0.1</v>
      </c>
      <c r="K7" s="55">
        <v>0</v>
      </c>
      <c r="L7" s="55">
        <v>0</v>
      </c>
      <c r="M7" s="55">
        <v>0</v>
      </c>
      <c r="N7" s="55">
        <v>1.4</v>
      </c>
      <c r="O7" s="55">
        <v>0.9</v>
      </c>
      <c r="P7" s="55">
        <v>1271.4000000000001</v>
      </c>
      <c r="Q7" s="55">
        <v>455.9</v>
      </c>
      <c r="R7" s="55">
        <v>1176.4000000000001</v>
      </c>
      <c r="S7" s="55">
        <v>2177.6999999999998</v>
      </c>
      <c r="T7" s="254" t="s">
        <v>748</v>
      </c>
      <c r="U7" s="254">
        <v>92705</v>
      </c>
      <c r="V7" s="254">
        <v>31553</v>
      </c>
      <c r="W7" s="254">
        <v>200</v>
      </c>
      <c r="X7" s="254">
        <v>10</v>
      </c>
      <c r="Y7" s="254">
        <v>0</v>
      </c>
      <c r="AB7" s="256" t="s">
        <v>722</v>
      </c>
      <c r="AC7" s="257">
        <v>0.4</v>
      </c>
      <c r="AD7" s="257">
        <v>0.5</v>
      </c>
      <c r="AE7" s="257" t="s">
        <v>712</v>
      </c>
      <c r="AG7" s="256" t="s">
        <v>722</v>
      </c>
      <c r="AH7" s="257">
        <v>0.4</v>
      </c>
      <c r="AI7" s="257">
        <v>0.5</v>
      </c>
      <c r="AJ7" s="257" t="s">
        <v>712</v>
      </c>
    </row>
    <row r="8" spans="1:36" s="48" customFormat="1" ht="15" thickBot="1" x14ac:dyDescent="0.4">
      <c r="A8" s="52">
        <v>19419</v>
      </c>
      <c r="B8" s="253">
        <v>44295</v>
      </c>
      <c r="C8" s="254" t="s">
        <v>174</v>
      </c>
      <c r="D8" s="52" t="s">
        <v>709</v>
      </c>
      <c r="E8" s="54">
        <v>15.1</v>
      </c>
      <c r="F8" s="53">
        <v>0</v>
      </c>
      <c r="G8" s="55">
        <v>7.1</v>
      </c>
      <c r="H8" s="55">
        <v>1.5</v>
      </c>
      <c r="I8" s="55">
        <v>0.8</v>
      </c>
      <c r="J8" s="55">
        <v>0</v>
      </c>
      <c r="K8" s="55">
        <v>0</v>
      </c>
      <c r="L8" s="55">
        <v>0</v>
      </c>
      <c r="M8" s="55">
        <v>0</v>
      </c>
      <c r="N8" s="55">
        <v>1.2</v>
      </c>
      <c r="O8" s="55">
        <v>1.1000000000000001</v>
      </c>
      <c r="P8" s="55">
        <v>1222.3</v>
      </c>
      <c r="Q8" s="55">
        <v>431.9</v>
      </c>
      <c r="R8" s="55">
        <v>1112.5</v>
      </c>
      <c r="S8" s="55">
        <v>2071.1</v>
      </c>
      <c r="T8" s="254" t="s">
        <v>764</v>
      </c>
      <c r="U8" s="254">
        <v>88831</v>
      </c>
      <c r="V8" s="254">
        <v>32028</v>
      </c>
      <c r="W8" s="254">
        <v>359</v>
      </c>
      <c r="X8" s="254">
        <v>0</v>
      </c>
      <c r="Y8" s="254">
        <v>0</v>
      </c>
      <c r="AB8" s="256" t="s">
        <v>724</v>
      </c>
      <c r="AC8" s="257">
        <v>3</v>
      </c>
      <c r="AD8" s="257">
        <v>5</v>
      </c>
      <c r="AE8" s="257" t="s">
        <v>712</v>
      </c>
      <c r="AG8" s="256" t="s">
        <v>724</v>
      </c>
      <c r="AH8" s="257">
        <v>3</v>
      </c>
      <c r="AI8" s="257">
        <v>5</v>
      </c>
      <c r="AJ8" s="257" t="s">
        <v>712</v>
      </c>
    </row>
    <row r="9" spans="1:36" s="48" customFormat="1" ht="15" thickBot="1" x14ac:dyDescent="0.4">
      <c r="A9" s="52">
        <v>19420</v>
      </c>
      <c r="B9" s="253">
        <v>44295</v>
      </c>
      <c r="C9" s="254" t="s">
        <v>175</v>
      </c>
      <c r="D9" s="52" t="s">
        <v>720</v>
      </c>
      <c r="E9" s="54">
        <v>6</v>
      </c>
      <c r="F9" s="53">
        <v>0</v>
      </c>
      <c r="G9" s="55">
        <v>3.5</v>
      </c>
      <c r="H9" s="55">
        <v>1.7</v>
      </c>
      <c r="I9" s="55">
        <v>0.9</v>
      </c>
      <c r="J9" s="55">
        <v>0.1</v>
      </c>
      <c r="K9" s="55">
        <v>0.4</v>
      </c>
      <c r="L9" s="55">
        <v>0</v>
      </c>
      <c r="M9" s="55">
        <v>0.1</v>
      </c>
      <c r="N9" s="55">
        <v>0</v>
      </c>
      <c r="O9" s="55">
        <v>2.5</v>
      </c>
      <c r="P9" s="55">
        <v>1135.9000000000001</v>
      </c>
      <c r="Q9" s="55">
        <v>13.5</v>
      </c>
      <c r="R9" s="55">
        <v>1116.2</v>
      </c>
      <c r="S9" s="55">
        <v>2730.8</v>
      </c>
      <c r="T9" s="254" t="s">
        <v>773</v>
      </c>
      <c r="U9" s="254">
        <v>3663</v>
      </c>
      <c r="V9" s="254">
        <v>1255</v>
      </c>
      <c r="W9" s="254">
        <v>100</v>
      </c>
      <c r="X9" s="254">
        <v>0</v>
      </c>
      <c r="Y9" s="254">
        <v>0</v>
      </c>
      <c r="AB9" s="256" t="s">
        <v>726</v>
      </c>
      <c r="AC9" s="257">
        <v>5</v>
      </c>
      <c r="AD9" s="257">
        <v>15</v>
      </c>
      <c r="AE9" s="257" t="s">
        <v>712</v>
      </c>
      <c r="AG9" s="256" t="s">
        <v>726</v>
      </c>
      <c r="AH9" s="257">
        <v>5</v>
      </c>
      <c r="AI9" s="257">
        <v>15</v>
      </c>
      <c r="AJ9" s="257" t="s">
        <v>712</v>
      </c>
    </row>
    <row r="10" spans="1:36" s="48" customFormat="1" ht="15" thickBot="1" x14ac:dyDescent="0.4">
      <c r="A10" s="52">
        <v>19421</v>
      </c>
      <c r="B10" s="253">
        <v>44295</v>
      </c>
      <c r="C10" s="254" t="s">
        <v>176</v>
      </c>
      <c r="D10" s="52" t="s">
        <v>709</v>
      </c>
      <c r="E10" s="54">
        <v>15.2</v>
      </c>
      <c r="F10" s="53">
        <v>0</v>
      </c>
      <c r="G10" s="55">
        <v>7.7</v>
      </c>
      <c r="H10" s="55">
        <v>1.5</v>
      </c>
      <c r="I10" s="55">
        <v>1</v>
      </c>
      <c r="J10" s="55">
        <v>0</v>
      </c>
      <c r="K10" s="55">
        <v>0.1</v>
      </c>
      <c r="L10" s="55">
        <v>0</v>
      </c>
      <c r="M10" s="55">
        <v>0</v>
      </c>
      <c r="N10" s="55">
        <v>0.7</v>
      </c>
      <c r="O10" s="55">
        <v>1.5</v>
      </c>
      <c r="P10" s="55">
        <v>1251.7</v>
      </c>
      <c r="Q10" s="55">
        <v>445.4</v>
      </c>
      <c r="R10" s="55">
        <v>1144.4000000000001</v>
      </c>
      <c r="S10" s="55">
        <v>2135.9</v>
      </c>
      <c r="T10" s="254" t="s">
        <v>764</v>
      </c>
      <c r="U10" s="254">
        <v>100318</v>
      </c>
      <c r="V10" s="254">
        <v>36422</v>
      </c>
      <c r="W10" s="254">
        <v>380</v>
      </c>
      <c r="X10" s="254">
        <v>0</v>
      </c>
      <c r="Y10" s="254">
        <v>0</v>
      </c>
      <c r="AB10" s="256" t="s">
        <v>728</v>
      </c>
      <c r="AC10" s="257">
        <v>14.8</v>
      </c>
      <c r="AD10" s="257">
        <v>15.1</v>
      </c>
      <c r="AE10" s="257" t="s">
        <v>729</v>
      </c>
      <c r="AG10" s="256" t="s">
        <v>728</v>
      </c>
      <c r="AH10" s="257">
        <v>14.8</v>
      </c>
      <c r="AI10" s="257">
        <v>15.1</v>
      </c>
      <c r="AJ10" s="257" t="s">
        <v>729</v>
      </c>
    </row>
    <row r="11" spans="1:36" s="48" customFormat="1" ht="15" thickBot="1" x14ac:dyDescent="0.4">
      <c r="A11" s="52">
        <v>19422</v>
      </c>
      <c r="B11" s="253">
        <v>44295</v>
      </c>
      <c r="C11" s="254" t="s">
        <v>177</v>
      </c>
      <c r="D11" s="52" t="s">
        <v>720</v>
      </c>
      <c r="E11" s="54">
        <v>6</v>
      </c>
      <c r="F11" s="53">
        <v>0</v>
      </c>
      <c r="G11" s="55">
        <v>3.6</v>
      </c>
      <c r="H11" s="55">
        <v>1.8</v>
      </c>
      <c r="I11" s="55">
        <v>0.7</v>
      </c>
      <c r="J11" s="55">
        <v>0</v>
      </c>
      <c r="K11" s="55">
        <v>0</v>
      </c>
      <c r="L11" s="55">
        <v>0</v>
      </c>
      <c r="M11" s="55">
        <v>0</v>
      </c>
      <c r="N11" s="55">
        <v>0</v>
      </c>
      <c r="O11" s="55">
        <v>2.5</v>
      </c>
      <c r="P11" s="55">
        <v>1153.8</v>
      </c>
      <c r="Q11" s="55">
        <v>11.6</v>
      </c>
      <c r="R11" s="55">
        <v>1126.0999999999999</v>
      </c>
      <c r="S11" s="55">
        <v>2784.7</v>
      </c>
      <c r="T11" s="254" t="s">
        <v>730</v>
      </c>
      <c r="U11" s="254">
        <v>4891</v>
      </c>
      <c r="V11" s="254">
        <v>1077</v>
      </c>
      <c r="W11" s="254">
        <v>23</v>
      </c>
      <c r="X11" s="254">
        <v>7</v>
      </c>
      <c r="Y11" s="254">
        <v>0</v>
      </c>
      <c r="AB11" s="256" t="s">
        <v>731</v>
      </c>
      <c r="AC11" s="257">
        <v>13.7</v>
      </c>
      <c r="AD11" s="257">
        <v>13.4</v>
      </c>
      <c r="AE11" s="257" t="s">
        <v>729</v>
      </c>
      <c r="AG11" s="256" t="s">
        <v>731</v>
      </c>
      <c r="AH11" s="257">
        <v>13.7</v>
      </c>
      <c r="AI11" s="257">
        <v>13.4</v>
      </c>
      <c r="AJ11" s="257" t="s">
        <v>729</v>
      </c>
    </row>
    <row r="12" spans="1:36" s="48" customFormat="1" ht="15" thickBot="1" x14ac:dyDescent="0.4">
      <c r="A12" s="52">
        <v>21766</v>
      </c>
      <c r="B12" s="253">
        <v>44296</v>
      </c>
      <c r="C12" s="254" t="s">
        <v>178</v>
      </c>
      <c r="D12" s="52" t="s">
        <v>720</v>
      </c>
      <c r="E12" s="54">
        <v>6</v>
      </c>
      <c r="F12" s="53">
        <v>0</v>
      </c>
      <c r="G12" s="55">
        <v>4</v>
      </c>
      <c r="H12" s="55">
        <v>1.8</v>
      </c>
      <c r="I12" s="55">
        <v>0.9</v>
      </c>
      <c r="J12" s="55">
        <v>0</v>
      </c>
      <c r="K12" s="55">
        <v>0</v>
      </c>
      <c r="L12" s="55">
        <v>0</v>
      </c>
      <c r="M12" s="55">
        <v>0</v>
      </c>
      <c r="N12" s="55">
        <v>0.5</v>
      </c>
      <c r="O12" s="55">
        <v>2</v>
      </c>
      <c r="P12" s="55">
        <v>1262.7</v>
      </c>
      <c r="Q12" s="55">
        <v>13.6</v>
      </c>
      <c r="R12" s="55">
        <v>1224.5</v>
      </c>
      <c r="S12" s="55">
        <v>3175.6</v>
      </c>
      <c r="T12" s="254" t="s">
        <v>725</v>
      </c>
      <c r="U12" s="254">
        <v>3665</v>
      </c>
      <c r="V12" s="254">
        <v>1457</v>
      </c>
      <c r="W12" s="254">
        <v>63</v>
      </c>
      <c r="X12" s="254">
        <v>0</v>
      </c>
      <c r="Y12" s="254">
        <v>0</v>
      </c>
      <c r="AB12" s="256" t="s">
        <v>134</v>
      </c>
      <c r="AC12" s="257">
        <v>9.6999999999999993</v>
      </c>
      <c r="AD12" s="257">
        <v>9</v>
      </c>
      <c r="AE12" s="257" t="s">
        <v>732</v>
      </c>
      <c r="AG12" s="256" t="s">
        <v>134</v>
      </c>
      <c r="AH12" s="257">
        <v>9.6999999999999993</v>
      </c>
      <c r="AI12" s="257">
        <v>9</v>
      </c>
      <c r="AJ12" s="257" t="s">
        <v>732</v>
      </c>
    </row>
    <row r="13" spans="1:36" s="48" customFormat="1" ht="15" thickBot="1" x14ac:dyDescent="0.4">
      <c r="A13" s="52">
        <v>21767</v>
      </c>
      <c r="B13" s="253">
        <v>44296</v>
      </c>
      <c r="C13" s="254" t="s">
        <v>179</v>
      </c>
      <c r="D13" s="52" t="s">
        <v>709</v>
      </c>
      <c r="E13" s="54">
        <v>15</v>
      </c>
      <c r="F13" s="53">
        <v>0</v>
      </c>
      <c r="G13" s="55">
        <v>8.6</v>
      </c>
      <c r="H13" s="55">
        <v>1.4</v>
      </c>
      <c r="I13" s="55">
        <v>1.1000000000000001</v>
      </c>
      <c r="J13" s="55">
        <v>0</v>
      </c>
      <c r="K13" s="55">
        <v>0</v>
      </c>
      <c r="L13" s="55">
        <v>0</v>
      </c>
      <c r="M13" s="55">
        <v>0</v>
      </c>
      <c r="N13" s="55">
        <v>1.1000000000000001</v>
      </c>
      <c r="O13" s="55">
        <v>0.8</v>
      </c>
      <c r="P13" s="55">
        <v>1338.7</v>
      </c>
      <c r="Q13" s="55">
        <v>458.2</v>
      </c>
      <c r="R13" s="55">
        <v>1196.3</v>
      </c>
      <c r="S13" s="55">
        <v>2294.9</v>
      </c>
      <c r="T13" s="254" t="s">
        <v>748</v>
      </c>
      <c r="U13" s="254">
        <v>98415</v>
      </c>
      <c r="V13" s="254">
        <v>30438</v>
      </c>
      <c r="W13" s="254">
        <v>293</v>
      </c>
      <c r="X13" s="254">
        <v>0</v>
      </c>
      <c r="Y13" s="254">
        <v>0</v>
      </c>
      <c r="AB13" s="256" t="s">
        <v>333</v>
      </c>
      <c r="AC13" s="257">
        <v>4.3</v>
      </c>
      <c r="AD13" s="257">
        <v>5</v>
      </c>
      <c r="AE13" s="257" t="s">
        <v>734</v>
      </c>
      <c r="AG13" s="256" t="s">
        <v>333</v>
      </c>
      <c r="AH13" s="257">
        <v>4.3</v>
      </c>
      <c r="AI13" s="257">
        <v>5</v>
      </c>
      <c r="AJ13" s="257" t="s">
        <v>734</v>
      </c>
    </row>
    <row r="14" spans="1:36" s="48" customFormat="1" ht="15" thickBot="1" x14ac:dyDescent="0.4">
      <c r="A14" s="52">
        <v>21768</v>
      </c>
      <c r="B14" s="253">
        <v>44296</v>
      </c>
      <c r="C14" s="254" t="s">
        <v>180</v>
      </c>
      <c r="D14" s="52" t="s">
        <v>709</v>
      </c>
      <c r="E14" s="54">
        <v>15</v>
      </c>
      <c r="F14" s="53">
        <v>0</v>
      </c>
      <c r="G14" s="55">
        <v>8.9</v>
      </c>
      <c r="H14" s="55">
        <v>1.4</v>
      </c>
      <c r="I14" s="55">
        <v>1.1000000000000001</v>
      </c>
      <c r="J14" s="55">
        <v>0</v>
      </c>
      <c r="K14" s="55">
        <v>0</v>
      </c>
      <c r="L14" s="55">
        <v>0</v>
      </c>
      <c r="M14" s="55">
        <v>0</v>
      </c>
      <c r="N14" s="55">
        <v>1.6</v>
      </c>
      <c r="O14" s="55">
        <v>0.9</v>
      </c>
      <c r="P14" s="55">
        <v>1355.9</v>
      </c>
      <c r="Q14" s="55">
        <v>472.4</v>
      </c>
      <c r="R14" s="55">
        <v>1233.7</v>
      </c>
      <c r="S14" s="55">
        <v>2372</v>
      </c>
      <c r="T14" s="254" t="s">
        <v>748</v>
      </c>
      <c r="U14" s="254">
        <v>96951</v>
      </c>
      <c r="V14" s="254">
        <v>32186</v>
      </c>
      <c r="W14" s="254">
        <v>233</v>
      </c>
      <c r="X14" s="254">
        <v>0</v>
      </c>
      <c r="Y14" s="254">
        <v>0</v>
      </c>
      <c r="AB14" s="256" t="s">
        <v>335</v>
      </c>
      <c r="AC14" s="257">
        <v>7.6</v>
      </c>
      <c r="AD14" s="257">
        <v>8.5</v>
      </c>
      <c r="AE14" s="257" t="s">
        <v>734</v>
      </c>
      <c r="AG14" s="256" t="s">
        <v>335</v>
      </c>
      <c r="AH14" s="257">
        <v>7.6</v>
      </c>
      <c r="AI14" s="257">
        <v>8.5</v>
      </c>
      <c r="AJ14" s="257" t="s">
        <v>734</v>
      </c>
    </row>
    <row r="15" spans="1:36" s="48" customFormat="1" ht="15" thickBot="1" x14ac:dyDescent="0.4">
      <c r="A15" s="52">
        <v>12035</v>
      </c>
      <c r="B15" s="253">
        <v>44322</v>
      </c>
      <c r="C15" s="254" t="s">
        <v>181</v>
      </c>
      <c r="D15" s="52" t="s">
        <v>723</v>
      </c>
      <c r="E15" s="54">
        <v>15.5</v>
      </c>
      <c r="F15" s="53">
        <v>0</v>
      </c>
      <c r="G15" s="54">
        <v>9.8000000000000007</v>
      </c>
      <c r="H15" s="54">
        <v>1.3</v>
      </c>
      <c r="I15" s="54">
        <v>1.2</v>
      </c>
      <c r="J15" s="54">
        <v>0</v>
      </c>
      <c r="K15" s="54">
        <v>0</v>
      </c>
      <c r="L15" s="54">
        <v>0</v>
      </c>
      <c r="M15" s="54">
        <v>0</v>
      </c>
      <c r="N15" s="54">
        <v>2.5</v>
      </c>
      <c r="O15" s="54">
        <v>1.7</v>
      </c>
      <c r="P15" s="54">
        <v>1479</v>
      </c>
      <c r="Q15" s="54">
        <v>477.8</v>
      </c>
      <c r="R15" s="54">
        <v>1195.3</v>
      </c>
      <c r="S15" s="255">
        <v>2306.4</v>
      </c>
      <c r="T15" s="254" t="s">
        <v>718</v>
      </c>
      <c r="U15" s="254">
        <v>75768</v>
      </c>
      <c r="V15" s="254">
        <v>26826</v>
      </c>
      <c r="W15" s="254">
        <v>143</v>
      </c>
      <c r="X15" s="254">
        <v>0</v>
      </c>
      <c r="Y15" s="254">
        <v>0</v>
      </c>
      <c r="AB15" s="256" t="s">
        <v>738</v>
      </c>
      <c r="AC15" s="257">
        <v>10</v>
      </c>
      <c r="AD15" s="257">
        <v>11.3</v>
      </c>
      <c r="AE15" s="257" t="s">
        <v>734</v>
      </c>
      <c r="AG15" s="256" t="s">
        <v>738</v>
      </c>
      <c r="AH15" s="257">
        <v>10</v>
      </c>
      <c r="AI15" s="257">
        <v>11.3</v>
      </c>
      <c r="AJ15" s="257" t="s">
        <v>734</v>
      </c>
    </row>
    <row r="16" spans="1:36" s="48" customFormat="1" ht="15" thickBot="1" x14ac:dyDescent="0.4">
      <c r="A16" s="52">
        <v>12036</v>
      </c>
      <c r="B16" s="253">
        <v>44322</v>
      </c>
      <c r="C16" s="254" t="s">
        <v>182</v>
      </c>
      <c r="D16" s="52" t="s">
        <v>746</v>
      </c>
      <c r="E16" s="54">
        <v>5.9</v>
      </c>
      <c r="F16" s="53">
        <v>0</v>
      </c>
      <c r="G16" s="55">
        <v>4.7</v>
      </c>
      <c r="H16" s="55">
        <v>1.7</v>
      </c>
      <c r="I16" s="55">
        <v>0.7</v>
      </c>
      <c r="J16" s="55">
        <v>0</v>
      </c>
      <c r="K16" s="55">
        <v>0</v>
      </c>
      <c r="L16" s="55">
        <v>0</v>
      </c>
      <c r="M16" s="55">
        <v>0</v>
      </c>
      <c r="N16" s="55">
        <v>0.1</v>
      </c>
      <c r="O16" s="55">
        <v>2.2000000000000002</v>
      </c>
      <c r="P16" s="55">
        <v>1384.5</v>
      </c>
      <c r="Q16" s="55">
        <v>11.7</v>
      </c>
      <c r="R16" s="55">
        <v>1186.9000000000001</v>
      </c>
      <c r="S16" s="55">
        <v>3072.1</v>
      </c>
      <c r="T16" s="254" t="s">
        <v>369</v>
      </c>
      <c r="U16" s="254">
        <v>2322</v>
      </c>
      <c r="V16" s="254">
        <v>817</v>
      </c>
      <c r="W16" s="254">
        <v>13</v>
      </c>
      <c r="X16" s="254">
        <v>0</v>
      </c>
      <c r="Y16" s="254">
        <v>0</v>
      </c>
      <c r="AB16" s="256" t="s">
        <v>739</v>
      </c>
      <c r="AC16" s="257">
        <v>0.9</v>
      </c>
      <c r="AD16" s="257">
        <v>1.1000000000000001</v>
      </c>
      <c r="AE16" s="257" t="s">
        <v>734</v>
      </c>
      <c r="AG16" s="256" t="s">
        <v>739</v>
      </c>
      <c r="AH16" s="257">
        <v>0.9</v>
      </c>
      <c r="AI16" s="257">
        <v>1.1000000000000001</v>
      </c>
      <c r="AJ16" s="257" t="s">
        <v>734</v>
      </c>
    </row>
    <row r="17" spans="1:36" s="48" customFormat="1" ht="15" thickBot="1" x14ac:dyDescent="0.4">
      <c r="A17" s="52">
        <v>12037</v>
      </c>
      <c r="B17" s="253">
        <v>44322</v>
      </c>
      <c r="C17" s="254" t="s">
        <v>183</v>
      </c>
      <c r="D17" s="52" t="s">
        <v>749</v>
      </c>
      <c r="E17" s="54">
        <v>25.5</v>
      </c>
      <c r="F17" s="53">
        <v>0</v>
      </c>
      <c r="G17" s="54">
        <v>9.3000000000000007</v>
      </c>
      <c r="H17" s="54">
        <v>1.8</v>
      </c>
      <c r="I17" s="54">
        <v>0.9</v>
      </c>
      <c r="J17" s="54">
        <v>0</v>
      </c>
      <c r="K17" s="54">
        <v>0</v>
      </c>
      <c r="L17" s="54">
        <v>0</v>
      </c>
      <c r="M17" s="54">
        <v>0</v>
      </c>
      <c r="N17" s="54">
        <v>0.3</v>
      </c>
      <c r="O17" s="54">
        <v>2</v>
      </c>
      <c r="P17" s="54">
        <v>1409.5</v>
      </c>
      <c r="Q17" s="54">
        <v>11.8</v>
      </c>
      <c r="R17" s="54">
        <v>1207.5</v>
      </c>
      <c r="S17" s="255">
        <v>3048.2</v>
      </c>
      <c r="T17" s="254" t="s">
        <v>750</v>
      </c>
      <c r="U17" s="254">
        <v>13691</v>
      </c>
      <c r="V17" s="254">
        <v>3006</v>
      </c>
      <c r="W17" s="254">
        <v>89</v>
      </c>
      <c r="X17" s="254">
        <v>0</v>
      </c>
      <c r="Y17" s="254">
        <v>0</v>
      </c>
      <c r="AB17" s="256" t="s">
        <v>741</v>
      </c>
      <c r="AC17" s="257">
        <v>37</v>
      </c>
      <c r="AD17" s="257">
        <v>46</v>
      </c>
      <c r="AE17" s="257" t="s">
        <v>742</v>
      </c>
      <c r="AG17" s="256" t="s">
        <v>741</v>
      </c>
      <c r="AH17" s="257">
        <v>37</v>
      </c>
      <c r="AI17" s="257">
        <v>46</v>
      </c>
      <c r="AJ17" s="257" t="s">
        <v>742</v>
      </c>
    </row>
    <row r="18" spans="1:36" s="48" customFormat="1" x14ac:dyDescent="0.35">
      <c r="A18" s="52">
        <v>21769</v>
      </c>
      <c r="B18" s="253">
        <v>44326</v>
      </c>
      <c r="C18" s="254" t="s">
        <v>184</v>
      </c>
      <c r="D18" s="52" t="s">
        <v>720</v>
      </c>
      <c r="E18" s="54">
        <v>6</v>
      </c>
      <c r="F18" s="53">
        <v>0</v>
      </c>
      <c r="G18" s="55">
        <v>4</v>
      </c>
      <c r="H18" s="55">
        <v>1.6</v>
      </c>
      <c r="I18" s="55">
        <v>0.8</v>
      </c>
      <c r="J18" s="55">
        <v>0</v>
      </c>
      <c r="K18" s="55">
        <v>0</v>
      </c>
      <c r="L18" s="55">
        <v>0</v>
      </c>
      <c r="M18" s="55">
        <v>0</v>
      </c>
      <c r="N18" s="55">
        <v>0.5</v>
      </c>
      <c r="O18" s="55">
        <v>2.1</v>
      </c>
      <c r="P18" s="55">
        <v>1218.3</v>
      </c>
      <c r="Q18" s="55">
        <v>13</v>
      </c>
      <c r="R18" s="55">
        <v>1174.3</v>
      </c>
      <c r="S18" s="55">
        <v>3035.4</v>
      </c>
      <c r="T18" s="254" t="s">
        <v>721</v>
      </c>
      <c r="U18" s="254">
        <v>3425</v>
      </c>
      <c r="V18" s="254">
        <v>1016</v>
      </c>
      <c r="W18" s="254">
        <v>17</v>
      </c>
      <c r="X18" s="254">
        <v>0</v>
      </c>
      <c r="Y18" s="254">
        <v>0</v>
      </c>
    </row>
    <row r="19" spans="1:36" s="48" customFormat="1" x14ac:dyDescent="0.35">
      <c r="A19" s="52">
        <v>21770</v>
      </c>
      <c r="B19" s="253">
        <v>44326</v>
      </c>
      <c r="C19" s="254" t="s">
        <v>185</v>
      </c>
      <c r="D19" s="52" t="s">
        <v>709</v>
      </c>
      <c r="E19" s="54">
        <v>14.9</v>
      </c>
      <c r="F19" s="53">
        <v>0</v>
      </c>
      <c r="G19" s="55">
        <v>7.9</v>
      </c>
      <c r="H19" s="55">
        <v>1.4</v>
      </c>
      <c r="I19" s="55">
        <v>1</v>
      </c>
      <c r="J19" s="55">
        <v>0</v>
      </c>
      <c r="K19" s="55">
        <v>0</v>
      </c>
      <c r="L19" s="55">
        <v>0</v>
      </c>
      <c r="M19" s="55">
        <v>0</v>
      </c>
      <c r="N19" s="55">
        <v>1.5</v>
      </c>
      <c r="O19" s="55">
        <v>0.9</v>
      </c>
      <c r="P19" s="55">
        <v>1307.7</v>
      </c>
      <c r="Q19" s="55">
        <v>467.6</v>
      </c>
      <c r="R19" s="55">
        <v>1193.8</v>
      </c>
      <c r="S19" s="55">
        <v>2284</v>
      </c>
      <c r="T19" s="254" t="s">
        <v>716</v>
      </c>
      <c r="U19" s="254">
        <v>106767</v>
      </c>
      <c r="V19" s="254">
        <v>33472</v>
      </c>
      <c r="W19" s="254">
        <v>157</v>
      </c>
      <c r="X19" s="254">
        <v>0</v>
      </c>
      <c r="Y19" s="254">
        <v>0</v>
      </c>
    </row>
    <row r="20" spans="1:36" s="48" customFormat="1" x14ac:dyDescent="0.35">
      <c r="A20" s="52">
        <v>25822</v>
      </c>
      <c r="B20" s="253">
        <v>44328</v>
      </c>
      <c r="C20" s="254" t="s">
        <v>173</v>
      </c>
      <c r="D20" s="52" t="s">
        <v>720</v>
      </c>
      <c r="E20" s="54">
        <v>6</v>
      </c>
      <c r="F20" s="53">
        <v>0</v>
      </c>
      <c r="G20" s="55">
        <v>3.7</v>
      </c>
      <c r="H20" s="55">
        <v>1.5</v>
      </c>
      <c r="I20" s="55">
        <v>1.1000000000000001</v>
      </c>
      <c r="J20" s="55">
        <v>0</v>
      </c>
      <c r="K20" s="55">
        <v>0</v>
      </c>
      <c r="L20" s="55">
        <v>0</v>
      </c>
      <c r="M20" s="55">
        <v>0</v>
      </c>
      <c r="N20" s="55">
        <v>0.4</v>
      </c>
      <c r="O20" s="55">
        <v>1.4</v>
      </c>
      <c r="P20" s="55">
        <v>1097.8</v>
      </c>
      <c r="Q20" s="55">
        <v>10.199999999999999</v>
      </c>
      <c r="R20" s="55">
        <v>1116</v>
      </c>
      <c r="S20" s="55">
        <v>2915.6</v>
      </c>
      <c r="T20" s="254" t="s">
        <v>792</v>
      </c>
      <c r="U20" s="254">
        <v>79043</v>
      </c>
      <c r="V20" s="254">
        <v>14627</v>
      </c>
      <c r="W20" s="254">
        <v>547</v>
      </c>
      <c r="X20" s="254">
        <v>35</v>
      </c>
      <c r="Y20" s="254">
        <v>16</v>
      </c>
    </row>
    <row r="21" spans="1:36" s="48" customFormat="1" x14ac:dyDescent="0.35">
      <c r="A21" s="52">
        <v>25823</v>
      </c>
      <c r="B21" s="253">
        <v>44328</v>
      </c>
      <c r="C21" s="254" t="s">
        <v>174</v>
      </c>
      <c r="D21" s="52" t="s">
        <v>782</v>
      </c>
      <c r="E21" s="54">
        <v>79.599999999999994</v>
      </c>
      <c r="F21" s="53">
        <v>0</v>
      </c>
      <c r="G21" s="55">
        <v>15.2</v>
      </c>
      <c r="H21" s="55">
        <v>0</v>
      </c>
      <c r="I21" s="55">
        <v>0.6</v>
      </c>
      <c r="J21" s="55">
        <v>0.2</v>
      </c>
      <c r="K21" s="55">
        <v>0</v>
      </c>
      <c r="L21" s="55">
        <v>0</v>
      </c>
      <c r="M21" s="55">
        <v>0</v>
      </c>
      <c r="N21" s="55">
        <v>0.5</v>
      </c>
      <c r="O21" s="55">
        <v>0</v>
      </c>
      <c r="P21" s="55">
        <v>209</v>
      </c>
      <c r="Q21" s="55">
        <v>0.1</v>
      </c>
      <c r="R21" s="55">
        <v>0.8</v>
      </c>
      <c r="S21" s="55">
        <v>0</v>
      </c>
      <c r="T21" s="254" t="s">
        <v>793</v>
      </c>
      <c r="U21" s="254">
        <v>14401</v>
      </c>
      <c r="V21" s="254">
        <v>6074</v>
      </c>
      <c r="W21" s="254">
        <v>1669</v>
      </c>
      <c r="X21" s="254">
        <v>65</v>
      </c>
      <c r="Y21" s="254">
        <v>0</v>
      </c>
    </row>
    <row r="22" spans="1:36" s="48" customFormat="1" x14ac:dyDescent="0.35">
      <c r="A22" s="52">
        <v>25824</v>
      </c>
      <c r="B22" s="253">
        <v>44328</v>
      </c>
      <c r="C22" s="254" t="s">
        <v>175</v>
      </c>
      <c r="D22" s="52" t="s">
        <v>720</v>
      </c>
      <c r="E22" s="54">
        <v>6</v>
      </c>
      <c r="F22" s="53">
        <v>0</v>
      </c>
      <c r="G22" s="55">
        <v>3.6</v>
      </c>
      <c r="H22" s="55">
        <v>1.5</v>
      </c>
      <c r="I22" s="55">
        <v>0.9</v>
      </c>
      <c r="J22" s="55">
        <v>0</v>
      </c>
      <c r="K22" s="55">
        <v>0</v>
      </c>
      <c r="L22" s="55">
        <v>0</v>
      </c>
      <c r="M22" s="55">
        <v>0</v>
      </c>
      <c r="N22" s="55">
        <v>0.1</v>
      </c>
      <c r="O22" s="55">
        <v>1.5</v>
      </c>
      <c r="P22" s="55">
        <v>1060.7</v>
      </c>
      <c r="Q22" s="55">
        <v>9.8000000000000007</v>
      </c>
      <c r="R22" s="55">
        <v>1065.0999999999999</v>
      </c>
      <c r="S22" s="55">
        <v>2799.6</v>
      </c>
      <c r="T22" s="254" t="s">
        <v>794</v>
      </c>
      <c r="U22" s="254">
        <v>28543</v>
      </c>
      <c r="V22" s="254">
        <v>7851</v>
      </c>
      <c r="W22" s="254">
        <v>218</v>
      </c>
      <c r="X22" s="254">
        <v>0</v>
      </c>
      <c r="Y22" s="254">
        <v>0</v>
      </c>
    </row>
    <row r="23" spans="1:36" s="48" customFormat="1" x14ac:dyDescent="0.35">
      <c r="A23" s="52">
        <v>10409</v>
      </c>
      <c r="B23" s="253">
        <v>44331</v>
      </c>
      <c r="C23" s="254" t="s">
        <v>186</v>
      </c>
      <c r="D23" s="52" t="s">
        <v>720</v>
      </c>
      <c r="E23" s="54">
        <v>6.1</v>
      </c>
      <c r="F23" s="53">
        <v>0</v>
      </c>
      <c r="G23" s="54">
        <v>3.8</v>
      </c>
      <c r="H23" s="54">
        <v>1.9</v>
      </c>
      <c r="I23" s="54">
        <v>0.9</v>
      </c>
      <c r="J23" s="54">
        <v>0.3</v>
      </c>
      <c r="K23" s="54">
        <v>0.1</v>
      </c>
      <c r="L23" s="54">
        <v>0</v>
      </c>
      <c r="M23" s="54">
        <v>0.1</v>
      </c>
      <c r="N23" s="54">
        <v>0.9</v>
      </c>
      <c r="O23" s="54">
        <v>2.8</v>
      </c>
      <c r="P23" s="54">
        <v>1314.3</v>
      </c>
      <c r="Q23" s="54">
        <v>11</v>
      </c>
      <c r="R23" s="54">
        <v>1153.5</v>
      </c>
      <c r="S23" s="255">
        <v>2966.1</v>
      </c>
      <c r="T23" s="254" t="s">
        <v>743</v>
      </c>
      <c r="U23" s="254">
        <v>3505</v>
      </c>
      <c r="V23" s="254">
        <v>963</v>
      </c>
      <c r="W23" s="254">
        <v>63</v>
      </c>
      <c r="X23" s="254">
        <v>0</v>
      </c>
      <c r="Y23" s="254">
        <v>0</v>
      </c>
    </row>
    <row r="24" spans="1:36" s="48" customFormat="1" x14ac:dyDescent="0.35">
      <c r="A24" s="52">
        <v>10409</v>
      </c>
      <c r="B24" s="253">
        <v>44331</v>
      </c>
      <c r="C24" s="254" t="s">
        <v>186</v>
      </c>
      <c r="D24" s="52" t="s">
        <v>720</v>
      </c>
      <c r="E24" s="54">
        <v>6.1</v>
      </c>
      <c r="F24" s="53">
        <v>0</v>
      </c>
      <c r="G24" s="54">
        <v>3.8</v>
      </c>
      <c r="H24" s="54">
        <v>1.9</v>
      </c>
      <c r="I24" s="54">
        <v>0.9</v>
      </c>
      <c r="J24" s="54">
        <v>0.3</v>
      </c>
      <c r="K24" s="54">
        <v>0.1</v>
      </c>
      <c r="L24" s="54">
        <v>0</v>
      </c>
      <c r="M24" s="54">
        <v>0.1</v>
      </c>
      <c r="N24" s="54">
        <v>0.9</v>
      </c>
      <c r="O24" s="54">
        <v>2.8</v>
      </c>
      <c r="P24" s="54">
        <v>1314.3</v>
      </c>
      <c r="Q24" s="54">
        <v>11</v>
      </c>
      <c r="R24" s="54">
        <v>1153.5</v>
      </c>
      <c r="S24" s="255">
        <v>2966.1</v>
      </c>
      <c r="T24" s="254" t="s">
        <v>743</v>
      </c>
      <c r="U24" s="254">
        <v>3505</v>
      </c>
      <c r="V24" s="254">
        <v>963</v>
      </c>
      <c r="W24" s="254">
        <v>63</v>
      </c>
      <c r="X24" s="254">
        <v>0</v>
      </c>
      <c r="Y24" s="254">
        <v>0</v>
      </c>
    </row>
    <row r="25" spans="1:36" s="48" customFormat="1" x14ac:dyDescent="0.35">
      <c r="A25" s="52">
        <v>10410</v>
      </c>
      <c r="B25" s="253">
        <v>44331</v>
      </c>
      <c r="C25" s="254" t="s">
        <v>187</v>
      </c>
      <c r="D25" s="52" t="s">
        <v>720</v>
      </c>
      <c r="E25" s="54">
        <v>6</v>
      </c>
      <c r="F25" s="53">
        <v>0</v>
      </c>
      <c r="G25" s="55">
        <v>3.9</v>
      </c>
      <c r="H25" s="55">
        <v>1.9</v>
      </c>
      <c r="I25" s="55">
        <v>1.1000000000000001</v>
      </c>
      <c r="J25" s="55">
        <v>0.1</v>
      </c>
      <c r="K25" s="55">
        <v>0</v>
      </c>
      <c r="L25" s="55">
        <v>0</v>
      </c>
      <c r="M25" s="55">
        <v>0.2</v>
      </c>
      <c r="N25" s="55">
        <v>0.5</v>
      </c>
      <c r="O25" s="55">
        <v>3.1</v>
      </c>
      <c r="P25" s="55">
        <v>1337</v>
      </c>
      <c r="Q25" s="55">
        <v>11.3</v>
      </c>
      <c r="R25" s="55">
        <v>1180.8</v>
      </c>
      <c r="S25" s="55">
        <v>3050.9</v>
      </c>
      <c r="T25" s="254" t="s">
        <v>744</v>
      </c>
      <c r="U25" s="254">
        <v>1458</v>
      </c>
      <c r="V25" s="254">
        <v>488</v>
      </c>
      <c r="W25" s="254">
        <v>37</v>
      </c>
      <c r="X25" s="254">
        <v>0</v>
      </c>
      <c r="Y25" s="254">
        <v>0</v>
      </c>
    </row>
    <row r="26" spans="1:36" s="48" customFormat="1" x14ac:dyDescent="0.35">
      <c r="A26" s="52">
        <v>10410</v>
      </c>
      <c r="B26" s="253">
        <v>44331</v>
      </c>
      <c r="C26" s="254" t="s">
        <v>187</v>
      </c>
      <c r="D26" s="52" t="s">
        <v>720</v>
      </c>
      <c r="E26" s="54">
        <v>6</v>
      </c>
      <c r="F26" s="53">
        <v>0</v>
      </c>
      <c r="G26" s="55">
        <v>3.9</v>
      </c>
      <c r="H26" s="55">
        <v>1.9</v>
      </c>
      <c r="I26" s="55">
        <v>1.1000000000000001</v>
      </c>
      <c r="J26" s="55">
        <v>0.1</v>
      </c>
      <c r="K26" s="55">
        <v>0</v>
      </c>
      <c r="L26" s="55">
        <v>0</v>
      </c>
      <c r="M26" s="55">
        <v>0.2</v>
      </c>
      <c r="N26" s="55">
        <v>0.5</v>
      </c>
      <c r="O26" s="55">
        <v>3.1</v>
      </c>
      <c r="P26" s="55">
        <v>1337</v>
      </c>
      <c r="Q26" s="55">
        <v>11.3</v>
      </c>
      <c r="R26" s="55">
        <v>1180.8</v>
      </c>
      <c r="S26" s="55">
        <v>3050.9</v>
      </c>
      <c r="T26" s="254" t="s">
        <v>744</v>
      </c>
      <c r="U26" s="254">
        <v>1458</v>
      </c>
      <c r="V26" s="254">
        <v>488</v>
      </c>
      <c r="W26" s="254">
        <v>37</v>
      </c>
      <c r="X26" s="254">
        <v>0</v>
      </c>
      <c r="Y26" s="254">
        <v>0</v>
      </c>
    </row>
    <row r="27" spans="1:36" s="48" customFormat="1" x14ac:dyDescent="0.35">
      <c r="A27" s="52">
        <v>10411</v>
      </c>
      <c r="B27" s="253">
        <v>44331</v>
      </c>
      <c r="C27" s="254" t="s">
        <v>188</v>
      </c>
      <c r="D27" s="52" t="s">
        <v>720</v>
      </c>
      <c r="E27" s="54">
        <v>6.1</v>
      </c>
      <c r="F27" s="53">
        <v>0</v>
      </c>
      <c r="G27" s="54">
        <v>3.9</v>
      </c>
      <c r="H27" s="54">
        <v>1.8</v>
      </c>
      <c r="I27" s="54">
        <v>1</v>
      </c>
      <c r="J27" s="54">
        <v>0</v>
      </c>
      <c r="K27" s="54">
        <v>0</v>
      </c>
      <c r="L27" s="54">
        <v>0</v>
      </c>
      <c r="M27" s="54">
        <v>0.2</v>
      </c>
      <c r="N27" s="54">
        <v>0.2</v>
      </c>
      <c r="O27" s="54">
        <v>2.8</v>
      </c>
      <c r="P27" s="54">
        <v>1341.4</v>
      </c>
      <c r="Q27" s="54">
        <v>11.3</v>
      </c>
      <c r="R27" s="54">
        <v>1162.8</v>
      </c>
      <c r="S27" s="255">
        <v>3007.4</v>
      </c>
      <c r="T27" s="254" t="s">
        <v>730</v>
      </c>
      <c r="U27" s="254">
        <v>2596</v>
      </c>
      <c r="V27" s="254">
        <v>924</v>
      </c>
      <c r="W27" s="254">
        <v>23</v>
      </c>
      <c r="X27" s="254">
        <v>7</v>
      </c>
      <c r="Y27" s="254">
        <v>0</v>
      </c>
    </row>
    <row r="28" spans="1:36" s="48" customFormat="1" x14ac:dyDescent="0.35">
      <c r="A28" s="52">
        <v>10411</v>
      </c>
      <c r="B28" s="253">
        <v>44331</v>
      </c>
      <c r="C28" s="254" t="s">
        <v>188</v>
      </c>
      <c r="D28" s="52" t="s">
        <v>720</v>
      </c>
      <c r="E28" s="54">
        <v>6.1</v>
      </c>
      <c r="F28" s="53">
        <v>0</v>
      </c>
      <c r="G28" s="54">
        <v>3.9</v>
      </c>
      <c r="H28" s="54">
        <v>1.8</v>
      </c>
      <c r="I28" s="54">
        <v>1</v>
      </c>
      <c r="J28" s="54">
        <v>0</v>
      </c>
      <c r="K28" s="54">
        <v>0</v>
      </c>
      <c r="L28" s="54">
        <v>0</v>
      </c>
      <c r="M28" s="54">
        <v>0.2</v>
      </c>
      <c r="N28" s="54">
        <v>0.2</v>
      </c>
      <c r="O28" s="54">
        <v>2.8</v>
      </c>
      <c r="P28" s="54">
        <v>1341.4</v>
      </c>
      <c r="Q28" s="54">
        <v>11.3</v>
      </c>
      <c r="R28" s="54">
        <v>1162.8</v>
      </c>
      <c r="S28" s="255">
        <v>3007.4</v>
      </c>
      <c r="T28" s="254" t="s">
        <v>730</v>
      </c>
      <c r="U28" s="254">
        <v>2596</v>
      </c>
      <c r="V28" s="254">
        <v>924</v>
      </c>
      <c r="W28" s="254">
        <v>23</v>
      </c>
      <c r="X28" s="254">
        <v>7</v>
      </c>
      <c r="Y28" s="254">
        <v>0</v>
      </c>
    </row>
    <row r="29" spans="1:36" s="48" customFormat="1" x14ac:dyDescent="0.35">
      <c r="A29" s="52">
        <v>10412</v>
      </c>
      <c r="B29" s="253">
        <v>44331</v>
      </c>
      <c r="C29" s="254" t="s">
        <v>189</v>
      </c>
      <c r="D29" s="52" t="s">
        <v>720</v>
      </c>
      <c r="E29" s="54">
        <v>6</v>
      </c>
      <c r="F29" s="53">
        <v>0</v>
      </c>
      <c r="G29" s="55">
        <v>3.8</v>
      </c>
      <c r="H29" s="55">
        <v>2</v>
      </c>
      <c r="I29" s="55">
        <v>1.1000000000000001</v>
      </c>
      <c r="J29" s="55">
        <v>0</v>
      </c>
      <c r="K29" s="55">
        <v>0</v>
      </c>
      <c r="L29" s="55">
        <v>0</v>
      </c>
      <c r="M29" s="55">
        <v>0</v>
      </c>
      <c r="N29" s="55">
        <v>0</v>
      </c>
      <c r="O29" s="55">
        <v>3.1</v>
      </c>
      <c r="P29" s="55">
        <v>1342.8</v>
      </c>
      <c r="Q29" s="55">
        <v>12.3</v>
      </c>
      <c r="R29" s="55">
        <v>1184.2</v>
      </c>
      <c r="S29" s="55">
        <v>3080.6</v>
      </c>
      <c r="T29" s="254" t="s">
        <v>736</v>
      </c>
      <c r="U29" s="254">
        <v>3847</v>
      </c>
      <c r="V29" s="254">
        <v>1338</v>
      </c>
      <c r="W29" s="254">
        <v>27</v>
      </c>
      <c r="X29" s="254">
        <v>0</v>
      </c>
      <c r="Y29" s="254">
        <v>0</v>
      </c>
    </row>
    <row r="30" spans="1:36" x14ac:dyDescent="0.35">
      <c r="A30" s="52">
        <v>10412</v>
      </c>
      <c r="B30" s="253">
        <v>44331</v>
      </c>
      <c r="C30" s="254" t="s">
        <v>189</v>
      </c>
      <c r="D30" s="52" t="s">
        <v>720</v>
      </c>
      <c r="E30" s="54">
        <v>6</v>
      </c>
      <c r="F30" s="53">
        <v>0</v>
      </c>
      <c r="G30" s="55">
        <v>3.8</v>
      </c>
      <c r="H30" s="55">
        <v>2</v>
      </c>
      <c r="I30" s="55">
        <v>1.1000000000000001</v>
      </c>
      <c r="J30" s="55">
        <v>0</v>
      </c>
      <c r="K30" s="55">
        <v>0</v>
      </c>
      <c r="L30" s="55">
        <v>0</v>
      </c>
      <c r="M30" s="55">
        <v>0</v>
      </c>
      <c r="N30" s="55">
        <v>0</v>
      </c>
      <c r="O30" s="55">
        <v>3.1</v>
      </c>
      <c r="P30" s="55">
        <v>1342.8</v>
      </c>
      <c r="Q30" s="55">
        <v>12.3</v>
      </c>
      <c r="R30" s="55">
        <v>1184.2</v>
      </c>
      <c r="S30" s="55">
        <v>3080.6</v>
      </c>
      <c r="T30" s="254" t="s">
        <v>736</v>
      </c>
      <c r="U30" s="254">
        <v>3847</v>
      </c>
      <c r="V30" s="254">
        <v>1338</v>
      </c>
      <c r="W30" s="254">
        <v>27</v>
      </c>
      <c r="X30" s="254">
        <v>0</v>
      </c>
      <c r="Y30" s="254">
        <v>0</v>
      </c>
    </row>
    <row r="31" spans="1:36" x14ac:dyDescent="0.35">
      <c r="A31" s="52">
        <v>10413</v>
      </c>
      <c r="B31" s="253">
        <v>44331</v>
      </c>
      <c r="C31" s="254" t="s">
        <v>190</v>
      </c>
      <c r="D31" s="52" t="s">
        <v>720</v>
      </c>
      <c r="E31" s="54">
        <v>6.1</v>
      </c>
      <c r="F31" s="53">
        <v>0</v>
      </c>
      <c r="G31" s="54">
        <v>3.8</v>
      </c>
      <c r="H31" s="54">
        <v>2</v>
      </c>
      <c r="I31" s="54">
        <v>1</v>
      </c>
      <c r="J31" s="54">
        <v>0</v>
      </c>
      <c r="K31" s="54">
        <v>0</v>
      </c>
      <c r="L31" s="54">
        <v>0</v>
      </c>
      <c r="M31" s="54">
        <v>0</v>
      </c>
      <c r="N31" s="54">
        <v>0.3</v>
      </c>
      <c r="O31" s="54">
        <v>3.1</v>
      </c>
      <c r="P31" s="54">
        <v>1340.4</v>
      </c>
      <c r="Q31" s="54">
        <v>12.6</v>
      </c>
      <c r="R31" s="54">
        <v>1178</v>
      </c>
      <c r="S31" s="255">
        <v>3060.2</v>
      </c>
      <c r="T31" s="254" t="s">
        <v>745</v>
      </c>
      <c r="U31" s="254">
        <v>5770</v>
      </c>
      <c r="V31" s="254">
        <v>1755</v>
      </c>
      <c r="W31" s="254">
        <v>37</v>
      </c>
      <c r="X31" s="254">
        <v>0</v>
      </c>
      <c r="Y31" s="254">
        <v>0</v>
      </c>
    </row>
    <row r="32" spans="1:36" x14ac:dyDescent="0.35">
      <c r="A32" s="52">
        <v>10413</v>
      </c>
      <c r="B32" s="253">
        <v>44331</v>
      </c>
      <c r="C32" s="254" t="s">
        <v>190</v>
      </c>
      <c r="D32" s="52" t="s">
        <v>720</v>
      </c>
      <c r="E32" s="54">
        <v>6.1</v>
      </c>
      <c r="F32" s="53">
        <v>0</v>
      </c>
      <c r="G32" s="54">
        <v>3.8</v>
      </c>
      <c r="H32" s="54">
        <v>2</v>
      </c>
      <c r="I32" s="54">
        <v>1</v>
      </c>
      <c r="J32" s="54">
        <v>0</v>
      </c>
      <c r="K32" s="54">
        <v>0</v>
      </c>
      <c r="L32" s="54">
        <v>0</v>
      </c>
      <c r="M32" s="54">
        <v>0</v>
      </c>
      <c r="N32" s="54">
        <v>0.3</v>
      </c>
      <c r="O32" s="54">
        <v>3.1</v>
      </c>
      <c r="P32" s="54">
        <v>1340.4</v>
      </c>
      <c r="Q32" s="54">
        <v>12.6</v>
      </c>
      <c r="R32" s="54">
        <v>1178</v>
      </c>
      <c r="S32" s="255">
        <v>3060.2</v>
      </c>
      <c r="T32" s="254" t="s">
        <v>745</v>
      </c>
      <c r="U32" s="254">
        <v>5770</v>
      </c>
      <c r="V32" s="254">
        <v>1755</v>
      </c>
      <c r="W32" s="254">
        <v>37</v>
      </c>
      <c r="X32" s="254">
        <v>0</v>
      </c>
      <c r="Y32" s="254">
        <v>0</v>
      </c>
    </row>
    <row r="33" spans="1:25" x14ac:dyDescent="0.35">
      <c r="A33" s="52">
        <v>10879</v>
      </c>
      <c r="B33" s="253">
        <v>44340</v>
      </c>
      <c r="C33" s="254" t="s">
        <v>162</v>
      </c>
      <c r="D33" s="52" t="s">
        <v>723</v>
      </c>
      <c r="E33" s="54">
        <v>15.5</v>
      </c>
      <c r="F33" s="53">
        <v>0</v>
      </c>
      <c r="G33" s="55">
        <v>9.9</v>
      </c>
      <c r="H33" s="55">
        <v>1.5</v>
      </c>
      <c r="I33" s="55">
        <v>1.3</v>
      </c>
      <c r="J33" s="55">
        <v>0</v>
      </c>
      <c r="K33" s="55">
        <v>0</v>
      </c>
      <c r="L33" s="55">
        <v>0</v>
      </c>
      <c r="M33" s="55">
        <v>0</v>
      </c>
      <c r="N33" s="55">
        <v>2.2000000000000002</v>
      </c>
      <c r="O33" s="55">
        <v>1.5</v>
      </c>
      <c r="P33" s="55">
        <v>1172.8</v>
      </c>
      <c r="Q33" s="55">
        <v>509.1</v>
      </c>
      <c r="R33" s="55">
        <v>1279.5999999999999</v>
      </c>
      <c r="S33" s="55">
        <v>2489.1</v>
      </c>
      <c r="T33" s="254" t="s">
        <v>716</v>
      </c>
      <c r="U33" s="254">
        <v>82534</v>
      </c>
      <c r="V33" s="254">
        <v>24292</v>
      </c>
      <c r="W33" s="254">
        <v>93</v>
      </c>
      <c r="X33" s="254">
        <v>0</v>
      </c>
      <c r="Y33" s="254">
        <v>0</v>
      </c>
    </row>
    <row r="34" spans="1:25" x14ac:dyDescent="0.35">
      <c r="A34" s="52">
        <v>10880</v>
      </c>
      <c r="B34" s="253">
        <v>44340</v>
      </c>
      <c r="C34" s="254" t="s">
        <v>163</v>
      </c>
      <c r="D34" s="52" t="s">
        <v>746</v>
      </c>
      <c r="E34" s="54">
        <v>6</v>
      </c>
      <c r="F34" s="53">
        <v>0</v>
      </c>
      <c r="G34" s="54">
        <v>4.9000000000000004</v>
      </c>
      <c r="H34" s="54">
        <v>2</v>
      </c>
      <c r="I34" s="54">
        <v>0.8</v>
      </c>
      <c r="J34" s="54">
        <v>0</v>
      </c>
      <c r="K34" s="54">
        <v>0</v>
      </c>
      <c r="L34" s="54">
        <v>0</v>
      </c>
      <c r="M34" s="54">
        <v>0</v>
      </c>
      <c r="N34" s="54">
        <v>0.3</v>
      </c>
      <c r="O34" s="54">
        <v>2.2999999999999998</v>
      </c>
      <c r="P34" s="54">
        <v>1116.5999999999999</v>
      </c>
      <c r="Q34" s="54">
        <v>13.1</v>
      </c>
      <c r="R34" s="54">
        <v>1285.4000000000001</v>
      </c>
      <c r="S34" s="255">
        <v>3292.7</v>
      </c>
      <c r="T34" s="254" t="s">
        <v>747</v>
      </c>
      <c r="U34" s="254">
        <v>5614</v>
      </c>
      <c r="V34" s="254">
        <v>1967</v>
      </c>
      <c r="W34" s="254">
        <v>73</v>
      </c>
      <c r="X34" s="254">
        <v>0</v>
      </c>
      <c r="Y34" s="254">
        <v>0</v>
      </c>
    </row>
    <row r="35" spans="1:25" x14ac:dyDescent="0.35">
      <c r="A35" s="52">
        <v>10881</v>
      </c>
      <c r="B35" s="253">
        <v>44340</v>
      </c>
      <c r="C35" s="254" t="s">
        <v>164</v>
      </c>
      <c r="D35" s="52" t="s">
        <v>746</v>
      </c>
      <c r="E35" s="54">
        <v>6</v>
      </c>
      <c r="F35" s="53">
        <v>0</v>
      </c>
      <c r="G35" s="55">
        <v>4.8</v>
      </c>
      <c r="H35" s="55">
        <v>2</v>
      </c>
      <c r="I35" s="55">
        <v>0.8</v>
      </c>
      <c r="J35" s="55">
        <v>0</v>
      </c>
      <c r="K35" s="55">
        <v>0</v>
      </c>
      <c r="L35" s="55">
        <v>0</v>
      </c>
      <c r="M35" s="55">
        <v>0</v>
      </c>
      <c r="N35" s="55">
        <v>0</v>
      </c>
      <c r="O35" s="55">
        <v>2.2000000000000002</v>
      </c>
      <c r="P35" s="55">
        <v>1103.3</v>
      </c>
      <c r="Q35" s="55">
        <v>15.4</v>
      </c>
      <c r="R35" s="55">
        <v>1274.3</v>
      </c>
      <c r="S35" s="55">
        <v>3276.6</v>
      </c>
      <c r="T35" s="254" t="s">
        <v>730</v>
      </c>
      <c r="U35" s="254">
        <v>3955</v>
      </c>
      <c r="V35" s="254">
        <v>878</v>
      </c>
      <c r="W35" s="254">
        <v>20</v>
      </c>
      <c r="X35" s="254">
        <v>0</v>
      </c>
      <c r="Y35" s="254">
        <v>0</v>
      </c>
    </row>
    <row r="36" spans="1:25" x14ac:dyDescent="0.35">
      <c r="A36" s="52">
        <v>10882</v>
      </c>
      <c r="B36" s="253">
        <v>44340</v>
      </c>
      <c r="C36" s="254" t="s">
        <v>191</v>
      </c>
      <c r="D36" s="52" t="s">
        <v>723</v>
      </c>
      <c r="E36" s="54">
        <v>15.5</v>
      </c>
      <c r="F36" s="53">
        <v>0</v>
      </c>
      <c r="G36" s="54">
        <v>10.6</v>
      </c>
      <c r="H36" s="54">
        <v>1.6</v>
      </c>
      <c r="I36" s="54">
        <v>1.3</v>
      </c>
      <c r="J36" s="54">
        <v>0</v>
      </c>
      <c r="K36" s="54">
        <v>0</v>
      </c>
      <c r="L36" s="54">
        <v>0</v>
      </c>
      <c r="M36" s="54">
        <v>0</v>
      </c>
      <c r="N36" s="54">
        <v>1.6</v>
      </c>
      <c r="O36" s="54">
        <v>1.8</v>
      </c>
      <c r="P36" s="54">
        <v>1197.3</v>
      </c>
      <c r="Q36" s="54">
        <v>500.6</v>
      </c>
      <c r="R36" s="54">
        <v>1268.5999999999999</v>
      </c>
      <c r="S36" s="255">
        <v>2452</v>
      </c>
      <c r="T36" s="254" t="s">
        <v>716</v>
      </c>
      <c r="U36" s="254">
        <v>90474</v>
      </c>
      <c r="V36" s="254">
        <v>25374</v>
      </c>
      <c r="W36" s="254">
        <v>143</v>
      </c>
      <c r="X36" s="254">
        <v>0</v>
      </c>
      <c r="Y36" s="254">
        <v>0</v>
      </c>
    </row>
    <row r="37" spans="1:25" x14ac:dyDescent="0.35">
      <c r="A37" s="52">
        <v>10883</v>
      </c>
      <c r="B37" s="253">
        <v>44340</v>
      </c>
      <c r="C37" s="254" t="s">
        <v>172</v>
      </c>
      <c r="D37" s="52" t="s">
        <v>746</v>
      </c>
      <c r="E37" s="54">
        <v>6</v>
      </c>
      <c r="F37" s="53">
        <v>0</v>
      </c>
      <c r="G37" s="55">
        <v>4.9000000000000004</v>
      </c>
      <c r="H37" s="55">
        <v>2.1</v>
      </c>
      <c r="I37" s="55">
        <v>0.9</v>
      </c>
      <c r="J37" s="55">
        <v>0</v>
      </c>
      <c r="K37" s="55">
        <v>0</v>
      </c>
      <c r="L37" s="55">
        <v>0</v>
      </c>
      <c r="M37" s="55">
        <v>0</v>
      </c>
      <c r="N37" s="55">
        <v>0.1</v>
      </c>
      <c r="O37" s="55">
        <v>2.5</v>
      </c>
      <c r="P37" s="55">
        <v>1129.5</v>
      </c>
      <c r="Q37" s="55">
        <v>12.7</v>
      </c>
      <c r="R37" s="55">
        <v>1290.0999999999999</v>
      </c>
      <c r="S37" s="55">
        <v>3346</v>
      </c>
      <c r="T37" s="254" t="s">
        <v>721</v>
      </c>
      <c r="U37" s="254">
        <v>3284</v>
      </c>
      <c r="V37" s="254">
        <v>976</v>
      </c>
      <c r="W37" s="254">
        <v>10</v>
      </c>
      <c r="X37" s="254">
        <v>0</v>
      </c>
      <c r="Y37" s="254">
        <v>0</v>
      </c>
    </row>
    <row r="38" spans="1:25" x14ac:dyDescent="0.35">
      <c r="A38" s="52">
        <v>11400</v>
      </c>
      <c r="B38" s="253">
        <v>44346</v>
      </c>
      <c r="C38" s="254" t="s">
        <v>181</v>
      </c>
      <c r="D38" s="52" t="s">
        <v>723</v>
      </c>
      <c r="E38" s="54">
        <v>15.5</v>
      </c>
      <c r="F38" s="53">
        <v>0</v>
      </c>
      <c r="G38" s="54">
        <v>10</v>
      </c>
      <c r="H38" s="54">
        <v>1.5</v>
      </c>
      <c r="I38" s="54">
        <v>1.3</v>
      </c>
      <c r="J38" s="54">
        <v>0</v>
      </c>
      <c r="K38" s="54">
        <v>0</v>
      </c>
      <c r="L38" s="54">
        <v>0</v>
      </c>
      <c r="M38" s="54">
        <v>0</v>
      </c>
      <c r="N38" s="54">
        <v>2</v>
      </c>
      <c r="O38" s="54">
        <v>1.6</v>
      </c>
      <c r="P38" s="54">
        <v>1421</v>
      </c>
      <c r="Q38" s="54">
        <v>472.6</v>
      </c>
      <c r="R38" s="54">
        <v>1223.7</v>
      </c>
      <c r="S38" s="255">
        <v>2283.4</v>
      </c>
      <c r="T38" s="254" t="s">
        <v>713</v>
      </c>
      <c r="U38" s="254">
        <v>75104</v>
      </c>
      <c r="V38" s="254">
        <v>26162</v>
      </c>
      <c r="W38" s="254">
        <v>254</v>
      </c>
      <c r="X38" s="254">
        <v>0</v>
      </c>
      <c r="Y38" s="254">
        <v>0</v>
      </c>
    </row>
    <row r="39" spans="1:25" x14ac:dyDescent="0.35">
      <c r="A39" s="52">
        <v>11401</v>
      </c>
      <c r="B39" s="253">
        <v>44346</v>
      </c>
      <c r="C39" s="254" t="s">
        <v>182</v>
      </c>
      <c r="D39" s="52" t="s">
        <v>746</v>
      </c>
      <c r="E39" s="54">
        <v>6</v>
      </c>
      <c r="F39" s="53">
        <v>0</v>
      </c>
      <c r="G39" s="55">
        <v>6.2</v>
      </c>
      <c r="H39" s="55">
        <v>1.8</v>
      </c>
      <c r="I39" s="55">
        <v>1.1000000000000001</v>
      </c>
      <c r="J39" s="55">
        <v>0</v>
      </c>
      <c r="K39" s="55">
        <v>0</v>
      </c>
      <c r="L39" s="55">
        <v>0</v>
      </c>
      <c r="M39" s="55">
        <v>0</v>
      </c>
      <c r="N39" s="55">
        <v>0.4</v>
      </c>
      <c r="O39" s="55">
        <v>2.5</v>
      </c>
      <c r="P39" s="55">
        <v>1343.1</v>
      </c>
      <c r="Q39" s="55">
        <v>11.7</v>
      </c>
      <c r="R39" s="55">
        <v>1239.0999999999999</v>
      </c>
      <c r="S39" s="55">
        <v>3123.4</v>
      </c>
      <c r="T39" s="254" t="s">
        <v>743</v>
      </c>
      <c r="U39" s="254">
        <v>2809</v>
      </c>
      <c r="V39" s="254">
        <v>1103</v>
      </c>
      <c r="W39" s="254">
        <v>40</v>
      </c>
      <c r="X39" s="254">
        <v>0</v>
      </c>
      <c r="Y39" s="254">
        <v>0</v>
      </c>
    </row>
    <row r="40" spans="1:25" x14ac:dyDescent="0.35">
      <c r="A40" s="52">
        <v>11402</v>
      </c>
      <c r="B40" s="253">
        <v>44346</v>
      </c>
      <c r="C40" s="254" t="s">
        <v>183</v>
      </c>
      <c r="D40" s="52" t="s">
        <v>723</v>
      </c>
      <c r="E40" s="54">
        <v>15.3</v>
      </c>
      <c r="F40" s="53">
        <v>0</v>
      </c>
      <c r="G40" s="54">
        <v>10.199999999999999</v>
      </c>
      <c r="H40" s="54">
        <v>1.4</v>
      </c>
      <c r="I40" s="54">
        <v>1.5</v>
      </c>
      <c r="J40" s="54">
        <v>0</v>
      </c>
      <c r="K40" s="54">
        <v>0</v>
      </c>
      <c r="L40" s="54">
        <v>0</v>
      </c>
      <c r="M40" s="54">
        <v>0</v>
      </c>
      <c r="N40" s="54">
        <v>1.9</v>
      </c>
      <c r="O40" s="54">
        <v>1.4</v>
      </c>
      <c r="P40" s="54">
        <v>1445</v>
      </c>
      <c r="Q40" s="54">
        <v>480.4</v>
      </c>
      <c r="R40" s="54">
        <v>1241.8</v>
      </c>
      <c r="S40" s="255">
        <v>2321.1999999999998</v>
      </c>
      <c r="T40" s="254" t="s">
        <v>718</v>
      </c>
      <c r="U40" s="254">
        <v>77192</v>
      </c>
      <c r="V40" s="254">
        <v>23366</v>
      </c>
      <c r="W40" s="254">
        <v>153</v>
      </c>
      <c r="X40" s="254">
        <v>0</v>
      </c>
      <c r="Y40" s="254">
        <v>0</v>
      </c>
    </row>
    <row r="41" spans="1:25" x14ac:dyDescent="0.35">
      <c r="A41" s="52">
        <v>11403</v>
      </c>
      <c r="B41" s="253">
        <v>44347</v>
      </c>
      <c r="C41" s="254" t="s">
        <v>191</v>
      </c>
      <c r="D41" s="52" t="s">
        <v>723</v>
      </c>
      <c r="E41" s="54">
        <v>15.4</v>
      </c>
      <c r="F41" s="53">
        <v>0</v>
      </c>
      <c r="G41" s="55">
        <v>10.199999999999999</v>
      </c>
      <c r="H41" s="55">
        <v>1.5</v>
      </c>
      <c r="I41" s="55">
        <v>1.4</v>
      </c>
      <c r="J41" s="55">
        <v>0</v>
      </c>
      <c r="K41" s="55">
        <v>0</v>
      </c>
      <c r="L41" s="55">
        <v>0</v>
      </c>
      <c r="M41" s="55">
        <v>0</v>
      </c>
      <c r="N41" s="55">
        <v>1.6</v>
      </c>
      <c r="O41" s="55">
        <v>1.3</v>
      </c>
      <c r="P41" s="55">
        <v>1423.1</v>
      </c>
      <c r="Q41" s="55">
        <v>485.2</v>
      </c>
      <c r="R41" s="55">
        <v>1250.5</v>
      </c>
      <c r="S41" s="55">
        <v>2349.1</v>
      </c>
      <c r="T41" s="254" t="s">
        <v>748</v>
      </c>
      <c r="U41" s="254">
        <v>91696</v>
      </c>
      <c r="V41" s="254">
        <v>31940</v>
      </c>
      <c r="W41" s="254">
        <v>204</v>
      </c>
      <c r="X41" s="254">
        <v>0</v>
      </c>
      <c r="Y41" s="254">
        <v>0</v>
      </c>
    </row>
    <row r="42" spans="1:25" x14ac:dyDescent="0.35">
      <c r="A42" s="52">
        <v>11404</v>
      </c>
      <c r="B42" s="253">
        <v>44347</v>
      </c>
      <c r="C42" s="254" t="s">
        <v>172</v>
      </c>
      <c r="D42" s="52" t="s">
        <v>746</v>
      </c>
      <c r="E42" s="54">
        <v>6</v>
      </c>
      <c r="F42" s="53">
        <v>0</v>
      </c>
      <c r="G42" s="54">
        <v>5.7</v>
      </c>
      <c r="H42" s="54">
        <v>1.9</v>
      </c>
      <c r="I42" s="54">
        <v>1.1000000000000001</v>
      </c>
      <c r="J42" s="54">
        <v>0</v>
      </c>
      <c r="K42" s="54">
        <v>0</v>
      </c>
      <c r="L42" s="54">
        <v>0</v>
      </c>
      <c r="M42" s="54">
        <v>0</v>
      </c>
      <c r="N42" s="54">
        <v>0</v>
      </c>
      <c r="O42" s="54">
        <v>1.8</v>
      </c>
      <c r="P42" s="54">
        <v>1313.9</v>
      </c>
      <c r="Q42" s="54">
        <v>11.8</v>
      </c>
      <c r="R42" s="54">
        <v>1218.5999999999999</v>
      </c>
      <c r="S42" s="255">
        <v>3067.5</v>
      </c>
      <c r="T42" s="254" t="s">
        <v>730</v>
      </c>
      <c r="U42" s="254">
        <v>3734</v>
      </c>
      <c r="V42" s="254">
        <v>1158</v>
      </c>
      <c r="W42" s="254">
        <v>20</v>
      </c>
      <c r="X42" s="254">
        <v>0</v>
      </c>
      <c r="Y42" s="254">
        <v>0</v>
      </c>
    </row>
    <row r="43" spans="1:25" x14ac:dyDescent="0.35">
      <c r="A43" s="52">
        <v>11405</v>
      </c>
      <c r="B43" s="253">
        <v>44347</v>
      </c>
      <c r="C43" s="254" t="s">
        <v>171</v>
      </c>
      <c r="D43" s="52" t="s">
        <v>723</v>
      </c>
      <c r="E43" s="54">
        <v>15.5</v>
      </c>
      <c r="F43" s="53">
        <v>0</v>
      </c>
      <c r="G43" s="55">
        <v>9.8000000000000007</v>
      </c>
      <c r="H43" s="55">
        <v>1.5</v>
      </c>
      <c r="I43" s="55">
        <v>1.4</v>
      </c>
      <c r="J43" s="55">
        <v>0</v>
      </c>
      <c r="K43" s="55">
        <v>0</v>
      </c>
      <c r="L43" s="55">
        <v>0</v>
      </c>
      <c r="M43" s="55">
        <v>0</v>
      </c>
      <c r="N43" s="55">
        <v>1.3</v>
      </c>
      <c r="O43" s="55">
        <v>1.1000000000000001</v>
      </c>
      <c r="P43" s="55">
        <v>1441.6</v>
      </c>
      <c r="Q43" s="55">
        <v>494.6</v>
      </c>
      <c r="R43" s="55">
        <v>1280.3</v>
      </c>
      <c r="S43" s="55">
        <v>2400.1</v>
      </c>
      <c r="T43" s="254" t="s">
        <v>716</v>
      </c>
      <c r="U43" s="254">
        <v>84742</v>
      </c>
      <c r="V43" s="254">
        <v>24962</v>
      </c>
      <c r="W43" s="254">
        <v>137</v>
      </c>
      <c r="X43" s="254">
        <v>0</v>
      </c>
      <c r="Y43" s="254">
        <v>0</v>
      </c>
    </row>
    <row r="44" spans="1:25" x14ac:dyDescent="0.35">
      <c r="A44" s="52">
        <v>12038</v>
      </c>
      <c r="B44" s="253">
        <v>44353</v>
      </c>
      <c r="C44" s="254" t="s">
        <v>171</v>
      </c>
      <c r="D44" s="52" t="s">
        <v>723</v>
      </c>
      <c r="E44" s="54">
        <v>15.5</v>
      </c>
      <c r="F44" s="53">
        <v>0</v>
      </c>
      <c r="G44" s="55">
        <v>9.6</v>
      </c>
      <c r="H44" s="55">
        <v>1.4</v>
      </c>
      <c r="I44" s="55">
        <v>1.2</v>
      </c>
      <c r="J44" s="55">
        <v>0</v>
      </c>
      <c r="K44" s="55">
        <v>0</v>
      </c>
      <c r="L44" s="55">
        <v>0</v>
      </c>
      <c r="M44" s="55">
        <v>0</v>
      </c>
      <c r="N44" s="55">
        <v>2.6</v>
      </c>
      <c r="O44" s="55">
        <v>1.8</v>
      </c>
      <c r="P44" s="55">
        <v>1667.6</v>
      </c>
      <c r="Q44" s="55">
        <v>471.8</v>
      </c>
      <c r="R44" s="55">
        <v>1187.8</v>
      </c>
      <c r="S44" s="55">
        <v>2275.9</v>
      </c>
      <c r="T44" s="254" t="s">
        <v>751</v>
      </c>
      <c r="U44" s="254">
        <v>85143</v>
      </c>
      <c r="V44" s="254">
        <v>25062</v>
      </c>
      <c r="W44" s="254">
        <v>64</v>
      </c>
      <c r="X44" s="254">
        <v>0</v>
      </c>
      <c r="Y44" s="254">
        <v>0</v>
      </c>
    </row>
    <row r="45" spans="1:25" x14ac:dyDescent="0.35">
      <c r="A45" s="52">
        <v>12039</v>
      </c>
      <c r="B45" s="253">
        <v>44353</v>
      </c>
      <c r="C45" s="254" t="s">
        <v>192</v>
      </c>
      <c r="D45" s="52" t="s">
        <v>746</v>
      </c>
      <c r="E45" s="54">
        <v>6</v>
      </c>
      <c r="F45" s="53">
        <v>0</v>
      </c>
      <c r="G45" s="54">
        <v>4.5</v>
      </c>
      <c r="H45" s="54">
        <v>2</v>
      </c>
      <c r="I45" s="54">
        <v>0.8</v>
      </c>
      <c r="J45" s="54">
        <v>0</v>
      </c>
      <c r="K45" s="54">
        <v>0</v>
      </c>
      <c r="L45" s="54">
        <v>0</v>
      </c>
      <c r="M45" s="54">
        <v>0</v>
      </c>
      <c r="N45" s="54">
        <v>1.1000000000000001</v>
      </c>
      <c r="O45" s="54">
        <v>1.9</v>
      </c>
      <c r="P45" s="54">
        <v>1583.1</v>
      </c>
      <c r="Q45" s="54">
        <v>13</v>
      </c>
      <c r="R45" s="54">
        <v>1187.5</v>
      </c>
      <c r="S45" s="255">
        <v>3034.7</v>
      </c>
      <c r="T45" s="254" t="s">
        <v>721</v>
      </c>
      <c r="U45" s="254">
        <v>4347</v>
      </c>
      <c r="V45" s="254">
        <v>734</v>
      </c>
      <c r="W45" s="254">
        <v>10</v>
      </c>
      <c r="X45" s="254">
        <v>0</v>
      </c>
      <c r="Y45" s="254">
        <v>0</v>
      </c>
    </row>
    <row r="46" spans="1:25" x14ac:dyDescent="0.35">
      <c r="A46" s="52">
        <v>12040</v>
      </c>
      <c r="B46" s="253">
        <v>44353</v>
      </c>
      <c r="C46" s="254" t="s">
        <v>193</v>
      </c>
      <c r="D46" s="52" t="s">
        <v>749</v>
      </c>
      <c r="E46" s="54">
        <v>25.5</v>
      </c>
      <c r="F46" s="53">
        <v>0</v>
      </c>
      <c r="G46" s="55">
        <v>8.1999999999999993</v>
      </c>
      <c r="H46" s="55">
        <v>1.8</v>
      </c>
      <c r="I46" s="55">
        <v>0.9</v>
      </c>
      <c r="J46" s="55">
        <v>0</v>
      </c>
      <c r="K46" s="55">
        <v>0</v>
      </c>
      <c r="L46" s="55">
        <v>0</v>
      </c>
      <c r="M46" s="55">
        <v>0</v>
      </c>
      <c r="N46" s="55">
        <v>1.1000000000000001</v>
      </c>
      <c r="O46" s="55">
        <v>1.8</v>
      </c>
      <c r="P46" s="55">
        <v>1558.1</v>
      </c>
      <c r="Q46" s="55">
        <v>11.4</v>
      </c>
      <c r="R46" s="55">
        <v>1186.8</v>
      </c>
      <c r="S46" s="55">
        <v>3033.9</v>
      </c>
      <c r="T46" s="254" t="s">
        <v>750</v>
      </c>
      <c r="U46" s="254">
        <v>13701</v>
      </c>
      <c r="V46" s="254">
        <v>3010</v>
      </c>
      <c r="W46" s="254">
        <v>91</v>
      </c>
      <c r="X46" s="254">
        <v>0</v>
      </c>
      <c r="Y46" s="254">
        <v>0</v>
      </c>
    </row>
    <row r="47" spans="1:25" x14ac:dyDescent="0.35">
      <c r="A47" s="52">
        <v>12041</v>
      </c>
      <c r="B47" s="253">
        <v>44353</v>
      </c>
      <c r="C47" s="254" t="s">
        <v>162</v>
      </c>
      <c r="D47" s="52" t="s">
        <v>723</v>
      </c>
      <c r="E47" s="54">
        <v>15.2</v>
      </c>
      <c r="F47" s="53">
        <v>0</v>
      </c>
      <c r="G47" s="54">
        <v>9.1999999999999993</v>
      </c>
      <c r="H47" s="54">
        <v>1.3</v>
      </c>
      <c r="I47" s="54">
        <v>1.2</v>
      </c>
      <c r="J47" s="54">
        <v>0</v>
      </c>
      <c r="K47" s="54">
        <v>0</v>
      </c>
      <c r="L47" s="54">
        <v>0</v>
      </c>
      <c r="M47" s="54">
        <v>0</v>
      </c>
      <c r="N47" s="54">
        <v>2.7</v>
      </c>
      <c r="O47" s="54">
        <v>1.8</v>
      </c>
      <c r="P47" s="54">
        <v>1668.8</v>
      </c>
      <c r="Q47" s="54">
        <v>470</v>
      </c>
      <c r="R47" s="54">
        <v>1181.8</v>
      </c>
      <c r="S47" s="255">
        <v>2271.8000000000002</v>
      </c>
      <c r="T47" s="254" t="s">
        <v>713</v>
      </c>
      <c r="U47" s="254">
        <v>79417</v>
      </c>
      <c r="V47" s="254">
        <v>26461</v>
      </c>
      <c r="W47" s="254">
        <v>187</v>
      </c>
      <c r="X47" s="254">
        <v>0</v>
      </c>
      <c r="Y47" s="254">
        <v>0</v>
      </c>
    </row>
    <row r="48" spans="1:25" x14ac:dyDescent="0.35">
      <c r="A48" s="52">
        <v>12042</v>
      </c>
      <c r="B48" s="253">
        <v>44353</v>
      </c>
      <c r="C48" s="254" t="s">
        <v>163</v>
      </c>
      <c r="D48" s="52" t="s">
        <v>372</v>
      </c>
      <c r="E48" s="54">
        <v>78.900000000000006</v>
      </c>
      <c r="F48" s="53">
        <v>0</v>
      </c>
      <c r="G48" s="55">
        <v>19.100000000000001</v>
      </c>
      <c r="H48" s="55">
        <v>0</v>
      </c>
      <c r="I48" s="55">
        <v>0.6</v>
      </c>
      <c r="J48" s="55">
        <v>0</v>
      </c>
      <c r="K48" s="55">
        <v>0</v>
      </c>
      <c r="L48" s="55">
        <v>0</v>
      </c>
      <c r="M48" s="55">
        <v>0</v>
      </c>
      <c r="N48" s="55">
        <v>0.6</v>
      </c>
      <c r="O48" s="55">
        <v>0</v>
      </c>
      <c r="P48" s="55">
        <v>328.6</v>
      </c>
      <c r="Q48" s="55">
        <v>0.3</v>
      </c>
      <c r="R48" s="55">
        <v>2.2999999999999998</v>
      </c>
      <c r="S48" s="55">
        <v>0</v>
      </c>
      <c r="T48" s="254" t="s">
        <v>752</v>
      </c>
      <c r="U48" s="254">
        <v>9546</v>
      </c>
      <c r="V48" s="254">
        <v>2073</v>
      </c>
      <c r="W48" s="254">
        <v>17</v>
      </c>
      <c r="X48" s="254">
        <v>0</v>
      </c>
      <c r="Y48" s="254">
        <v>0</v>
      </c>
    </row>
    <row r="49" spans="1:25" x14ac:dyDescent="0.35">
      <c r="A49" s="52">
        <v>12043</v>
      </c>
      <c r="B49" s="253">
        <v>44353</v>
      </c>
      <c r="C49" s="254" t="s">
        <v>164</v>
      </c>
      <c r="D49" s="52" t="s">
        <v>746</v>
      </c>
      <c r="E49" s="54">
        <v>6</v>
      </c>
      <c r="F49" s="53">
        <v>0</v>
      </c>
      <c r="G49" s="54">
        <v>4.5999999999999996</v>
      </c>
      <c r="H49" s="54">
        <v>1.7</v>
      </c>
      <c r="I49" s="54">
        <v>1</v>
      </c>
      <c r="J49" s="54">
        <v>0</v>
      </c>
      <c r="K49" s="54">
        <v>0</v>
      </c>
      <c r="L49" s="54">
        <v>0</v>
      </c>
      <c r="M49" s="54">
        <v>0</v>
      </c>
      <c r="N49" s="54">
        <v>0.6</v>
      </c>
      <c r="O49" s="54">
        <v>2.2000000000000002</v>
      </c>
      <c r="P49" s="54">
        <v>1558.4</v>
      </c>
      <c r="Q49" s="54">
        <v>17</v>
      </c>
      <c r="R49" s="54">
        <v>1182.7</v>
      </c>
      <c r="S49" s="255">
        <v>3043.6</v>
      </c>
      <c r="T49" s="254" t="s">
        <v>753</v>
      </c>
      <c r="U49" s="254">
        <v>6338</v>
      </c>
      <c r="V49" s="254">
        <v>2692</v>
      </c>
      <c r="W49" s="254">
        <v>100</v>
      </c>
      <c r="X49" s="254">
        <v>0</v>
      </c>
      <c r="Y49" s="254">
        <v>0</v>
      </c>
    </row>
    <row r="50" spans="1:25" x14ac:dyDescent="0.35">
      <c r="A50" s="52">
        <v>12044</v>
      </c>
      <c r="B50" s="253">
        <v>44353</v>
      </c>
      <c r="C50" s="254" t="s">
        <v>191</v>
      </c>
      <c r="D50" s="52" t="s">
        <v>723</v>
      </c>
      <c r="E50" s="54">
        <v>15.5</v>
      </c>
      <c r="F50" s="53">
        <v>0</v>
      </c>
      <c r="G50" s="55">
        <v>9.4</v>
      </c>
      <c r="H50" s="55">
        <v>1.4</v>
      </c>
      <c r="I50" s="55">
        <v>1.2</v>
      </c>
      <c r="J50" s="55">
        <v>0</v>
      </c>
      <c r="K50" s="55">
        <v>0</v>
      </c>
      <c r="L50" s="55">
        <v>0</v>
      </c>
      <c r="M50" s="55">
        <v>0</v>
      </c>
      <c r="N50" s="55">
        <v>3.1</v>
      </c>
      <c r="O50" s="55">
        <v>1.9</v>
      </c>
      <c r="P50" s="55">
        <v>1679.4</v>
      </c>
      <c r="Q50" s="55">
        <v>474.4</v>
      </c>
      <c r="R50" s="55">
        <v>1184</v>
      </c>
      <c r="S50" s="55">
        <v>2259.8000000000002</v>
      </c>
      <c r="T50" s="254" t="s">
        <v>751</v>
      </c>
      <c r="U50" s="254">
        <v>94835</v>
      </c>
      <c r="V50" s="254">
        <v>27795</v>
      </c>
      <c r="W50" s="254">
        <v>67</v>
      </c>
      <c r="X50" s="254">
        <v>0</v>
      </c>
      <c r="Y50" s="254">
        <v>0</v>
      </c>
    </row>
    <row r="51" spans="1:25" x14ac:dyDescent="0.35">
      <c r="A51" s="52">
        <v>12045</v>
      </c>
      <c r="B51" s="253">
        <v>44353</v>
      </c>
      <c r="C51" s="254" t="s">
        <v>194</v>
      </c>
      <c r="D51" s="52" t="s">
        <v>372</v>
      </c>
      <c r="E51" s="54">
        <v>78.2</v>
      </c>
      <c r="F51" s="53">
        <v>0</v>
      </c>
      <c r="G51" s="54">
        <v>18.2</v>
      </c>
      <c r="H51" s="54">
        <v>0</v>
      </c>
      <c r="I51" s="54">
        <v>0.7</v>
      </c>
      <c r="J51" s="54">
        <v>0</v>
      </c>
      <c r="K51" s="54">
        <v>0</v>
      </c>
      <c r="L51" s="54">
        <v>0</v>
      </c>
      <c r="M51" s="54">
        <v>0</v>
      </c>
      <c r="N51" s="54">
        <v>1.2</v>
      </c>
      <c r="O51" s="54">
        <v>0.1</v>
      </c>
      <c r="P51" s="54">
        <v>338</v>
      </c>
      <c r="Q51" s="54">
        <v>0.6</v>
      </c>
      <c r="R51" s="54">
        <v>3.1</v>
      </c>
      <c r="S51" s="255">
        <v>2.2000000000000002</v>
      </c>
      <c r="T51" s="254" t="s">
        <v>754</v>
      </c>
      <c r="U51" s="254">
        <v>18182</v>
      </c>
      <c r="V51" s="254">
        <v>11578</v>
      </c>
      <c r="W51" s="254">
        <v>394</v>
      </c>
      <c r="X51" s="254">
        <v>0</v>
      </c>
      <c r="Y51" s="254">
        <v>0</v>
      </c>
    </row>
    <row r="52" spans="1:25" x14ac:dyDescent="0.35">
      <c r="A52" s="52">
        <v>12046</v>
      </c>
      <c r="B52" s="253">
        <v>44353</v>
      </c>
      <c r="C52" s="254" t="s">
        <v>172</v>
      </c>
      <c r="D52" s="52" t="s">
        <v>746</v>
      </c>
      <c r="E52" s="54">
        <v>6</v>
      </c>
      <c r="F52" s="53">
        <v>0</v>
      </c>
      <c r="G52" s="55">
        <v>4.3</v>
      </c>
      <c r="H52" s="55">
        <v>1.8</v>
      </c>
      <c r="I52" s="55">
        <v>0.7</v>
      </c>
      <c r="J52" s="55">
        <v>0</v>
      </c>
      <c r="K52" s="55">
        <v>0</v>
      </c>
      <c r="L52" s="55">
        <v>0</v>
      </c>
      <c r="M52" s="55">
        <v>0</v>
      </c>
      <c r="N52" s="55">
        <v>0.9</v>
      </c>
      <c r="O52" s="55">
        <v>2.2999999999999998</v>
      </c>
      <c r="P52" s="55">
        <v>1555.2</v>
      </c>
      <c r="Q52" s="55">
        <v>11.7</v>
      </c>
      <c r="R52" s="55">
        <v>1173.8</v>
      </c>
      <c r="S52" s="55">
        <v>3004.3</v>
      </c>
      <c r="T52" s="254" t="s">
        <v>730</v>
      </c>
      <c r="U52" s="254">
        <v>3582</v>
      </c>
      <c r="V52" s="254">
        <v>906</v>
      </c>
      <c r="W52" s="254">
        <v>27</v>
      </c>
      <c r="X52" s="254">
        <v>0</v>
      </c>
      <c r="Y52" s="254">
        <v>0</v>
      </c>
    </row>
    <row r="53" spans="1:25" x14ac:dyDescent="0.35">
      <c r="A53" s="52">
        <v>17056</v>
      </c>
      <c r="B53" s="253">
        <v>44355</v>
      </c>
      <c r="C53" s="254" t="s">
        <v>178</v>
      </c>
      <c r="D53" s="52" t="s">
        <v>720</v>
      </c>
      <c r="E53" s="54">
        <v>6</v>
      </c>
      <c r="F53" s="53">
        <v>0</v>
      </c>
      <c r="G53" s="55">
        <v>3.7</v>
      </c>
      <c r="H53" s="55">
        <v>1.6</v>
      </c>
      <c r="I53" s="55">
        <v>0.8</v>
      </c>
      <c r="J53" s="55">
        <v>0</v>
      </c>
      <c r="K53" s="55">
        <v>0.3</v>
      </c>
      <c r="L53" s="55">
        <v>0</v>
      </c>
      <c r="M53" s="55">
        <v>0</v>
      </c>
      <c r="N53" s="55">
        <v>0</v>
      </c>
      <c r="O53" s="55">
        <v>1.1000000000000001</v>
      </c>
      <c r="P53" s="55">
        <v>1209.3</v>
      </c>
      <c r="Q53" s="55">
        <v>10.199999999999999</v>
      </c>
      <c r="R53" s="55">
        <v>1134.9000000000001</v>
      </c>
      <c r="S53" s="55">
        <v>2946.9</v>
      </c>
      <c r="T53" s="254" t="s">
        <v>773</v>
      </c>
      <c r="U53" s="254">
        <v>3000</v>
      </c>
      <c r="V53" s="254">
        <v>926</v>
      </c>
      <c r="W53" s="254">
        <v>93</v>
      </c>
      <c r="X53" s="254">
        <v>0</v>
      </c>
      <c r="Y53" s="254">
        <v>0</v>
      </c>
    </row>
    <row r="54" spans="1:25" x14ac:dyDescent="0.35">
      <c r="A54" s="52">
        <v>17057</v>
      </c>
      <c r="B54" s="253">
        <v>44355</v>
      </c>
      <c r="C54" s="254" t="s">
        <v>179</v>
      </c>
      <c r="D54" s="52" t="s">
        <v>709</v>
      </c>
      <c r="E54" s="54">
        <v>15.2</v>
      </c>
      <c r="F54" s="53">
        <v>0</v>
      </c>
      <c r="G54" s="54">
        <v>7.6</v>
      </c>
      <c r="H54" s="54">
        <v>1.3</v>
      </c>
      <c r="I54" s="54">
        <v>1.3</v>
      </c>
      <c r="J54" s="54">
        <v>0.1</v>
      </c>
      <c r="K54" s="54">
        <v>0</v>
      </c>
      <c r="L54" s="54">
        <v>0</v>
      </c>
      <c r="M54" s="54">
        <v>0</v>
      </c>
      <c r="N54" s="54">
        <v>1.6</v>
      </c>
      <c r="O54" s="54">
        <v>0.1</v>
      </c>
      <c r="P54" s="54">
        <v>1291.3</v>
      </c>
      <c r="Q54" s="54">
        <v>448.3</v>
      </c>
      <c r="R54" s="54">
        <v>1146.7</v>
      </c>
      <c r="S54" s="255">
        <v>2122.5</v>
      </c>
      <c r="T54" s="254" t="s">
        <v>748</v>
      </c>
      <c r="U54" s="254">
        <v>99131</v>
      </c>
      <c r="V54" s="254">
        <v>35637</v>
      </c>
      <c r="W54" s="254">
        <v>203</v>
      </c>
      <c r="X54" s="254">
        <v>0</v>
      </c>
      <c r="Y54" s="254">
        <v>0</v>
      </c>
    </row>
    <row r="55" spans="1:25" x14ac:dyDescent="0.35">
      <c r="A55" s="52">
        <v>17058</v>
      </c>
      <c r="B55" s="253">
        <v>44355</v>
      </c>
      <c r="C55" s="254" t="s">
        <v>180</v>
      </c>
      <c r="D55" s="52" t="s">
        <v>720</v>
      </c>
      <c r="E55" s="54">
        <v>6</v>
      </c>
      <c r="F55" s="53">
        <v>0</v>
      </c>
      <c r="G55" s="55">
        <v>3.7</v>
      </c>
      <c r="H55" s="55">
        <v>1.6</v>
      </c>
      <c r="I55" s="55">
        <v>0.9</v>
      </c>
      <c r="J55" s="55">
        <v>0</v>
      </c>
      <c r="K55" s="55">
        <v>0</v>
      </c>
      <c r="L55" s="55">
        <v>0</v>
      </c>
      <c r="M55" s="55">
        <v>0.1</v>
      </c>
      <c r="N55" s="55">
        <v>0.3</v>
      </c>
      <c r="O55" s="55">
        <v>1.9</v>
      </c>
      <c r="P55" s="55">
        <v>1187.7</v>
      </c>
      <c r="Q55" s="55">
        <v>10.6</v>
      </c>
      <c r="R55" s="55">
        <v>1131.8</v>
      </c>
      <c r="S55" s="55">
        <v>2829.4</v>
      </c>
      <c r="T55" s="254" t="s">
        <v>774</v>
      </c>
      <c r="U55" s="254">
        <v>209990</v>
      </c>
      <c r="V55" s="254">
        <v>44303</v>
      </c>
      <c r="W55" s="254">
        <v>641</v>
      </c>
      <c r="X55" s="254">
        <v>16</v>
      </c>
      <c r="Y55" s="254">
        <v>0</v>
      </c>
    </row>
    <row r="56" spans="1:25" x14ac:dyDescent="0.35">
      <c r="A56" s="52">
        <v>19568</v>
      </c>
      <c r="B56" s="253">
        <v>44356</v>
      </c>
      <c r="C56" s="254" t="s">
        <v>178</v>
      </c>
      <c r="D56" s="52" t="s">
        <v>720</v>
      </c>
      <c r="E56" s="54">
        <v>6</v>
      </c>
      <c r="F56" s="53">
        <v>0</v>
      </c>
      <c r="G56" s="55">
        <v>3.4</v>
      </c>
      <c r="H56" s="55">
        <v>1.7</v>
      </c>
      <c r="I56" s="55">
        <v>1</v>
      </c>
      <c r="J56" s="55">
        <v>0</v>
      </c>
      <c r="K56" s="55">
        <v>0.2</v>
      </c>
      <c r="L56" s="55">
        <v>0</v>
      </c>
      <c r="M56" s="55">
        <v>0</v>
      </c>
      <c r="N56" s="55">
        <v>0.5</v>
      </c>
      <c r="O56" s="55">
        <v>2</v>
      </c>
      <c r="P56" s="55">
        <v>1202.5</v>
      </c>
      <c r="Q56" s="55">
        <v>10.5</v>
      </c>
      <c r="R56" s="55">
        <v>1159</v>
      </c>
      <c r="S56" s="55">
        <v>2977.2</v>
      </c>
      <c r="T56" s="254" t="s">
        <v>761</v>
      </c>
      <c r="U56" s="254">
        <v>9603</v>
      </c>
      <c r="V56" s="254">
        <v>1407</v>
      </c>
      <c r="W56" s="254">
        <v>80</v>
      </c>
      <c r="X56" s="254">
        <v>7</v>
      </c>
      <c r="Y56" s="254">
        <v>0</v>
      </c>
    </row>
    <row r="57" spans="1:25" x14ac:dyDescent="0.35">
      <c r="A57" s="52">
        <v>19569</v>
      </c>
      <c r="B57" s="253">
        <v>44356</v>
      </c>
      <c r="C57" s="254" t="s">
        <v>179</v>
      </c>
      <c r="D57" s="52" t="s">
        <v>709</v>
      </c>
      <c r="E57" s="54">
        <v>15</v>
      </c>
      <c r="F57" s="53">
        <v>0</v>
      </c>
      <c r="G57" s="55">
        <v>6.8</v>
      </c>
      <c r="H57" s="55">
        <v>1.3</v>
      </c>
      <c r="I57" s="55">
        <v>1.2</v>
      </c>
      <c r="J57" s="55">
        <v>0</v>
      </c>
      <c r="K57" s="55">
        <v>0</v>
      </c>
      <c r="L57" s="55">
        <v>0</v>
      </c>
      <c r="M57" s="55">
        <v>0</v>
      </c>
      <c r="N57" s="55">
        <v>1.6</v>
      </c>
      <c r="O57" s="55">
        <v>0.4</v>
      </c>
      <c r="P57" s="55">
        <v>1220.9000000000001</v>
      </c>
      <c r="Q57" s="55">
        <v>434.4</v>
      </c>
      <c r="R57" s="55">
        <v>1118</v>
      </c>
      <c r="S57" s="55">
        <v>2129.9</v>
      </c>
      <c r="T57" s="254" t="s">
        <v>743</v>
      </c>
      <c r="U57" s="254">
        <v>3284</v>
      </c>
      <c r="V57" s="254">
        <v>1109</v>
      </c>
      <c r="W57" s="254">
        <v>40</v>
      </c>
      <c r="X57" s="254">
        <v>0</v>
      </c>
      <c r="Y57" s="254">
        <v>0</v>
      </c>
    </row>
    <row r="58" spans="1:25" x14ac:dyDescent="0.35">
      <c r="A58" s="52">
        <v>19570</v>
      </c>
      <c r="B58" s="253">
        <v>44356</v>
      </c>
      <c r="C58" s="254" t="s">
        <v>180</v>
      </c>
      <c r="D58" s="52" t="s">
        <v>720</v>
      </c>
      <c r="E58" s="54">
        <v>6.1</v>
      </c>
      <c r="F58" s="53">
        <v>0</v>
      </c>
      <c r="G58" s="55">
        <v>3.6</v>
      </c>
      <c r="H58" s="55">
        <v>1.6</v>
      </c>
      <c r="I58" s="55">
        <v>1.1000000000000001</v>
      </c>
      <c r="J58" s="55">
        <v>0</v>
      </c>
      <c r="K58" s="55">
        <v>0</v>
      </c>
      <c r="L58" s="55">
        <v>0</v>
      </c>
      <c r="M58" s="55">
        <v>0</v>
      </c>
      <c r="N58" s="55">
        <v>0</v>
      </c>
      <c r="O58" s="55">
        <v>1.8</v>
      </c>
      <c r="P58" s="55">
        <v>1188.5</v>
      </c>
      <c r="Q58" s="55">
        <v>10.8</v>
      </c>
      <c r="R58" s="55">
        <v>1140.0999999999999</v>
      </c>
      <c r="S58" s="55">
        <v>2930.7</v>
      </c>
      <c r="T58" s="254" t="s">
        <v>780</v>
      </c>
      <c r="U58" s="254">
        <v>37456</v>
      </c>
      <c r="V58" s="254">
        <v>12080</v>
      </c>
      <c r="W58" s="254">
        <v>1699</v>
      </c>
      <c r="X58" s="254">
        <v>0</v>
      </c>
      <c r="Y58" s="254">
        <v>0</v>
      </c>
    </row>
    <row r="59" spans="1:25" x14ac:dyDescent="0.35">
      <c r="A59" s="52">
        <v>25825</v>
      </c>
      <c r="B59" s="253">
        <v>44359</v>
      </c>
      <c r="C59" s="254" t="s">
        <v>184</v>
      </c>
      <c r="D59" s="52" t="s">
        <v>720</v>
      </c>
      <c r="E59" s="54">
        <v>6</v>
      </c>
      <c r="F59" s="53">
        <v>0</v>
      </c>
      <c r="G59" s="55">
        <v>3.7</v>
      </c>
      <c r="H59" s="55">
        <v>1.5</v>
      </c>
      <c r="I59" s="55">
        <v>0.9</v>
      </c>
      <c r="J59" s="55">
        <v>0</v>
      </c>
      <c r="K59" s="55">
        <v>0</v>
      </c>
      <c r="L59" s="55">
        <v>0</v>
      </c>
      <c r="M59" s="55">
        <v>0</v>
      </c>
      <c r="N59" s="55">
        <v>0.5</v>
      </c>
      <c r="O59" s="55">
        <v>1.2</v>
      </c>
      <c r="P59" s="55">
        <v>1081.9000000000001</v>
      </c>
      <c r="Q59" s="55">
        <v>13.9</v>
      </c>
      <c r="R59" s="55">
        <v>1089.9000000000001</v>
      </c>
      <c r="S59" s="55">
        <v>2839.8</v>
      </c>
      <c r="T59" s="254" t="s">
        <v>794</v>
      </c>
      <c r="U59" s="254">
        <v>24880</v>
      </c>
      <c r="V59" s="254">
        <v>6430</v>
      </c>
      <c r="W59" s="254">
        <v>271</v>
      </c>
      <c r="X59" s="254">
        <v>0</v>
      </c>
      <c r="Y59" s="254">
        <v>0</v>
      </c>
    </row>
    <row r="60" spans="1:25" x14ac:dyDescent="0.35">
      <c r="A60" s="52">
        <v>25827</v>
      </c>
      <c r="B60" s="253">
        <v>44359</v>
      </c>
      <c r="C60" s="254" t="s">
        <v>177</v>
      </c>
      <c r="D60" s="52" t="s">
        <v>720</v>
      </c>
      <c r="E60" s="54">
        <v>6</v>
      </c>
      <c r="F60" s="53">
        <v>0</v>
      </c>
      <c r="G60" s="55">
        <v>3.2</v>
      </c>
      <c r="H60" s="55">
        <v>1.6</v>
      </c>
      <c r="I60" s="55">
        <v>0.9</v>
      </c>
      <c r="J60" s="55">
        <v>0</v>
      </c>
      <c r="K60" s="55">
        <v>0.1</v>
      </c>
      <c r="L60" s="55">
        <v>0</v>
      </c>
      <c r="M60" s="55">
        <v>0</v>
      </c>
      <c r="N60" s="55">
        <v>0.1</v>
      </c>
      <c r="O60" s="55">
        <v>1.4</v>
      </c>
      <c r="P60" s="55">
        <v>1057.7</v>
      </c>
      <c r="Q60" s="55">
        <v>10.6</v>
      </c>
      <c r="R60" s="55">
        <v>1066.8</v>
      </c>
      <c r="S60" s="55">
        <v>2767.7</v>
      </c>
      <c r="T60" s="254" t="s">
        <v>796</v>
      </c>
      <c r="U60" s="254">
        <v>10843</v>
      </c>
      <c r="V60" s="254">
        <v>2762</v>
      </c>
      <c r="W60" s="254">
        <v>66</v>
      </c>
      <c r="X60" s="254">
        <v>2</v>
      </c>
      <c r="Y60" s="254">
        <v>0</v>
      </c>
    </row>
    <row r="61" spans="1:25" x14ac:dyDescent="0.35">
      <c r="A61" s="52">
        <v>12506</v>
      </c>
      <c r="B61" s="253">
        <v>44360</v>
      </c>
      <c r="C61" s="254" t="s">
        <v>195</v>
      </c>
      <c r="D61" s="52" t="s">
        <v>733</v>
      </c>
      <c r="E61" s="54">
        <v>6.1</v>
      </c>
      <c r="F61" s="53">
        <v>0</v>
      </c>
      <c r="G61" s="54">
        <v>4.0999999999999996</v>
      </c>
      <c r="H61" s="54">
        <v>1.9</v>
      </c>
      <c r="I61" s="54">
        <v>0.7</v>
      </c>
      <c r="J61" s="54">
        <v>0</v>
      </c>
      <c r="K61" s="54">
        <v>0</v>
      </c>
      <c r="L61" s="54">
        <v>0</v>
      </c>
      <c r="M61" s="54">
        <v>0</v>
      </c>
      <c r="N61" s="54">
        <v>0.3</v>
      </c>
      <c r="O61" s="54">
        <v>2.5</v>
      </c>
      <c r="P61" s="54">
        <v>1337.2</v>
      </c>
      <c r="Q61" s="54">
        <v>12.1</v>
      </c>
      <c r="R61" s="54">
        <v>1188.4000000000001</v>
      </c>
      <c r="S61" s="255">
        <v>3053.1</v>
      </c>
      <c r="T61" s="254" t="s">
        <v>743</v>
      </c>
      <c r="U61" s="254">
        <v>3572</v>
      </c>
      <c r="V61" s="254">
        <v>1097</v>
      </c>
      <c r="W61" s="254">
        <v>53</v>
      </c>
      <c r="X61" s="254">
        <v>0</v>
      </c>
      <c r="Y61" s="254">
        <v>0</v>
      </c>
    </row>
    <row r="62" spans="1:25" x14ac:dyDescent="0.35">
      <c r="A62" s="52">
        <v>12506</v>
      </c>
      <c r="B62" s="253">
        <v>44360</v>
      </c>
      <c r="C62" s="254" t="s">
        <v>195</v>
      </c>
      <c r="D62" s="52" t="s">
        <v>733</v>
      </c>
      <c r="E62" s="54">
        <v>6.1</v>
      </c>
      <c r="F62" s="53">
        <v>0</v>
      </c>
      <c r="G62" s="55">
        <v>4.0999999999999996</v>
      </c>
      <c r="H62" s="55">
        <v>1.9</v>
      </c>
      <c r="I62" s="55">
        <v>0.7</v>
      </c>
      <c r="J62" s="55">
        <v>0</v>
      </c>
      <c r="K62" s="55">
        <v>0</v>
      </c>
      <c r="L62" s="55">
        <v>0</v>
      </c>
      <c r="M62" s="55">
        <v>0</v>
      </c>
      <c r="N62" s="55">
        <v>0.3</v>
      </c>
      <c r="O62" s="55">
        <v>2.5</v>
      </c>
      <c r="P62" s="55">
        <v>1337.2</v>
      </c>
      <c r="Q62" s="55">
        <v>12.1</v>
      </c>
      <c r="R62" s="55">
        <v>1188.4000000000001</v>
      </c>
      <c r="S62" s="55">
        <v>3053.1</v>
      </c>
      <c r="T62" s="254" t="s">
        <v>743</v>
      </c>
      <c r="U62" s="254">
        <v>3572</v>
      </c>
      <c r="V62" s="254">
        <v>1097</v>
      </c>
      <c r="W62" s="254">
        <v>53</v>
      </c>
      <c r="X62" s="254">
        <v>0</v>
      </c>
      <c r="Y62" s="254">
        <v>0</v>
      </c>
    </row>
    <row r="63" spans="1:25" x14ac:dyDescent="0.35">
      <c r="A63" s="52">
        <v>12507</v>
      </c>
      <c r="B63" s="253">
        <v>44360</v>
      </c>
      <c r="C63" s="254" t="s">
        <v>196</v>
      </c>
      <c r="D63" s="52" t="s">
        <v>723</v>
      </c>
      <c r="E63" s="54">
        <v>15.4</v>
      </c>
      <c r="F63" s="53">
        <v>0</v>
      </c>
      <c r="G63" s="55">
        <v>9.4</v>
      </c>
      <c r="H63" s="55">
        <v>1.4</v>
      </c>
      <c r="I63" s="55">
        <v>1.1000000000000001</v>
      </c>
      <c r="J63" s="55">
        <v>0</v>
      </c>
      <c r="K63" s="55">
        <v>0</v>
      </c>
      <c r="L63" s="55">
        <v>0</v>
      </c>
      <c r="M63" s="55">
        <v>0</v>
      </c>
      <c r="N63" s="55">
        <v>2</v>
      </c>
      <c r="O63" s="55">
        <v>1.1000000000000001</v>
      </c>
      <c r="P63" s="55">
        <v>1467.5</v>
      </c>
      <c r="Q63" s="55">
        <v>484.1</v>
      </c>
      <c r="R63" s="55">
        <v>1221.7</v>
      </c>
      <c r="S63" s="55">
        <v>2333.9</v>
      </c>
      <c r="T63" s="254" t="s">
        <v>751</v>
      </c>
      <c r="U63" s="254">
        <v>80407</v>
      </c>
      <c r="V63" s="254">
        <v>22098</v>
      </c>
      <c r="W63" s="254">
        <v>60</v>
      </c>
      <c r="X63" s="254">
        <v>0</v>
      </c>
      <c r="Y63" s="254">
        <v>0</v>
      </c>
    </row>
    <row r="64" spans="1:25" x14ac:dyDescent="0.35">
      <c r="A64" s="52">
        <v>12507</v>
      </c>
      <c r="B64" s="253">
        <v>44360</v>
      </c>
      <c r="C64" s="254" t="s">
        <v>196</v>
      </c>
      <c r="D64" s="52" t="s">
        <v>723</v>
      </c>
      <c r="E64" s="54">
        <v>15.4</v>
      </c>
      <c r="F64" s="53">
        <v>0</v>
      </c>
      <c r="G64" s="54">
        <v>9.4</v>
      </c>
      <c r="H64" s="54">
        <v>1.4</v>
      </c>
      <c r="I64" s="54">
        <v>1.1000000000000001</v>
      </c>
      <c r="J64" s="54">
        <v>0</v>
      </c>
      <c r="K64" s="54">
        <v>0</v>
      </c>
      <c r="L64" s="54">
        <v>0</v>
      </c>
      <c r="M64" s="54">
        <v>0</v>
      </c>
      <c r="N64" s="54">
        <v>2</v>
      </c>
      <c r="O64" s="54">
        <v>1.1000000000000001</v>
      </c>
      <c r="P64" s="54">
        <v>1467.5</v>
      </c>
      <c r="Q64" s="54">
        <v>484.1</v>
      </c>
      <c r="R64" s="54">
        <v>1221.7</v>
      </c>
      <c r="S64" s="255">
        <v>2333.9</v>
      </c>
      <c r="T64" s="254" t="s">
        <v>751</v>
      </c>
      <c r="U64" s="254">
        <v>80407</v>
      </c>
      <c r="V64" s="254">
        <v>22098</v>
      </c>
      <c r="W64" s="254">
        <v>60</v>
      </c>
      <c r="X64" s="254">
        <v>0</v>
      </c>
      <c r="Y64" s="254">
        <v>0</v>
      </c>
    </row>
    <row r="65" spans="1:25" x14ac:dyDescent="0.35">
      <c r="A65" s="52">
        <v>12508</v>
      </c>
      <c r="B65" s="253">
        <v>44360</v>
      </c>
      <c r="C65" s="254" t="s">
        <v>197</v>
      </c>
      <c r="D65" s="52" t="s">
        <v>733</v>
      </c>
      <c r="E65" s="54">
        <v>6.2</v>
      </c>
      <c r="F65" s="53">
        <v>0</v>
      </c>
      <c r="G65" s="54">
        <v>4.3</v>
      </c>
      <c r="H65" s="54">
        <v>1.9</v>
      </c>
      <c r="I65" s="54">
        <v>0.9</v>
      </c>
      <c r="J65" s="54">
        <v>0.1</v>
      </c>
      <c r="K65" s="54">
        <v>0</v>
      </c>
      <c r="L65" s="54">
        <v>0</v>
      </c>
      <c r="M65" s="54">
        <v>0</v>
      </c>
      <c r="N65" s="54">
        <v>0</v>
      </c>
      <c r="O65" s="54">
        <v>2.2000000000000002</v>
      </c>
      <c r="P65" s="54">
        <v>1362</v>
      </c>
      <c r="Q65" s="54">
        <v>12.1</v>
      </c>
      <c r="R65" s="54">
        <v>1205</v>
      </c>
      <c r="S65" s="255">
        <v>3061.4</v>
      </c>
      <c r="T65" s="254" t="s">
        <v>756</v>
      </c>
      <c r="U65" s="254">
        <v>12533</v>
      </c>
      <c r="V65" s="254">
        <v>2363</v>
      </c>
      <c r="W65" s="254">
        <v>100</v>
      </c>
      <c r="X65" s="254">
        <v>0</v>
      </c>
      <c r="Y65" s="254">
        <v>0</v>
      </c>
    </row>
    <row r="66" spans="1:25" x14ac:dyDescent="0.35">
      <c r="A66" s="52">
        <v>12508</v>
      </c>
      <c r="B66" s="253">
        <v>44360</v>
      </c>
      <c r="C66" s="254" t="s">
        <v>197</v>
      </c>
      <c r="D66" s="52" t="s">
        <v>733</v>
      </c>
      <c r="E66" s="54">
        <v>6.2</v>
      </c>
      <c r="F66" s="53">
        <v>0</v>
      </c>
      <c r="G66" s="55">
        <v>4.3</v>
      </c>
      <c r="H66" s="55">
        <v>1.9</v>
      </c>
      <c r="I66" s="55">
        <v>0.9</v>
      </c>
      <c r="J66" s="55">
        <v>0.1</v>
      </c>
      <c r="K66" s="55">
        <v>0</v>
      </c>
      <c r="L66" s="55">
        <v>0</v>
      </c>
      <c r="M66" s="55">
        <v>0</v>
      </c>
      <c r="N66" s="55">
        <v>0</v>
      </c>
      <c r="O66" s="55">
        <v>2.2000000000000002</v>
      </c>
      <c r="P66" s="55">
        <v>1362</v>
      </c>
      <c r="Q66" s="55">
        <v>12.1</v>
      </c>
      <c r="R66" s="55">
        <v>1205</v>
      </c>
      <c r="S66" s="55">
        <v>3061.4</v>
      </c>
      <c r="T66" s="254" t="s">
        <v>756</v>
      </c>
      <c r="U66" s="254">
        <v>12533</v>
      </c>
      <c r="V66" s="254">
        <v>2363</v>
      </c>
      <c r="W66" s="254">
        <v>100</v>
      </c>
      <c r="X66" s="254">
        <v>0</v>
      </c>
      <c r="Y66" s="254">
        <v>0</v>
      </c>
    </row>
    <row r="67" spans="1:25" x14ac:dyDescent="0.35">
      <c r="A67" s="52">
        <v>13122</v>
      </c>
      <c r="B67" s="253">
        <v>44367</v>
      </c>
      <c r="C67" s="254" t="s">
        <v>178</v>
      </c>
      <c r="D67" s="52" t="s">
        <v>723</v>
      </c>
      <c r="E67" s="54">
        <v>15.2</v>
      </c>
      <c r="F67" s="53">
        <v>0</v>
      </c>
      <c r="G67" s="55">
        <v>8.1999999999999993</v>
      </c>
      <c r="H67" s="55">
        <v>1.3</v>
      </c>
      <c r="I67" s="55">
        <v>1.1000000000000001</v>
      </c>
      <c r="J67" s="55">
        <v>0</v>
      </c>
      <c r="K67" s="55">
        <v>0</v>
      </c>
      <c r="L67" s="55">
        <v>0.1</v>
      </c>
      <c r="M67" s="55">
        <v>0</v>
      </c>
      <c r="N67" s="55">
        <v>1.9</v>
      </c>
      <c r="O67" s="55">
        <v>1.2</v>
      </c>
      <c r="P67" s="55">
        <v>1282.9000000000001</v>
      </c>
      <c r="Q67" s="55">
        <v>445.7</v>
      </c>
      <c r="R67" s="55">
        <v>1126</v>
      </c>
      <c r="S67" s="55">
        <v>2157.6</v>
      </c>
      <c r="T67" s="254" t="s">
        <v>718</v>
      </c>
      <c r="U67" s="254">
        <v>79964</v>
      </c>
      <c r="V67" s="254">
        <v>25569</v>
      </c>
      <c r="W67" s="254">
        <v>100</v>
      </c>
      <c r="X67" s="254">
        <v>0</v>
      </c>
      <c r="Y67" s="254">
        <v>0</v>
      </c>
    </row>
    <row r="68" spans="1:25" x14ac:dyDescent="0.35">
      <c r="A68" s="52">
        <v>13123</v>
      </c>
      <c r="B68" s="253">
        <v>44367</v>
      </c>
      <c r="C68" s="254" t="s">
        <v>179</v>
      </c>
      <c r="D68" s="52" t="s">
        <v>757</v>
      </c>
      <c r="E68" s="54">
        <v>25.4</v>
      </c>
      <c r="F68" s="53">
        <v>0</v>
      </c>
      <c r="G68" s="54">
        <v>7.8</v>
      </c>
      <c r="H68" s="54">
        <v>1.7</v>
      </c>
      <c r="I68" s="54">
        <v>0.9</v>
      </c>
      <c r="J68" s="54">
        <v>0</v>
      </c>
      <c r="K68" s="54">
        <v>0.2</v>
      </c>
      <c r="L68" s="54">
        <v>0.1</v>
      </c>
      <c r="M68" s="54">
        <v>0.1</v>
      </c>
      <c r="N68" s="54">
        <v>0.2</v>
      </c>
      <c r="O68" s="54">
        <v>3.4</v>
      </c>
      <c r="P68" s="54">
        <v>1183.8</v>
      </c>
      <c r="Q68" s="54">
        <v>12.3</v>
      </c>
      <c r="R68" s="54">
        <v>1105.5999999999999</v>
      </c>
      <c r="S68" s="255">
        <v>2827.2</v>
      </c>
      <c r="T68" s="254" t="s">
        <v>758</v>
      </c>
      <c r="U68" s="254">
        <v>12158</v>
      </c>
      <c r="V68" s="254">
        <v>3280</v>
      </c>
      <c r="W68" s="254">
        <v>269</v>
      </c>
      <c r="X68" s="254">
        <v>0</v>
      </c>
      <c r="Y68" s="254">
        <v>0</v>
      </c>
    </row>
    <row r="69" spans="1:25" x14ac:dyDescent="0.35">
      <c r="A69" s="52">
        <v>13124</v>
      </c>
      <c r="B69" s="253">
        <v>44367</v>
      </c>
      <c r="C69" s="254" t="s">
        <v>180</v>
      </c>
      <c r="D69" s="52" t="s">
        <v>759</v>
      </c>
      <c r="E69" s="54">
        <v>11.1</v>
      </c>
      <c r="F69" s="53">
        <v>0</v>
      </c>
      <c r="G69" s="55">
        <v>3.5</v>
      </c>
      <c r="H69" s="55">
        <v>1.6</v>
      </c>
      <c r="I69" s="55">
        <v>0.8</v>
      </c>
      <c r="J69" s="55">
        <v>0</v>
      </c>
      <c r="K69" s="55">
        <v>0.1</v>
      </c>
      <c r="L69" s="55">
        <v>0.1</v>
      </c>
      <c r="M69" s="55">
        <v>0</v>
      </c>
      <c r="N69" s="55">
        <v>0</v>
      </c>
      <c r="O69" s="55">
        <v>3.8</v>
      </c>
      <c r="P69" s="55">
        <v>1189.5999999999999</v>
      </c>
      <c r="Q69" s="55">
        <v>10.7</v>
      </c>
      <c r="R69" s="55">
        <v>1109.9000000000001</v>
      </c>
      <c r="S69" s="55">
        <v>2856.7</v>
      </c>
      <c r="T69" s="254" t="s">
        <v>760</v>
      </c>
      <c r="U69" s="254">
        <v>2659</v>
      </c>
      <c r="V69" s="254">
        <v>417</v>
      </c>
      <c r="W69" s="254">
        <v>0</v>
      </c>
      <c r="X69" s="254">
        <v>0</v>
      </c>
      <c r="Y69" s="254">
        <v>0</v>
      </c>
    </row>
    <row r="70" spans="1:25" x14ac:dyDescent="0.35">
      <c r="A70" s="52">
        <v>13125</v>
      </c>
      <c r="B70" s="253">
        <v>44367</v>
      </c>
      <c r="C70" s="254" t="s">
        <v>199</v>
      </c>
      <c r="D70" s="52" t="s">
        <v>757</v>
      </c>
      <c r="E70" s="54">
        <v>25.8</v>
      </c>
      <c r="F70" s="53">
        <v>0</v>
      </c>
      <c r="G70" s="54">
        <v>7.4</v>
      </c>
      <c r="H70" s="54">
        <v>1.7</v>
      </c>
      <c r="I70" s="54">
        <v>0.8</v>
      </c>
      <c r="J70" s="54">
        <v>0</v>
      </c>
      <c r="K70" s="54">
        <v>0</v>
      </c>
      <c r="L70" s="54">
        <v>0.1</v>
      </c>
      <c r="M70" s="54">
        <v>0</v>
      </c>
      <c r="N70" s="54">
        <v>0.2</v>
      </c>
      <c r="O70" s="54">
        <v>4</v>
      </c>
      <c r="P70" s="54">
        <v>1177.4000000000001</v>
      </c>
      <c r="Q70" s="54">
        <v>10.4</v>
      </c>
      <c r="R70" s="54">
        <v>1097.7</v>
      </c>
      <c r="S70" s="255">
        <v>2834.7</v>
      </c>
      <c r="T70" s="254" t="s">
        <v>761</v>
      </c>
      <c r="U70" s="254">
        <v>7259</v>
      </c>
      <c r="V70" s="254">
        <v>1592</v>
      </c>
      <c r="W70" s="254">
        <v>83</v>
      </c>
      <c r="X70" s="254">
        <v>0</v>
      </c>
      <c r="Y70" s="254">
        <v>0</v>
      </c>
    </row>
    <row r="71" spans="1:25" x14ac:dyDescent="0.35">
      <c r="A71" s="52">
        <v>13126</v>
      </c>
      <c r="B71" s="253">
        <v>44367</v>
      </c>
      <c r="C71" s="254" t="s">
        <v>200</v>
      </c>
      <c r="D71" s="52" t="s">
        <v>735</v>
      </c>
      <c r="E71" s="54">
        <v>11.1</v>
      </c>
      <c r="F71" s="53">
        <v>0</v>
      </c>
      <c r="G71" s="55">
        <v>4</v>
      </c>
      <c r="H71" s="55">
        <v>1.8</v>
      </c>
      <c r="I71" s="55">
        <v>0.9</v>
      </c>
      <c r="J71" s="55">
        <v>0.1</v>
      </c>
      <c r="K71" s="55">
        <v>0.2</v>
      </c>
      <c r="L71" s="55">
        <v>0</v>
      </c>
      <c r="M71" s="55">
        <v>0</v>
      </c>
      <c r="N71" s="55">
        <v>0.5</v>
      </c>
      <c r="O71" s="55">
        <v>2.1</v>
      </c>
      <c r="P71" s="55">
        <v>1185.8</v>
      </c>
      <c r="Q71" s="55">
        <v>10.1</v>
      </c>
      <c r="R71" s="55">
        <v>1102.7</v>
      </c>
      <c r="S71" s="55">
        <v>2734.3</v>
      </c>
      <c r="T71" s="254" t="s">
        <v>743</v>
      </c>
      <c r="U71" s="254">
        <v>3934</v>
      </c>
      <c r="V71" s="254">
        <v>790</v>
      </c>
      <c r="W71" s="254">
        <v>53</v>
      </c>
      <c r="X71" s="254">
        <v>0</v>
      </c>
      <c r="Y71" s="254">
        <v>0</v>
      </c>
    </row>
    <row r="72" spans="1:25" x14ac:dyDescent="0.35">
      <c r="A72" s="52">
        <v>13127</v>
      </c>
      <c r="B72" s="253">
        <v>44367</v>
      </c>
      <c r="C72" s="254" t="s">
        <v>201</v>
      </c>
      <c r="D72" s="52" t="s">
        <v>723</v>
      </c>
      <c r="E72" s="54">
        <v>15.3</v>
      </c>
      <c r="F72" s="53">
        <v>0</v>
      </c>
      <c r="G72" s="54">
        <v>9.1</v>
      </c>
      <c r="H72" s="54">
        <v>1.3</v>
      </c>
      <c r="I72" s="54">
        <v>1.2</v>
      </c>
      <c r="J72" s="54">
        <v>0</v>
      </c>
      <c r="K72" s="54">
        <v>0</v>
      </c>
      <c r="L72" s="54">
        <v>0</v>
      </c>
      <c r="M72" s="54">
        <v>0</v>
      </c>
      <c r="N72" s="54">
        <v>1.2</v>
      </c>
      <c r="O72" s="54">
        <v>0.2</v>
      </c>
      <c r="P72" s="54">
        <v>1287.9000000000001</v>
      </c>
      <c r="Q72" s="54">
        <v>435.1</v>
      </c>
      <c r="R72" s="54">
        <v>1119.8</v>
      </c>
      <c r="S72" s="255">
        <v>2082.6</v>
      </c>
      <c r="T72" s="254" t="s">
        <v>748</v>
      </c>
      <c r="U72" s="254">
        <v>95823</v>
      </c>
      <c r="V72" s="254">
        <v>31579</v>
      </c>
      <c r="W72" s="254">
        <v>208</v>
      </c>
      <c r="X72" s="254">
        <v>0</v>
      </c>
      <c r="Y72" s="254">
        <v>0</v>
      </c>
    </row>
    <row r="73" spans="1:25" x14ac:dyDescent="0.35">
      <c r="A73" s="52">
        <v>13721</v>
      </c>
      <c r="B73" s="253">
        <v>44372</v>
      </c>
      <c r="C73" s="254" t="s">
        <v>173</v>
      </c>
      <c r="D73" s="52" t="s">
        <v>733</v>
      </c>
      <c r="E73" s="54">
        <v>5.9</v>
      </c>
      <c r="F73" s="53">
        <v>0</v>
      </c>
      <c r="G73" s="55">
        <v>4.7</v>
      </c>
      <c r="H73" s="55">
        <v>1.8</v>
      </c>
      <c r="I73" s="55">
        <v>1</v>
      </c>
      <c r="J73" s="55">
        <v>0.1</v>
      </c>
      <c r="K73" s="55">
        <v>0.1</v>
      </c>
      <c r="L73" s="55">
        <v>0</v>
      </c>
      <c r="M73" s="55">
        <v>0</v>
      </c>
      <c r="N73" s="55">
        <v>0.3</v>
      </c>
      <c r="O73" s="55">
        <v>1.7</v>
      </c>
      <c r="P73" s="55">
        <v>1344</v>
      </c>
      <c r="Q73" s="55">
        <v>11.8</v>
      </c>
      <c r="R73" s="55">
        <v>1237.2</v>
      </c>
      <c r="S73" s="55">
        <v>3097.1</v>
      </c>
      <c r="T73" s="254" t="s">
        <v>745</v>
      </c>
      <c r="U73" s="254">
        <v>7182</v>
      </c>
      <c r="V73" s="254">
        <v>2030</v>
      </c>
      <c r="W73" s="254">
        <v>30</v>
      </c>
      <c r="X73" s="254">
        <v>0</v>
      </c>
      <c r="Y73" s="254">
        <v>0</v>
      </c>
    </row>
    <row r="74" spans="1:25" x14ac:dyDescent="0.35">
      <c r="A74" s="52">
        <v>13722</v>
      </c>
      <c r="B74" s="253">
        <v>44372</v>
      </c>
      <c r="C74" s="254" t="s">
        <v>174</v>
      </c>
      <c r="D74" s="52" t="s">
        <v>733</v>
      </c>
      <c r="E74" s="54">
        <v>6.2</v>
      </c>
      <c r="F74" s="53">
        <v>0</v>
      </c>
      <c r="G74" s="54">
        <v>4.4000000000000004</v>
      </c>
      <c r="H74" s="54">
        <v>1.8</v>
      </c>
      <c r="I74" s="54">
        <v>1</v>
      </c>
      <c r="J74" s="54">
        <v>0</v>
      </c>
      <c r="K74" s="54">
        <v>0</v>
      </c>
      <c r="L74" s="54">
        <v>0</v>
      </c>
      <c r="M74" s="54">
        <v>0</v>
      </c>
      <c r="N74" s="54">
        <v>0</v>
      </c>
      <c r="O74" s="54">
        <v>1.4</v>
      </c>
      <c r="P74" s="54">
        <v>1287.0999999999999</v>
      </c>
      <c r="Q74" s="54">
        <v>11.3</v>
      </c>
      <c r="R74" s="54">
        <v>1192.9000000000001</v>
      </c>
      <c r="S74" s="255">
        <v>2988</v>
      </c>
      <c r="T74" s="254" t="s">
        <v>747</v>
      </c>
      <c r="U74" s="254">
        <v>6834</v>
      </c>
      <c r="V74" s="254">
        <v>2150</v>
      </c>
      <c r="W74" s="254">
        <v>47</v>
      </c>
      <c r="X74" s="254">
        <v>0</v>
      </c>
      <c r="Y74" s="254">
        <v>0</v>
      </c>
    </row>
    <row r="75" spans="1:25" x14ac:dyDescent="0.35">
      <c r="A75" s="52">
        <v>13723</v>
      </c>
      <c r="B75" s="253">
        <v>44372</v>
      </c>
      <c r="C75" s="254" t="s">
        <v>175</v>
      </c>
      <c r="D75" s="52" t="s">
        <v>723</v>
      </c>
      <c r="E75" s="54">
        <v>15.3</v>
      </c>
      <c r="F75" s="53">
        <v>0</v>
      </c>
      <c r="G75" s="55">
        <v>9.6999999999999993</v>
      </c>
      <c r="H75" s="55">
        <v>1.3</v>
      </c>
      <c r="I75" s="55">
        <v>1.2</v>
      </c>
      <c r="J75" s="55">
        <v>0</v>
      </c>
      <c r="K75" s="55">
        <v>0</v>
      </c>
      <c r="L75" s="55">
        <v>0</v>
      </c>
      <c r="M75" s="55">
        <v>0</v>
      </c>
      <c r="N75" s="55">
        <v>1.5</v>
      </c>
      <c r="O75" s="55">
        <v>0</v>
      </c>
      <c r="P75" s="55">
        <v>1395.6</v>
      </c>
      <c r="Q75" s="55">
        <v>446.8</v>
      </c>
      <c r="R75" s="55">
        <v>1212.4000000000001</v>
      </c>
      <c r="S75" s="55">
        <v>2279.1999999999998</v>
      </c>
      <c r="T75" s="254" t="s">
        <v>718</v>
      </c>
      <c r="U75" s="254">
        <v>78851</v>
      </c>
      <c r="V75" s="254">
        <v>27902</v>
      </c>
      <c r="W75" s="254">
        <v>120</v>
      </c>
      <c r="X75" s="254">
        <v>0</v>
      </c>
      <c r="Y75" s="254">
        <v>0</v>
      </c>
    </row>
    <row r="76" spans="1:25" x14ac:dyDescent="0.35">
      <c r="A76" s="52">
        <v>13724</v>
      </c>
      <c r="B76" s="253">
        <v>44374</v>
      </c>
      <c r="C76" s="254" t="s">
        <v>178</v>
      </c>
      <c r="D76" s="52" t="s">
        <v>723</v>
      </c>
      <c r="E76" s="54">
        <v>15.3</v>
      </c>
      <c r="F76" s="53">
        <v>0</v>
      </c>
      <c r="G76" s="54">
        <v>9.5</v>
      </c>
      <c r="H76" s="54">
        <v>1.3</v>
      </c>
      <c r="I76" s="54">
        <v>1.3</v>
      </c>
      <c r="J76" s="54">
        <v>0</v>
      </c>
      <c r="K76" s="54">
        <v>0</v>
      </c>
      <c r="L76" s="54">
        <v>0</v>
      </c>
      <c r="M76" s="54">
        <v>0</v>
      </c>
      <c r="N76" s="54">
        <v>1.3</v>
      </c>
      <c r="O76" s="54">
        <v>0</v>
      </c>
      <c r="P76" s="54">
        <v>1406.6</v>
      </c>
      <c r="Q76" s="54">
        <v>448.3</v>
      </c>
      <c r="R76" s="54">
        <v>1212.9000000000001</v>
      </c>
      <c r="S76" s="255">
        <v>2278.6</v>
      </c>
      <c r="T76" s="254" t="s">
        <v>748</v>
      </c>
      <c r="U76" s="254">
        <v>82511</v>
      </c>
      <c r="V76" s="254">
        <v>28317</v>
      </c>
      <c r="W76" s="254">
        <v>163</v>
      </c>
      <c r="X76" s="254">
        <v>3</v>
      </c>
      <c r="Y76" s="254">
        <v>0</v>
      </c>
    </row>
    <row r="77" spans="1:25" x14ac:dyDescent="0.35">
      <c r="A77" s="52">
        <v>13725</v>
      </c>
      <c r="B77" s="253">
        <v>44374</v>
      </c>
      <c r="C77" s="254" t="s">
        <v>179</v>
      </c>
      <c r="D77" s="52" t="s">
        <v>733</v>
      </c>
      <c r="E77" s="54">
        <v>6.1</v>
      </c>
      <c r="F77" s="53">
        <v>0</v>
      </c>
      <c r="G77" s="55">
        <v>4.5</v>
      </c>
      <c r="H77" s="55">
        <v>1.7</v>
      </c>
      <c r="I77" s="55">
        <v>0.9</v>
      </c>
      <c r="J77" s="55">
        <v>0</v>
      </c>
      <c r="K77" s="55">
        <v>0</v>
      </c>
      <c r="L77" s="55">
        <v>0</v>
      </c>
      <c r="M77" s="55">
        <v>0</v>
      </c>
      <c r="N77" s="55">
        <v>0</v>
      </c>
      <c r="O77" s="55">
        <v>1.6</v>
      </c>
      <c r="P77" s="55">
        <v>1292.5999999999999</v>
      </c>
      <c r="Q77" s="55">
        <v>11.9</v>
      </c>
      <c r="R77" s="55">
        <v>1192.3</v>
      </c>
      <c r="S77" s="55">
        <v>2991</v>
      </c>
      <c r="T77" s="254" t="s">
        <v>761</v>
      </c>
      <c r="U77" s="254">
        <v>5680</v>
      </c>
      <c r="V77" s="254">
        <v>2201</v>
      </c>
      <c r="W77" s="254">
        <v>80</v>
      </c>
      <c r="X77" s="254">
        <v>0</v>
      </c>
      <c r="Y77" s="254">
        <v>0</v>
      </c>
    </row>
    <row r="78" spans="1:25" x14ac:dyDescent="0.35">
      <c r="A78" s="52">
        <v>13726</v>
      </c>
      <c r="B78" s="253">
        <v>44374</v>
      </c>
      <c r="C78" s="254" t="s">
        <v>180</v>
      </c>
      <c r="D78" s="52" t="s">
        <v>735</v>
      </c>
      <c r="E78" s="54">
        <v>11.1</v>
      </c>
      <c r="F78" s="53">
        <v>0</v>
      </c>
      <c r="G78" s="54">
        <v>4.5</v>
      </c>
      <c r="H78" s="54">
        <v>1.8</v>
      </c>
      <c r="I78" s="54">
        <v>1</v>
      </c>
      <c r="J78" s="54">
        <v>0.1</v>
      </c>
      <c r="K78" s="54">
        <v>0</v>
      </c>
      <c r="L78" s="54">
        <v>0</v>
      </c>
      <c r="M78" s="54">
        <v>0</v>
      </c>
      <c r="N78" s="54">
        <v>0.2</v>
      </c>
      <c r="O78" s="54">
        <v>3.1</v>
      </c>
      <c r="P78" s="54">
        <v>1220.3</v>
      </c>
      <c r="Q78" s="54">
        <v>10.8</v>
      </c>
      <c r="R78" s="54">
        <v>1142.8</v>
      </c>
      <c r="S78" s="255">
        <v>2859.9</v>
      </c>
      <c r="T78" s="254" t="s">
        <v>762</v>
      </c>
      <c r="U78" s="254">
        <v>46266</v>
      </c>
      <c r="V78" s="254">
        <v>12723</v>
      </c>
      <c r="W78" s="254">
        <v>218</v>
      </c>
      <c r="X78" s="254">
        <v>0</v>
      </c>
      <c r="Y78" s="254">
        <v>0</v>
      </c>
    </row>
    <row r="79" spans="1:25" x14ac:dyDescent="0.35">
      <c r="A79" s="52">
        <v>13727</v>
      </c>
      <c r="B79" s="253">
        <v>44375</v>
      </c>
      <c r="C79" s="254" t="s">
        <v>185</v>
      </c>
      <c r="D79" s="52" t="s">
        <v>723</v>
      </c>
      <c r="E79" s="54">
        <v>15.3</v>
      </c>
      <c r="F79" s="53">
        <v>0</v>
      </c>
      <c r="G79" s="55">
        <v>9.6</v>
      </c>
      <c r="H79" s="55">
        <v>1.3</v>
      </c>
      <c r="I79" s="55">
        <v>1.3</v>
      </c>
      <c r="J79" s="55">
        <v>0</v>
      </c>
      <c r="K79" s="55">
        <v>0</v>
      </c>
      <c r="L79" s="55">
        <v>0</v>
      </c>
      <c r="M79" s="55">
        <v>0</v>
      </c>
      <c r="N79" s="55">
        <v>1.7</v>
      </c>
      <c r="O79" s="55">
        <v>1.4</v>
      </c>
      <c r="P79" s="55">
        <v>1322.4</v>
      </c>
      <c r="Q79" s="55">
        <v>443</v>
      </c>
      <c r="R79" s="55">
        <v>1139.5999999999999</v>
      </c>
      <c r="S79" s="55">
        <v>2128.9</v>
      </c>
      <c r="T79" s="254" t="s">
        <v>748</v>
      </c>
      <c r="U79" s="254">
        <v>83619</v>
      </c>
      <c r="V79" s="254">
        <v>26481</v>
      </c>
      <c r="W79" s="254">
        <v>250</v>
      </c>
      <c r="X79" s="254">
        <v>0</v>
      </c>
      <c r="Y79" s="254">
        <v>0</v>
      </c>
    </row>
    <row r="80" spans="1:25" x14ac:dyDescent="0.35">
      <c r="A80" s="52">
        <v>13728</v>
      </c>
      <c r="B80" s="253">
        <v>44375</v>
      </c>
      <c r="C80" s="254" t="s">
        <v>184</v>
      </c>
      <c r="D80" s="52" t="s">
        <v>733</v>
      </c>
      <c r="E80" s="54">
        <v>6.1</v>
      </c>
      <c r="F80" s="53">
        <v>0</v>
      </c>
      <c r="G80" s="54">
        <v>4.4000000000000004</v>
      </c>
      <c r="H80" s="54">
        <v>1.7</v>
      </c>
      <c r="I80" s="54">
        <v>1</v>
      </c>
      <c r="J80" s="54">
        <v>0</v>
      </c>
      <c r="K80" s="54">
        <v>0</v>
      </c>
      <c r="L80" s="54">
        <v>0.1</v>
      </c>
      <c r="M80" s="54">
        <v>0</v>
      </c>
      <c r="N80" s="54">
        <v>0.1</v>
      </c>
      <c r="O80" s="54">
        <v>3</v>
      </c>
      <c r="P80" s="54">
        <v>1224.0999999999999</v>
      </c>
      <c r="Q80" s="54">
        <v>11.3</v>
      </c>
      <c r="R80" s="54">
        <v>1135.4000000000001</v>
      </c>
      <c r="S80" s="255">
        <v>2826.1</v>
      </c>
      <c r="T80" s="254" t="s">
        <v>745</v>
      </c>
      <c r="U80" s="254">
        <v>5103</v>
      </c>
      <c r="V80" s="254">
        <v>1491</v>
      </c>
      <c r="W80" s="254">
        <v>20</v>
      </c>
      <c r="X80" s="254">
        <v>0</v>
      </c>
      <c r="Y80" s="254">
        <v>0</v>
      </c>
    </row>
    <row r="81" spans="1:25" x14ac:dyDescent="0.35">
      <c r="A81" s="52">
        <v>13729</v>
      </c>
      <c r="B81" s="253">
        <v>44375</v>
      </c>
      <c r="C81" s="254" t="s">
        <v>202</v>
      </c>
      <c r="D81" s="52" t="s">
        <v>735</v>
      </c>
      <c r="E81" s="54">
        <v>11.1</v>
      </c>
      <c r="F81" s="53">
        <v>0</v>
      </c>
      <c r="G81" s="55">
        <v>3.8</v>
      </c>
      <c r="H81" s="55">
        <v>1.6</v>
      </c>
      <c r="I81" s="55">
        <v>1</v>
      </c>
      <c r="J81" s="55">
        <v>0</v>
      </c>
      <c r="K81" s="55">
        <v>0</v>
      </c>
      <c r="L81" s="55">
        <v>0</v>
      </c>
      <c r="M81" s="55">
        <v>0</v>
      </c>
      <c r="N81" s="55">
        <v>1.1000000000000001</v>
      </c>
      <c r="O81" s="55">
        <v>3.3</v>
      </c>
      <c r="P81" s="55">
        <v>1247.5999999999999</v>
      </c>
      <c r="Q81" s="55">
        <v>10.199999999999999</v>
      </c>
      <c r="R81" s="55">
        <v>1143.5999999999999</v>
      </c>
      <c r="S81" s="55">
        <v>2919</v>
      </c>
      <c r="T81" s="254" t="s">
        <v>763</v>
      </c>
      <c r="U81" s="254">
        <v>4046</v>
      </c>
      <c r="V81" s="254">
        <v>634</v>
      </c>
      <c r="W81" s="254">
        <v>17</v>
      </c>
      <c r="X81" s="254">
        <v>0</v>
      </c>
      <c r="Y81" s="254">
        <v>0</v>
      </c>
    </row>
    <row r="82" spans="1:25" x14ac:dyDescent="0.35">
      <c r="A82" s="52">
        <v>13730</v>
      </c>
      <c r="B82" s="253">
        <v>44375</v>
      </c>
      <c r="C82" s="254" t="s">
        <v>176</v>
      </c>
      <c r="D82" s="52" t="s">
        <v>723</v>
      </c>
      <c r="E82" s="54">
        <v>15.3</v>
      </c>
      <c r="F82" s="53">
        <v>0</v>
      </c>
      <c r="G82" s="54">
        <v>9.6999999999999993</v>
      </c>
      <c r="H82" s="54">
        <v>1.4</v>
      </c>
      <c r="I82" s="54">
        <v>1.4</v>
      </c>
      <c r="J82" s="54">
        <v>0</v>
      </c>
      <c r="K82" s="54">
        <v>0</v>
      </c>
      <c r="L82" s="54">
        <v>0</v>
      </c>
      <c r="M82" s="54">
        <v>0</v>
      </c>
      <c r="N82" s="54">
        <v>1.7</v>
      </c>
      <c r="O82" s="54">
        <v>1.1000000000000001</v>
      </c>
      <c r="P82" s="54">
        <v>1330.9</v>
      </c>
      <c r="Q82" s="54">
        <v>449.6</v>
      </c>
      <c r="R82" s="54">
        <v>1157.0999999999999</v>
      </c>
      <c r="S82" s="255">
        <v>2154.4</v>
      </c>
      <c r="T82" s="254" t="s">
        <v>764</v>
      </c>
      <c r="U82" s="254">
        <v>102999</v>
      </c>
      <c r="V82" s="254">
        <v>35491</v>
      </c>
      <c r="W82" s="254">
        <v>367</v>
      </c>
      <c r="X82" s="254">
        <v>0</v>
      </c>
      <c r="Y82" s="254">
        <v>0</v>
      </c>
    </row>
    <row r="83" spans="1:25" x14ac:dyDescent="0.35">
      <c r="A83" s="52">
        <v>13731</v>
      </c>
      <c r="B83" s="253">
        <v>44375</v>
      </c>
      <c r="C83" s="254" t="s">
        <v>177</v>
      </c>
      <c r="D83" s="52" t="s">
        <v>733</v>
      </c>
      <c r="E83" s="54">
        <v>6.1</v>
      </c>
      <c r="F83" s="53">
        <v>0</v>
      </c>
      <c r="G83" s="55">
        <v>4.7</v>
      </c>
      <c r="H83" s="55">
        <v>1.9</v>
      </c>
      <c r="I83" s="55">
        <v>1</v>
      </c>
      <c r="J83" s="55">
        <v>0</v>
      </c>
      <c r="K83" s="55">
        <v>0.1</v>
      </c>
      <c r="L83" s="55">
        <v>0</v>
      </c>
      <c r="M83" s="55">
        <v>0</v>
      </c>
      <c r="N83" s="55">
        <v>0.2</v>
      </c>
      <c r="O83" s="55">
        <v>2.9</v>
      </c>
      <c r="P83" s="55">
        <v>1232.5999999999999</v>
      </c>
      <c r="Q83" s="55">
        <v>11.4</v>
      </c>
      <c r="R83" s="55">
        <v>1146.5</v>
      </c>
      <c r="S83" s="55">
        <v>2860.8</v>
      </c>
      <c r="T83" s="254" t="s">
        <v>765</v>
      </c>
      <c r="U83" s="254">
        <v>73225</v>
      </c>
      <c r="V83" s="254">
        <v>28756</v>
      </c>
      <c r="W83" s="254">
        <v>3172</v>
      </c>
      <c r="X83" s="254">
        <v>335</v>
      </c>
      <c r="Y83" s="254">
        <v>40</v>
      </c>
    </row>
    <row r="84" spans="1:25" x14ac:dyDescent="0.35">
      <c r="A84" s="52">
        <v>13947</v>
      </c>
      <c r="B84" s="253">
        <v>44377</v>
      </c>
      <c r="C84" s="254" t="s">
        <v>203</v>
      </c>
      <c r="D84" s="52" t="s">
        <v>720</v>
      </c>
      <c r="E84" s="54">
        <v>6</v>
      </c>
      <c r="F84" s="53">
        <v>0</v>
      </c>
      <c r="G84" s="54">
        <v>3.4</v>
      </c>
      <c r="H84" s="54">
        <v>1.8</v>
      </c>
      <c r="I84" s="54">
        <v>0.9</v>
      </c>
      <c r="J84" s="54">
        <v>0</v>
      </c>
      <c r="K84" s="54">
        <v>0</v>
      </c>
      <c r="L84" s="54">
        <v>0</v>
      </c>
      <c r="M84" s="54">
        <v>0</v>
      </c>
      <c r="N84" s="54">
        <v>0.1</v>
      </c>
      <c r="O84" s="54">
        <v>2.4</v>
      </c>
      <c r="P84" s="54">
        <v>1247.7</v>
      </c>
      <c r="Q84" s="54">
        <v>11.2</v>
      </c>
      <c r="R84" s="54">
        <v>1135.4000000000001</v>
      </c>
      <c r="S84" s="255">
        <v>2871.9</v>
      </c>
      <c r="T84" s="254" t="s">
        <v>743</v>
      </c>
      <c r="U84" s="254">
        <v>3532</v>
      </c>
      <c r="V84" s="254">
        <v>1224</v>
      </c>
      <c r="W84" s="254">
        <v>50</v>
      </c>
      <c r="X84" s="254">
        <v>3</v>
      </c>
      <c r="Y84" s="254">
        <v>0</v>
      </c>
    </row>
    <row r="85" spans="1:25" x14ac:dyDescent="0.35">
      <c r="A85" s="52">
        <v>13948</v>
      </c>
      <c r="B85" s="253">
        <v>44377</v>
      </c>
      <c r="C85" s="254" t="s">
        <v>204</v>
      </c>
      <c r="D85" s="52" t="s">
        <v>709</v>
      </c>
      <c r="E85" s="54">
        <v>15.3</v>
      </c>
      <c r="F85" s="53">
        <v>0</v>
      </c>
      <c r="G85" s="55">
        <v>7.7</v>
      </c>
      <c r="H85" s="55">
        <v>1.2</v>
      </c>
      <c r="I85" s="55">
        <v>1.3</v>
      </c>
      <c r="J85" s="55">
        <v>0</v>
      </c>
      <c r="K85" s="55">
        <v>0</v>
      </c>
      <c r="L85" s="55">
        <v>0</v>
      </c>
      <c r="M85" s="55">
        <v>0</v>
      </c>
      <c r="N85" s="55">
        <v>1.8</v>
      </c>
      <c r="O85" s="55">
        <v>1.1000000000000001</v>
      </c>
      <c r="P85" s="55">
        <v>1278.5</v>
      </c>
      <c r="Q85" s="55">
        <v>430.4</v>
      </c>
      <c r="R85" s="55">
        <v>1092.2</v>
      </c>
      <c r="S85" s="55">
        <v>2074.5</v>
      </c>
      <c r="T85" s="254" t="s">
        <v>718</v>
      </c>
      <c r="U85" s="254">
        <v>77696</v>
      </c>
      <c r="V85" s="254">
        <v>22732</v>
      </c>
      <c r="W85" s="254">
        <v>120</v>
      </c>
      <c r="X85" s="254">
        <v>0</v>
      </c>
      <c r="Y85" s="254">
        <v>0</v>
      </c>
    </row>
    <row r="86" spans="1:25" x14ac:dyDescent="0.35">
      <c r="A86" s="52">
        <v>13949</v>
      </c>
      <c r="B86" s="253">
        <v>44377</v>
      </c>
      <c r="C86" s="254" t="s">
        <v>205</v>
      </c>
      <c r="D86" s="52" t="s">
        <v>735</v>
      </c>
      <c r="E86" s="54">
        <v>11.1</v>
      </c>
      <c r="F86" s="53">
        <v>0</v>
      </c>
      <c r="G86" s="54">
        <v>3</v>
      </c>
      <c r="H86" s="54">
        <v>1.6</v>
      </c>
      <c r="I86" s="54">
        <v>1</v>
      </c>
      <c r="J86" s="54">
        <v>0</v>
      </c>
      <c r="K86" s="54">
        <v>0</v>
      </c>
      <c r="L86" s="54">
        <v>0</v>
      </c>
      <c r="M86" s="54">
        <v>0</v>
      </c>
      <c r="N86" s="54">
        <v>0.4</v>
      </c>
      <c r="O86" s="54">
        <v>1.6</v>
      </c>
      <c r="P86" s="54">
        <v>1201.3</v>
      </c>
      <c r="Q86" s="54">
        <v>12.3</v>
      </c>
      <c r="R86" s="54">
        <v>1100.2</v>
      </c>
      <c r="S86" s="255">
        <v>2795.1</v>
      </c>
      <c r="T86" s="254" t="s">
        <v>730</v>
      </c>
      <c r="U86" s="254">
        <v>3432</v>
      </c>
      <c r="V86" s="254">
        <v>1049</v>
      </c>
      <c r="W86" s="254">
        <v>37</v>
      </c>
      <c r="X86" s="254">
        <v>0</v>
      </c>
      <c r="Y86" s="254">
        <v>0</v>
      </c>
    </row>
    <row r="87" spans="1:25" x14ac:dyDescent="0.35">
      <c r="A87" s="52">
        <v>13950</v>
      </c>
      <c r="B87" s="253">
        <v>44377</v>
      </c>
      <c r="C87" s="254" t="s">
        <v>206</v>
      </c>
      <c r="D87" s="52" t="s">
        <v>735</v>
      </c>
      <c r="E87" s="54">
        <v>11</v>
      </c>
      <c r="F87" s="53">
        <v>0</v>
      </c>
      <c r="G87" s="55">
        <v>3.1</v>
      </c>
      <c r="H87" s="55">
        <v>1.7</v>
      </c>
      <c r="I87" s="55">
        <v>0.9</v>
      </c>
      <c r="J87" s="55">
        <v>0</v>
      </c>
      <c r="K87" s="55">
        <v>0.1</v>
      </c>
      <c r="L87" s="55">
        <v>0</v>
      </c>
      <c r="M87" s="55">
        <v>0</v>
      </c>
      <c r="N87" s="55">
        <v>0.6</v>
      </c>
      <c r="O87" s="55">
        <v>2</v>
      </c>
      <c r="P87" s="55">
        <v>1212.9000000000001</v>
      </c>
      <c r="Q87" s="55">
        <v>10.6</v>
      </c>
      <c r="R87" s="55">
        <v>1110.7</v>
      </c>
      <c r="S87" s="55">
        <v>2835.4</v>
      </c>
      <c r="T87" s="254" t="s">
        <v>766</v>
      </c>
      <c r="U87" s="254">
        <v>1290</v>
      </c>
      <c r="V87" s="254">
        <v>420</v>
      </c>
      <c r="W87" s="254">
        <v>0</v>
      </c>
      <c r="X87" s="254">
        <v>0</v>
      </c>
      <c r="Y87" s="254">
        <v>0</v>
      </c>
    </row>
    <row r="88" spans="1:25" x14ac:dyDescent="0.35">
      <c r="A88" s="52">
        <v>13951</v>
      </c>
      <c r="B88" s="253">
        <v>44377</v>
      </c>
      <c r="C88" s="254" t="s">
        <v>207</v>
      </c>
      <c r="D88" s="52" t="s">
        <v>723</v>
      </c>
      <c r="E88" s="54">
        <v>15.3</v>
      </c>
      <c r="F88" s="53">
        <v>0</v>
      </c>
      <c r="G88" s="54">
        <v>7.8</v>
      </c>
      <c r="H88" s="54">
        <v>1.2</v>
      </c>
      <c r="I88" s="54">
        <v>1.3</v>
      </c>
      <c r="J88" s="54">
        <v>0</v>
      </c>
      <c r="K88" s="54">
        <v>0</v>
      </c>
      <c r="L88" s="54">
        <v>0</v>
      </c>
      <c r="M88" s="54">
        <v>0</v>
      </c>
      <c r="N88" s="54">
        <v>2</v>
      </c>
      <c r="O88" s="54">
        <v>1.4</v>
      </c>
      <c r="P88" s="54">
        <v>1288.8</v>
      </c>
      <c r="Q88" s="54">
        <v>437.9</v>
      </c>
      <c r="R88" s="54">
        <v>1114.8</v>
      </c>
      <c r="S88" s="255">
        <v>2110.1999999999998</v>
      </c>
      <c r="T88" s="254" t="s">
        <v>716</v>
      </c>
      <c r="U88" s="254">
        <v>91880</v>
      </c>
      <c r="V88" s="254">
        <v>26746</v>
      </c>
      <c r="W88" s="254">
        <v>140</v>
      </c>
      <c r="X88" s="254">
        <v>0</v>
      </c>
      <c r="Y88" s="254">
        <v>0</v>
      </c>
    </row>
    <row r="89" spans="1:25" x14ac:dyDescent="0.35">
      <c r="A89" s="52">
        <v>13952</v>
      </c>
      <c r="B89" s="253">
        <v>44377</v>
      </c>
      <c r="C89" s="254" t="s">
        <v>208</v>
      </c>
      <c r="D89" s="52" t="s">
        <v>720</v>
      </c>
      <c r="E89" s="54">
        <v>6.1</v>
      </c>
      <c r="F89" s="53">
        <v>0</v>
      </c>
      <c r="G89" s="55">
        <v>3.4</v>
      </c>
      <c r="H89" s="55">
        <v>1.8</v>
      </c>
      <c r="I89" s="55">
        <v>0.9</v>
      </c>
      <c r="J89" s="55">
        <v>0</v>
      </c>
      <c r="K89" s="55">
        <v>0</v>
      </c>
      <c r="L89" s="55">
        <v>0.1</v>
      </c>
      <c r="M89" s="55">
        <v>0</v>
      </c>
      <c r="N89" s="55">
        <v>0</v>
      </c>
      <c r="O89" s="55">
        <v>2.7</v>
      </c>
      <c r="P89" s="55">
        <v>1229.3</v>
      </c>
      <c r="Q89" s="55">
        <v>11.3</v>
      </c>
      <c r="R89" s="55">
        <v>1115.7</v>
      </c>
      <c r="S89" s="55">
        <v>2832.5</v>
      </c>
      <c r="T89" s="254" t="s">
        <v>747</v>
      </c>
      <c r="U89" s="254">
        <v>9062</v>
      </c>
      <c r="V89" s="254">
        <v>1970</v>
      </c>
      <c r="W89" s="254">
        <v>50</v>
      </c>
      <c r="X89" s="254">
        <v>0</v>
      </c>
      <c r="Y89" s="254">
        <v>0</v>
      </c>
    </row>
    <row r="90" spans="1:25" x14ac:dyDescent="0.35">
      <c r="A90" s="52">
        <v>9807</v>
      </c>
      <c r="B90" s="253">
        <v>44382</v>
      </c>
      <c r="C90" s="254" t="s">
        <v>209</v>
      </c>
      <c r="D90" s="52" t="s">
        <v>720</v>
      </c>
      <c r="E90" s="54">
        <v>6.1</v>
      </c>
      <c r="F90" s="53">
        <v>0</v>
      </c>
      <c r="G90" s="55">
        <v>4.2</v>
      </c>
      <c r="H90" s="55">
        <v>1.5</v>
      </c>
      <c r="I90" s="55">
        <v>0.9</v>
      </c>
      <c r="J90" s="55">
        <v>0</v>
      </c>
      <c r="K90" s="55">
        <v>0</v>
      </c>
      <c r="L90" s="55">
        <v>0</v>
      </c>
      <c r="M90" s="55">
        <v>0</v>
      </c>
      <c r="N90" s="55">
        <v>1.8</v>
      </c>
      <c r="O90" s="55">
        <v>2.4</v>
      </c>
      <c r="P90" s="55">
        <v>1117</v>
      </c>
      <c r="Q90" s="55">
        <v>11</v>
      </c>
      <c r="R90" s="55">
        <v>1171.7</v>
      </c>
      <c r="S90" s="55">
        <v>2954.2</v>
      </c>
      <c r="T90" s="254" t="s">
        <v>721</v>
      </c>
      <c r="U90" s="254">
        <v>3665</v>
      </c>
      <c r="V90" s="254">
        <v>1223</v>
      </c>
      <c r="W90" s="254">
        <v>13</v>
      </c>
      <c r="X90" s="254">
        <v>0</v>
      </c>
      <c r="Y90" s="254">
        <v>0</v>
      </c>
    </row>
    <row r="91" spans="1:25" x14ac:dyDescent="0.35">
      <c r="A91" s="52">
        <v>9808</v>
      </c>
      <c r="B91" s="253">
        <v>44382</v>
      </c>
      <c r="C91" s="254" t="s">
        <v>210</v>
      </c>
      <c r="D91" s="52" t="s">
        <v>723</v>
      </c>
      <c r="E91" s="54">
        <v>15.6</v>
      </c>
      <c r="F91" s="53">
        <v>0</v>
      </c>
      <c r="G91" s="54">
        <v>7.8</v>
      </c>
      <c r="H91" s="54">
        <v>1.4742932200000001</v>
      </c>
      <c r="I91" s="54">
        <v>0.76539081600000003</v>
      </c>
      <c r="J91" s="54">
        <v>-9.4859337529999994E-3</v>
      </c>
      <c r="K91" s="54">
        <v>0</v>
      </c>
      <c r="L91" s="54">
        <v>7.8588028690000006E-2</v>
      </c>
      <c r="M91" s="54">
        <v>0</v>
      </c>
      <c r="N91" s="54">
        <v>1.0245288210000001</v>
      </c>
      <c r="O91" s="54">
        <v>0.2520672954</v>
      </c>
      <c r="P91" s="54">
        <v>1434.8665599999999</v>
      </c>
      <c r="Q91" s="54">
        <v>451.05541640000001</v>
      </c>
      <c r="R91" s="54">
        <v>1552.6018409999999</v>
      </c>
      <c r="S91" s="255">
        <v>2868.6300630000001</v>
      </c>
      <c r="T91" s="254" t="s">
        <v>718</v>
      </c>
      <c r="U91" s="254">
        <v>70690</v>
      </c>
      <c r="V91" s="254">
        <v>20511</v>
      </c>
      <c r="W91" s="254">
        <v>144</v>
      </c>
      <c r="X91" s="254">
        <v>0</v>
      </c>
      <c r="Y91" s="254">
        <v>0</v>
      </c>
    </row>
    <row r="92" spans="1:25" x14ac:dyDescent="0.35">
      <c r="A92" s="52">
        <v>9809</v>
      </c>
      <c r="B92" s="253">
        <v>44382</v>
      </c>
      <c r="C92" s="254" t="s">
        <v>211</v>
      </c>
      <c r="D92" s="52" t="s">
        <v>720</v>
      </c>
      <c r="E92" s="54">
        <v>6.1</v>
      </c>
      <c r="F92" s="53">
        <v>0</v>
      </c>
      <c r="G92" s="55">
        <v>4.3</v>
      </c>
      <c r="H92" s="55">
        <v>1.6</v>
      </c>
      <c r="I92" s="55">
        <v>0.9</v>
      </c>
      <c r="J92" s="55">
        <v>0</v>
      </c>
      <c r="K92" s="55">
        <v>0.2</v>
      </c>
      <c r="L92" s="55">
        <v>0</v>
      </c>
      <c r="M92" s="55">
        <v>0</v>
      </c>
      <c r="N92" s="55">
        <v>1.5</v>
      </c>
      <c r="O92" s="55">
        <v>2.5</v>
      </c>
      <c r="P92" s="55">
        <v>1145.0999999999999</v>
      </c>
      <c r="Q92" s="55">
        <v>12</v>
      </c>
      <c r="R92" s="55">
        <v>1200.5999999999999</v>
      </c>
      <c r="S92" s="55">
        <v>3056.1</v>
      </c>
      <c r="T92" s="254" t="s">
        <v>725</v>
      </c>
      <c r="U92" s="254">
        <v>3188</v>
      </c>
      <c r="V92" s="254">
        <v>1315</v>
      </c>
      <c r="W92" s="254">
        <v>50</v>
      </c>
      <c r="X92" s="254">
        <v>0</v>
      </c>
      <c r="Y92" s="254">
        <v>0</v>
      </c>
    </row>
    <row r="93" spans="1:25" x14ac:dyDescent="0.35">
      <c r="A93" s="52">
        <v>9810</v>
      </c>
      <c r="B93" s="253">
        <v>44382</v>
      </c>
      <c r="C93" s="254" t="s">
        <v>212</v>
      </c>
      <c r="D93" s="52" t="s">
        <v>723</v>
      </c>
      <c r="E93" s="54">
        <v>15.5</v>
      </c>
      <c r="F93" s="53">
        <v>0</v>
      </c>
      <c r="G93" s="54">
        <v>7.7</v>
      </c>
      <c r="H93" s="54">
        <v>1.481861825</v>
      </c>
      <c r="I93" s="54">
        <v>0.78286653090000002</v>
      </c>
      <c r="J93" s="54">
        <v>-1.507757054E-2</v>
      </c>
      <c r="K93" s="54">
        <v>0</v>
      </c>
      <c r="L93" s="54">
        <v>2.243348723E-2</v>
      </c>
      <c r="M93" s="54">
        <v>0</v>
      </c>
      <c r="N93" s="54">
        <v>1.060554974</v>
      </c>
      <c r="O93" s="54">
        <v>0.33872978380000002</v>
      </c>
      <c r="P93" s="54">
        <v>1435.0860230000001</v>
      </c>
      <c r="Q93" s="54">
        <v>453.11836290000002</v>
      </c>
      <c r="R93" s="54">
        <v>1547.125722</v>
      </c>
      <c r="S93" s="255">
        <v>2860.9580460000002</v>
      </c>
      <c r="T93" s="254" t="s">
        <v>727</v>
      </c>
      <c r="U93" s="254">
        <v>73902</v>
      </c>
      <c r="V93" s="254">
        <v>24659</v>
      </c>
      <c r="W93" s="254">
        <v>70</v>
      </c>
      <c r="X93" s="254">
        <v>0</v>
      </c>
      <c r="Y93" s="254">
        <v>0</v>
      </c>
    </row>
    <row r="94" spans="1:25" x14ac:dyDescent="0.35">
      <c r="A94" s="52">
        <v>9811</v>
      </c>
      <c r="B94" s="253">
        <v>44382</v>
      </c>
      <c r="C94" s="254" t="s">
        <v>213</v>
      </c>
      <c r="D94" s="52" t="s">
        <v>720</v>
      </c>
      <c r="E94" s="54">
        <v>6</v>
      </c>
      <c r="F94" s="53">
        <v>0</v>
      </c>
      <c r="G94" s="54">
        <v>5.2</v>
      </c>
      <c r="H94" s="54">
        <v>2</v>
      </c>
      <c r="I94" s="54">
        <v>1.1000000000000001</v>
      </c>
      <c r="J94" s="54">
        <v>0</v>
      </c>
      <c r="K94" s="54">
        <v>0</v>
      </c>
      <c r="L94" s="54">
        <v>0</v>
      </c>
      <c r="M94" s="54">
        <v>0</v>
      </c>
      <c r="N94" s="54">
        <v>1</v>
      </c>
      <c r="O94" s="54">
        <v>2.2999999999999998</v>
      </c>
      <c r="P94" s="54">
        <v>1071.5999999999999</v>
      </c>
      <c r="Q94" s="54">
        <v>11.9</v>
      </c>
      <c r="R94" s="54">
        <v>1222.4000000000001</v>
      </c>
      <c r="S94" s="255">
        <v>3038.1</v>
      </c>
      <c r="T94" s="254" t="s">
        <v>730</v>
      </c>
      <c r="U94" s="254">
        <v>3409</v>
      </c>
      <c r="V94" s="254">
        <v>1067</v>
      </c>
      <c r="W94" s="254">
        <v>23</v>
      </c>
      <c r="X94" s="254">
        <v>0</v>
      </c>
      <c r="Y94" s="254">
        <v>0</v>
      </c>
    </row>
    <row r="95" spans="1:25" x14ac:dyDescent="0.35">
      <c r="A95" s="52">
        <v>17059</v>
      </c>
      <c r="B95" s="253">
        <v>44385</v>
      </c>
      <c r="C95" s="254" t="s">
        <v>173</v>
      </c>
      <c r="D95" s="52" t="s">
        <v>709</v>
      </c>
      <c r="E95" s="54">
        <v>15.1</v>
      </c>
      <c r="F95" s="53">
        <v>0</v>
      </c>
      <c r="G95" s="54">
        <v>7.8</v>
      </c>
      <c r="H95" s="54">
        <v>1.3</v>
      </c>
      <c r="I95" s="54">
        <v>1.3</v>
      </c>
      <c r="J95" s="54">
        <v>0</v>
      </c>
      <c r="K95" s="54">
        <v>0</v>
      </c>
      <c r="L95" s="54">
        <v>0</v>
      </c>
      <c r="M95" s="54">
        <v>0</v>
      </c>
      <c r="N95" s="54">
        <v>1.5</v>
      </c>
      <c r="O95" s="54">
        <v>0</v>
      </c>
      <c r="P95" s="54">
        <v>1299.2</v>
      </c>
      <c r="Q95" s="54">
        <v>453</v>
      </c>
      <c r="R95" s="54">
        <v>1146.9000000000001</v>
      </c>
      <c r="S95" s="255">
        <v>2147.6</v>
      </c>
      <c r="T95" s="254" t="s">
        <v>748</v>
      </c>
      <c r="U95" s="254">
        <v>91406</v>
      </c>
      <c r="V95" s="254">
        <v>30822</v>
      </c>
      <c r="W95" s="254">
        <v>217</v>
      </c>
      <c r="X95" s="254">
        <v>0</v>
      </c>
      <c r="Y95" s="254">
        <v>0</v>
      </c>
    </row>
    <row r="96" spans="1:25" x14ac:dyDescent="0.35">
      <c r="A96" s="52">
        <v>17060</v>
      </c>
      <c r="B96" s="253">
        <v>44385</v>
      </c>
      <c r="C96" s="254" t="s">
        <v>174</v>
      </c>
      <c r="D96" s="52" t="s">
        <v>720</v>
      </c>
      <c r="E96" s="54">
        <v>6.1</v>
      </c>
      <c r="F96" s="53">
        <v>0</v>
      </c>
      <c r="G96" s="55">
        <v>3.8</v>
      </c>
      <c r="H96" s="55">
        <v>1.6</v>
      </c>
      <c r="I96" s="55">
        <v>0.9</v>
      </c>
      <c r="J96" s="55">
        <v>0</v>
      </c>
      <c r="K96" s="55">
        <v>0</v>
      </c>
      <c r="L96" s="55">
        <v>0</v>
      </c>
      <c r="M96" s="55">
        <v>0</v>
      </c>
      <c r="N96" s="55">
        <v>0.1</v>
      </c>
      <c r="O96" s="55">
        <v>1.7</v>
      </c>
      <c r="P96" s="55">
        <v>1209.8</v>
      </c>
      <c r="Q96" s="55">
        <v>12.6</v>
      </c>
      <c r="R96" s="55">
        <v>1148.2</v>
      </c>
      <c r="S96" s="55">
        <v>2889.3</v>
      </c>
      <c r="T96" s="254" t="s">
        <v>743</v>
      </c>
      <c r="U96" s="254">
        <v>3795</v>
      </c>
      <c r="V96" s="254">
        <v>1219</v>
      </c>
      <c r="W96" s="254">
        <v>63</v>
      </c>
      <c r="X96" s="254">
        <v>3</v>
      </c>
      <c r="Y96" s="254">
        <v>0</v>
      </c>
    </row>
    <row r="97" spans="1:25" x14ac:dyDescent="0.35">
      <c r="A97" s="52">
        <v>17061</v>
      </c>
      <c r="B97" s="253">
        <v>44385</v>
      </c>
      <c r="C97" s="254" t="s">
        <v>175</v>
      </c>
      <c r="D97" s="52" t="s">
        <v>720</v>
      </c>
      <c r="E97" s="54">
        <v>6</v>
      </c>
      <c r="F97" s="53">
        <v>0</v>
      </c>
      <c r="G97" s="54">
        <v>3.6</v>
      </c>
      <c r="H97" s="54">
        <v>1.6</v>
      </c>
      <c r="I97" s="54">
        <v>1</v>
      </c>
      <c r="J97" s="54">
        <v>0</v>
      </c>
      <c r="K97" s="54">
        <v>0</v>
      </c>
      <c r="L97" s="54">
        <v>0</v>
      </c>
      <c r="M97" s="54">
        <v>0.1</v>
      </c>
      <c r="N97" s="54">
        <v>0.2</v>
      </c>
      <c r="O97" s="54">
        <v>1.6</v>
      </c>
      <c r="P97" s="54">
        <v>1196.7</v>
      </c>
      <c r="Q97" s="54">
        <v>11.9</v>
      </c>
      <c r="R97" s="54">
        <v>1145.5999999999999</v>
      </c>
      <c r="S97" s="255">
        <v>2865.4</v>
      </c>
      <c r="T97" s="254" t="s">
        <v>736</v>
      </c>
      <c r="U97" s="254">
        <v>3649</v>
      </c>
      <c r="V97" s="254">
        <v>1708</v>
      </c>
      <c r="W97" s="254">
        <v>33</v>
      </c>
      <c r="X97" s="254">
        <v>0</v>
      </c>
      <c r="Y97" s="254">
        <v>0</v>
      </c>
    </row>
    <row r="98" spans="1:25" x14ac:dyDescent="0.35">
      <c r="A98" s="52">
        <v>19571</v>
      </c>
      <c r="B98" s="253">
        <v>44386</v>
      </c>
      <c r="C98" s="254" t="s">
        <v>184</v>
      </c>
      <c r="D98" s="52" t="s">
        <v>720</v>
      </c>
      <c r="E98" s="54">
        <v>5.9</v>
      </c>
      <c r="F98" s="53">
        <v>0</v>
      </c>
      <c r="G98" s="55">
        <v>3.7</v>
      </c>
      <c r="H98" s="55">
        <v>1.5</v>
      </c>
      <c r="I98" s="55">
        <v>1.2</v>
      </c>
      <c r="J98" s="55">
        <v>0</v>
      </c>
      <c r="K98" s="55">
        <v>0</v>
      </c>
      <c r="L98" s="55">
        <v>0</v>
      </c>
      <c r="M98" s="55">
        <v>0</v>
      </c>
      <c r="N98" s="55">
        <v>0.4</v>
      </c>
      <c r="O98" s="55">
        <v>1.7</v>
      </c>
      <c r="P98" s="55">
        <v>1176.4000000000001</v>
      </c>
      <c r="Q98" s="55">
        <v>11.9</v>
      </c>
      <c r="R98" s="55">
        <v>1135.9000000000001</v>
      </c>
      <c r="S98" s="55">
        <v>2898.3</v>
      </c>
      <c r="T98" s="254" t="s">
        <v>747</v>
      </c>
      <c r="U98" s="254">
        <v>5554</v>
      </c>
      <c r="V98" s="254">
        <v>2275</v>
      </c>
      <c r="W98" s="254">
        <v>50</v>
      </c>
      <c r="X98" s="254">
        <v>0</v>
      </c>
      <c r="Y98" s="254">
        <v>0</v>
      </c>
    </row>
    <row r="99" spans="1:25" x14ac:dyDescent="0.35">
      <c r="A99" s="52">
        <v>19572</v>
      </c>
      <c r="B99" s="253">
        <v>44386</v>
      </c>
      <c r="C99" s="254" t="s">
        <v>176</v>
      </c>
      <c r="D99" s="52" t="s">
        <v>709</v>
      </c>
      <c r="E99" s="54">
        <v>15</v>
      </c>
      <c r="F99" s="53">
        <v>0</v>
      </c>
      <c r="G99" s="55">
        <v>7.3</v>
      </c>
      <c r="H99" s="55">
        <v>1.2</v>
      </c>
      <c r="I99" s="55">
        <v>1.1000000000000001</v>
      </c>
      <c r="J99" s="55">
        <v>0.1</v>
      </c>
      <c r="K99" s="55">
        <v>0</v>
      </c>
      <c r="L99" s="55">
        <v>0</v>
      </c>
      <c r="M99" s="55">
        <v>0</v>
      </c>
      <c r="N99" s="55">
        <v>1.8</v>
      </c>
      <c r="O99" s="55">
        <v>0.7</v>
      </c>
      <c r="P99" s="55">
        <v>1237.4000000000001</v>
      </c>
      <c r="Q99" s="55">
        <v>434.6</v>
      </c>
      <c r="R99" s="55">
        <v>1123.2</v>
      </c>
      <c r="S99" s="55">
        <v>2062.4</v>
      </c>
      <c r="T99" s="254" t="s">
        <v>748</v>
      </c>
      <c r="U99" s="254">
        <v>102094</v>
      </c>
      <c r="V99" s="254">
        <v>33215</v>
      </c>
      <c r="W99" s="254">
        <v>274</v>
      </c>
      <c r="X99" s="254">
        <v>0</v>
      </c>
      <c r="Y99" s="254">
        <v>0</v>
      </c>
    </row>
    <row r="100" spans="1:25" x14ac:dyDescent="0.35">
      <c r="A100" s="52">
        <v>19573</v>
      </c>
      <c r="B100" s="253">
        <v>44386</v>
      </c>
      <c r="C100" s="254" t="s">
        <v>177</v>
      </c>
      <c r="D100" s="52" t="s">
        <v>720</v>
      </c>
      <c r="E100" s="54">
        <v>6</v>
      </c>
      <c r="F100" s="53">
        <v>0</v>
      </c>
      <c r="G100" s="55">
        <v>3.4</v>
      </c>
      <c r="H100" s="55">
        <v>1.7</v>
      </c>
      <c r="I100" s="55">
        <v>0.8</v>
      </c>
      <c r="J100" s="55">
        <v>0</v>
      </c>
      <c r="K100" s="55">
        <v>0.1</v>
      </c>
      <c r="L100" s="55">
        <v>0</v>
      </c>
      <c r="M100" s="55">
        <v>0</v>
      </c>
      <c r="N100" s="55">
        <v>0</v>
      </c>
      <c r="O100" s="55">
        <v>1.8</v>
      </c>
      <c r="P100" s="55">
        <v>1174.5999999999999</v>
      </c>
      <c r="Q100" s="55">
        <v>11.6</v>
      </c>
      <c r="R100" s="55">
        <v>1134.8</v>
      </c>
      <c r="S100" s="55">
        <v>2839.3</v>
      </c>
      <c r="T100" s="254" t="s">
        <v>781</v>
      </c>
      <c r="U100" s="254">
        <v>12254</v>
      </c>
      <c r="V100" s="254">
        <v>1950</v>
      </c>
      <c r="W100" s="254">
        <v>17</v>
      </c>
      <c r="X100" s="254">
        <v>0</v>
      </c>
      <c r="Y100" s="254">
        <v>0</v>
      </c>
    </row>
    <row r="101" spans="1:25" x14ac:dyDescent="0.35">
      <c r="A101" s="52">
        <v>15252</v>
      </c>
      <c r="B101" s="253">
        <v>44393</v>
      </c>
      <c r="C101" s="254" t="s">
        <v>162</v>
      </c>
      <c r="D101" s="52" t="s">
        <v>746</v>
      </c>
      <c r="E101" s="54">
        <v>5.9</v>
      </c>
      <c r="F101" s="53">
        <v>0</v>
      </c>
      <c r="G101" s="55">
        <v>4.7</v>
      </c>
      <c r="H101" s="55">
        <v>1.9</v>
      </c>
      <c r="I101" s="55">
        <v>1.1000000000000001</v>
      </c>
      <c r="J101" s="55">
        <v>0</v>
      </c>
      <c r="K101" s="55">
        <v>0</v>
      </c>
      <c r="L101" s="55">
        <v>0</v>
      </c>
      <c r="M101" s="55">
        <v>0</v>
      </c>
      <c r="N101" s="55">
        <v>0.9</v>
      </c>
      <c r="O101" s="55">
        <v>1.6</v>
      </c>
      <c r="P101" s="55">
        <v>1307</v>
      </c>
      <c r="Q101" s="55">
        <v>15.3</v>
      </c>
      <c r="R101" s="55">
        <v>1231.5999999999999</v>
      </c>
      <c r="S101" s="55">
        <v>3215.2</v>
      </c>
      <c r="T101" s="254" t="s">
        <v>730</v>
      </c>
      <c r="U101" s="254">
        <v>3668</v>
      </c>
      <c r="V101" s="254">
        <v>1192</v>
      </c>
      <c r="W101" s="254">
        <v>23</v>
      </c>
      <c r="X101" s="254">
        <v>0</v>
      </c>
      <c r="Y101" s="254">
        <v>0</v>
      </c>
    </row>
    <row r="102" spans="1:25" x14ac:dyDescent="0.35">
      <c r="A102" s="52">
        <v>15253</v>
      </c>
      <c r="B102" s="253">
        <v>44393</v>
      </c>
      <c r="C102" s="254" t="s">
        <v>163</v>
      </c>
      <c r="D102" s="52" t="s">
        <v>723</v>
      </c>
      <c r="E102" s="54">
        <v>15.1</v>
      </c>
      <c r="F102" s="53">
        <v>0</v>
      </c>
      <c r="G102" s="54">
        <v>9.1</v>
      </c>
      <c r="H102" s="54">
        <v>1.5</v>
      </c>
      <c r="I102" s="54">
        <v>1.2</v>
      </c>
      <c r="J102" s="54">
        <v>0</v>
      </c>
      <c r="K102" s="54">
        <v>0</v>
      </c>
      <c r="L102" s="54">
        <v>0</v>
      </c>
      <c r="M102" s="54">
        <v>0</v>
      </c>
      <c r="N102" s="54">
        <v>1.7</v>
      </c>
      <c r="O102" s="54">
        <v>1.2</v>
      </c>
      <c r="P102" s="54">
        <v>1412.6</v>
      </c>
      <c r="Q102" s="54">
        <v>497.6</v>
      </c>
      <c r="R102" s="54">
        <v>1229.5999999999999</v>
      </c>
      <c r="S102" s="255">
        <v>2416.4</v>
      </c>
      <c r="T102" s="254" t="s">
        <v>716</v>
      </c>
      <c r="U102" s="254">
        <v>85585</v>
      </c>
      <c r="V102" s="254">
        <v>26975</v>
      </c>
      <c r="W102" s="254">
        <v>133</v>
      </c>
      <c r="X102" s="254">
        <v>0</v>
      </c>
      <c r="Y102" s="254">
        <v>0</v>
      </c>
    </row>
    <row r="103" spans="1:25" x14ac:dyDescent="0.35">
      <c r="A103" s="52">
        <v>15254</v>
      </c>
      <c r="B103" s="253">
        <v>44393</v>
      </c>
      <c r="C103" s="254" t="s">
        <v>164</v>
      </c>
      <c r="D103" s="52" t="s">
        <v>723</v>
      </c>
      <c r="E103" s="54">
        <v>15</v>
      </c>
      <c r="F103" s="53">
        <v>0</v>
      </c>
      <c r="G103" s="55">
        <v>9.1999999999999993</v>
      </c>
      <c r="H103" s="55">
        <v>1.4</v>
      </c>
      <c r="I103" s="55">
        <v>1.4</v>
      </c>
      <c r="J103" s="55">
        <v>0</v>
      </c>
      <c r="K103" s="55">
        <v>0</v>
      </c>
      <c r="L103" s="55">
        <v>0</v>
      </c>
      <c r="M103" s="55">
        <v>0</v>
      </c>
      <c r="N103" s="55">
        <v>1.4</v>
      </c>
      <c r="O103" s="55">
        <v>1.2</v>
      </c>
      <c r="P103" s="55">
        <v>1364.4</v>
      </c>
      <c r="Q103" s="55">
        <v>481.1</v>
      </c>
      <c r="R103" s="55">
        <v>1190.3</v>
      </c>
      <c r="S103" s="55">
        <v>2338.8000000000002</v>
      </c>
      <c r="T103" s="254" t="s">
        <v>748</v>
      </c>
      <c r="U103" s="254">
        <v>93315</v>
      </c>
      <c r="V103" s="254">
        <v>31962</v>
      </c>
      <c r="W103" s="254">
        <v>260</v>
      </c>
      <c r="X103" s="254">
        <v>0</v>
      </c>
      <c r="Y103" s="254">
        <v>0</v>
      </c>
    </row>
    <row r="104" spans="1:25" x14ac:dyDescent="0.35">
      <c r="A104" s="52">
        <v>15255</v>
      </c>
      <c r="B104" s="253">
        <v>44394</v>
      </c>
      <c r="C104" s="254" t="s">
        <v>172</v>
      </c>
      <c r="D104" s="52" t="s">
        <v>746</v>
      </c>
      <c r="E104" s="54">
        <v>5.9</v>
      </c>
      <c r="F104" s="53">
        <v>0</v>
      </c>
      <c r="G104" s="54">
        <v>4.4000000000000004</v>
      </c>
      <c r="H104" s="54">
        <v>1.8</v>
      </c>
      <c r="I104" s="54">
        <v>1</v>
      </c>
      <c r="J104" s="54">
        <v>0</v>
      </c>
      <c r="K104" s="54">
        <v>0</v>
      </c>
      <c r="L104" s="54">
        <v>0</v>
      </c>
      <c r="M104" s="54">
        <v>0</v>
      </c>
      <c r="N104" s="54">
        <v>0.8</v>
      </c>
      <c r="O104" s="54">
        <v>1.9</v>
      </c>
      <c r="P104" s="54">
        <v>1278.5</v>
      </c>
      <c r="Q104" s="54">
        <v>12.4</v>
      </c>
      <c r="R104" s="54">
        <v>1197.3</v>
      </c>
      <c r="S104" s="255">
        <v>3111.9</v>
      </c>
      <c r="T104" s="254" t="s">
        <v>725</v>
      </c>
      <c r="U104" s="254">
        <v>4834</v>
      </c>
      <c r="V104" s="254">
        <v>1555</v>
      </c>
      <c r="W104" s="254">
        <v>53</v>
      </c>
      <c r="X104" s="254">
        <v>0</v>
      </c>
      <c r="Y104" s="254">
        <v>0</v>
      </c>
    </row>
    <row r="105" spans="1:25" x14ac:dyDescent="0.35">
      <c r="A105" s="52">
        <v>15256</v>
      </c>
      <c r="B105" s="253">
        <v>44394</v>
      </c>
      <c r="C105" s="254" t="s">
        <v>171</v>
      </c>
      <c r="D105" s="52" t="s">
        <v>723</v>
      </c>
      <c r="E105" s="54">
        <v>15.2</v>
      </c>
      <c r="F105" s="53">
        <v>0</v>
      </c>
      <c r="G105" s="55">
        <v>9.4</v>
      </c>
      <c r="H105" s="55">
        <v>1.4</v>
      </c>
      <c r="I105" s="55">
        <v>1.3</v>
      </c>
      <c r="J105" s="55">
        <v>0</v>
      </c>
      <c r="K105" s="55">
        <v>0</v>
      </c>
      <c r="L105" s="55">
        <v>0</v>
      </c>
      <c r="M105" s="55">
        <v>0</v>
      </c>
      <c r="N105" s="55">
        <v>1.3</v>
      </c>
      <c r="O105" s="55">
        <v>1.4</v>
      </c>
      <c r="P105" s="55">
        <v>1371.6</v>
      </c>
      <c r="Q105" s="55">
        <v>484.9</v>
      </c>
      <c r="R105" s="55">
        <v>1205.9000000000001</v>
      </c>
      <c r="S105" s="55">
        <v>2348.1999999999998</v>
      </c>
      <c r="T105" s="254" t="s">
        <v>716</v>
      </c>
      <c r="U105" s="254">
        <v>84728</v>
      </c>
      <c r="V105" s="254">
        <v>25650</v>
      </c>
      <c r="W105" s="254">
        <v>113</v>
      </c>
      <c r="X105" s="254">
        <v>0</v>
      </c>
      <c r="Y105" s="254">
        <v>0</v>
      </c>
    </row>
    <row r="106" spans="1:25" x14ac:dyDescent="0.35">
      <c r="A106" s="52">
        <v>15257</v>
      </c>
      <c r="B106" s="253">
        <v>44394</v>
      </c>
      <c r="C106" s="254" t="s">
        <v>191</v>
      </c>
      <c r="D106" s="52" t="s">
        <v>723</v>
      </c>
      <c r="E106" s="54">
        <v>15.2</v>
      </c>
      <c r="F106" s="53">
        <v>0</v>
      </c>
      <c r="G106" s="54">
        <v>9.5</v>
      </c>
      <c r="H106" s="54">
        <v>1.4</v>
      </c>
      <c r="I106" s="54">
        <v>1.5</v>
      </c>
      <c r="J106" s="54">
        <v>0</v>
      </c>
      <c r="K106" s="54">
        <v>0</v>
      </c>
      <c r="L106" s="54">
        <v>0</v>
      </c>
      <c r="M106" s="54">
        <v>0</v>
      </c>
      <c r="N106" s="54">
        <v>1.8</v>
      </c>
      <c r="O106" s="54">
        <v>1.3</v>
      </c>
      <c r="P106" s="54">
        <v>1399.5</v>
      </c>
      <c r="Q106" s="54">
        <v>492.4</v>
      </c>
      <c r="R106" s="54">
        <v>1218.0999999999999</v>
      </c>
      <c r="S106" s="255">
        <v>2388.5</v>
      </c>
      <c r="T106" s="254" t="s">
        <v>748</v>
      </c>
      <c r="U106" s="254">
        <v>105932</v>
      </c>
      <c r="V106" s="254">
        <v>33239</v>
      </c>
      <c r="W106" s="254">
        <v>163</v>
      </c>
      <c r="X106" s="254">
        <v>0</v>
      </c>
      <c r="Y106" s="254">
        <v>0</v>
      </c>
    </row>
    <row r="107" spans="1:25" x14ac:dyDescent="0.35">
      <c r="A107" s="52">
        <v>16026</v>
      </c>
      <c r="B107" s="253">
        <v>44400</v>
      </c>
      <c r="C107" s="254" t="s">
        <v>178</v>
      </c>
      <c r="D107" s="52" t="s">
        <v>720</v>
      </c>
      <c r="E107" s="54">
        <v>5.9</v>
      </c>
      <c r="F107" s="53">
        <v>0</v>
      </c>
      <c r="G107" s="54">
        <v>3.7</v>
      </c>
      <c r="H107" s="54">
        <v>1.8</v>
      </c>
      <c r="I107" s="54">
        <v>0.9</v>
      </c>
      <c r="J107" s="54">
        <v>0</v>
      </c>
      <c r="K107" s="54">
        <v>0</v>
      </c>
      <c r="L107" s="54">
        <v>0</v>
      </c>
      <c r="M107" s="54">
        <v>0.1</v>
      </c>
      <c r="N107" s="54">
        <v>0.3</v>
      </c>
      <c r="O107" s="54">
        <v>1.8</v>
      </c>
      <c r="P107" s="54">
        <v>1199.5999999999999</v>
      </c>
      <c r="Q107" s="54">
        <v>10.7</v>
      </c>
      <c r="R107" s="54">
        <v>1146.5</v>
      </c>
      <c r="S107" s="255">
        <v>2909</v>
      </c>
      <c r="T107" s="254" t="s">
        <v>730</v>
      </c>
      <c r="U107" s="254">
        <v>3975</v>
      </c>
      <c r="V107" s="254">
        <v>1085</v>
      </c>
      <c r="W107" s="254">
        <v>24</v>
      </c>
      <c r="X107" s="254">
        <v>0</v>
      </c>
      <c r="Y107" s="254">
        <v>0</v>
      </c>
    </row>
    <row r="108" spans="1:25" x14ac:dyDescent="0.35">
      <c r="A108" s="52">
        <v>16027</v>
      </c>
      <c r="B108" s="253">
        <v>44400</v>
      </c>
      <c r="C108" s="254" t="s">
        <v>179</v>
      </c>
      <c r="D108" s="52" t="s">
        <v>757</v>
      </c>
      <c r="E108" s="54">
        <v>25.4</v>
      </c>
      <c r="F108" s="53">
        <v>0</v>
      </c>
      <c r="G108" s="55">
        <v>7.1</v>
      </c>
      <c r="H108" s="55">
        <v>1.7</v>
      </c>
      <c r="I108" s="55">
        <v>0.8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1.5</v>
      </c>
      <c r="P108" s="55">
        <v>1169.8</v>
      </c>
      <c r="Q108" s="55">
        <v>12.9</v>
      </c>
      <c r="R108" s="55">
        <v>1126</v>
      </c>
      <c r="S108" s="55">
        <v>2843.8</v>
      </c>
      <c r="T108" s="254" t="s">
        <v>769</v>
      </c>
      <c r="U108" s="254">
        <v>1155</v>
      </c>
      <c r="V108" s="254">
        <v>240</v>
      </c>
      <c r="W108" s="254">
        <v>41</v>
      </c>
      <c r="X108" s="254">
        <v>0</v>
      </c>
      <c r="Y108" s="254">
        <v>0</v>
      </c>
    </row>
    <row r="109" spans="1:25" x14ac:dyDescent="0.35">
      <c r="A109" s="52">
        <v>16028</v>
      </c>
      <c r="B109" s="253">
        <v>44400</v>
      </c>
      <c r="C109" s="254" t="s">
        <v>180</v>
      </c>
      <c r="D109" s="52" t="s">
        <v>709</v>
      </c>
      <c r="E109" s="54">
        <v>15.4</v>
      </c>
      <c r="F109" s="53">
        <v>0</v>
      </c>
      <c r="G109" s="54">
        <v>6.3</v>
      </c>
      <c r="H109" s="54">
        <v>1.2</v>
      </c>
      <c r="I109" s="54">
        <v>1.1000000000000001</v>
      </c>
      <c r="J109" s="54">
        <v>0</v>
      </c>
      <c r="K109" s="54">
        <v>0</v>
      </c>
      <c r="L109" s="54">
        <v>0</v>
      </c>
      <c r="M109" s="54">
        <v>0</v>
      </c>
      <c r="N109" s="54">
        <v>1.5</v>
      </c>
      <c r="O109" s="54">
        <v>0.4</v>
      </c>
      <c r="P109" s="54">
        <v>1236.5999999999999</v>
      </c>
      <c r="Q109" s="54">
        <v>444.5</v>
      </c>
      <c r="R109" s="54">
        <v>1119.7</v>
      </c>
      <c r="S109" s="255">
        <v>2136.9</v>
      </c>
      <c r="T109" s="254" t="s">
        <v>770</v>
      </c>
      <c r="U109" s="254">
        <v>4044837</v>
      </c>
      <c r="V109" s="254">
        <v>476089</v>
      </c>
      <c r="W109" s="254">
        <v>7380</v>
      </c>
      <c r="X109" s="254">
        <v>531</v>
      </c>
      <c r="Y109" s="254">
        <v>28</v>
      </c>
    </row>
    <row r="110" spans="1:25" x14ac:dyDescent="0.35">
      <c r="A110" s="52">
        <v>16029</v>
      </c>
      <c r="B110" s="253">
        <v>44403</v>
      </c>
      <c r="C110" s="254" t="s">
        <v>215</v>
      </c>
      <c r="D110" s="52" t="s">
        <v>757</v>
      </c>
      <c r="E110" s="54">
        <v>25.7</v>
      </c>
      <c r="F110" s="53">
        <v>0</v>
      </c>
      <c r="G110" s="55">
        <v>6.9</v>
      </c>
      <c r="H110" s="55">
        <v>1.7</v>
      </c>
      <c r="I110" s="55">
        <v>1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1.6</v>
      </c>
      <c r="P110" s="55">
        <v>1174.5</v>
      </c>
      <c r="Q110" s="55">
        <v>12</v>
      </c>
      <c r="R110" s="55">
        <v>1105.9000000000001</v>
      </c>
      <c r="S110" s="55">
        <v>2820.1</v>
      </c>
      <c r="T110" s="254" t="s">
        <v>743</v>
      </c>
      <c r="U110" s="254">
        <v>3200</v>
      </c>
      <c r="V110" s="254">
        <v>1012</v>
      </c>
      <c r="W110" s="254">
        <v>48</v>
      </c>
      <c r="X110" s="254">
        <v>0</v>
      </c>
      <c r="Y110" s="254">
        <v>0</v>
      </c>
    </row>
    <row r="111" spans="1:25" x14ac:dyDescent="0.35">
      <c r="A111" s="52">
        <v>16030</v>
      </c>
      <c r="B111" s="253">
        <v>44403</v>
      </c>
      <c r="C111" s="254" t="s">
        <v>185</v>
      </c>
      <c r="D111" s="52" t="s">
        <v>709</v>
      </c>
      <c r="E111" s="54">
        <v>15.4</v>
      </c>
      <c r="F111" s="53">
        <v>0</v>
      </c>
      <c r="G111" s="54">
        <v>8.4</v>
      </c>
      <c r="H111" s="54">
        <v>1.3</v>
      </c>
      <c r="I111" s="54">
        <v>1.2</v>
      </c>
      <c r="J111" s="54">
        <v>0</v>
      </c>
      <c r="K111" s="54">
        <v>0</v>
      </c>
      <c r="L111" s="54">
        <v>0</v>
      </c>
      <c r="M111" s="54">
        <v>0</v>
      </c>
      <c r="N111" s="54">
        <v>1.6</v>
      </c>
      <c r="O111" s="54">
        <v>0.2</v>
      </c>
      <c r="P111" s="54">
        <v>1263.8</v>
      </c>
      <c r="Q111" s="54">
        <v>450.6</v>
      </c>
      <c r="R111" s="54">
        <v>1137.5</v>
      </c>
      <c r="S111" s="255">
        <v>2164.8000000000002</v>
      </c>
      <c r="T111" s="254" t="s">
        <v>767</v>
      </c>
      <c r="U111" s="254">
        <v>40145</v>
      </c>
      <c r="V111" s="254">
        <v>10928</v>
      </c>
      <c r="W111" s="254">
        <v>46</v>
      </c>
      <c r="X111" s="254">
        <v>0</v>
      </c>
      <c r="Y111" s="254">
        <v>0</v>
      </c>
    </row>
    <row r="112" spans="1:25" x14ac:dyDescent="0.35">
      <c r="A112" s="52">
        <v>16031</v>
      </c>
      <c r="B112" s="253">
        <v>44403</v>
      </c>
      <c r="C112" s="254" t="s">
        <v>184</v>
      </c>
      <c r="D112" s="52" t="s">
        <v>720</v>
      </c>
      <c r="E112" s="54">
        <v>6</v>
      </c>
      <c r="F112" s="53">
        <v>0</v>
      </c>
      <c r="G112" s="55">
        <v>3.6</v>
      </c>
      <c r="H112" s="55">
        <v>1.7</v>
      </c>
      <c r="I112" s="55">
        <v>0.9</v>
      </c>
      <c r="J112" s="55">
        <v>0</v>
      </c>
      <c r="K112" s="55">
        <v>0</v>
      </c>
      <c r="L112" s="55">
        <v>0</v>
      </c>
      <c r="M112" s="55">
        <v>0</v>
      </c>
      <c r="N112" s="55">
        <v>0</v>
      </c>
      <c r="O112" s="55">
        <v>2.2999999999999998</v>
      </c>
      <c r="P112" s="55">
        <v>1183.2</v>
      </c>
      <c r="Q112" s="55">
        <v>11.7</v>
      </c>
      <c r="R112" s="55">
        <v>1131.5999999999999</v>
      </c>
      <c r="S112" s="55">
        <v>2895.1</v>
      </c>
      <c r="T112" s="254" t="s">
        <v>771</v>
      </c>
      <c r="U112" s="254">
        <v>4699</v>
      </c>
      <c r="V112" s="254">
        <v>1321</v>
      </c>
      <c r="W112" s="254">
        <v>17</v>
      </c>
      <c r="X112" s="254">
        <v>0</v>
      </c>
      <c r="Y112" s="254">
        <v>0</v>
      </c>
    </row>
    <row r="113" spans="1:25" x14ac:dyDescent="0.35">
      <c r="A113" s="52">
        <v>16435</v>
      </c>
      <c r="B113" s="253">
        <v>44406</v>
      </c>
      <c r="C113" s="254" t="s">
        <v>178</v>
      </c>
      <c r="D113" s="52" t="s">
        <v>720</v>
      </c>
      <c r="E113" s="54">
        <v>6</v>
      </c>
      <c r="F113" s="53">
        <v>0</v>
      </c>
      <c r="G113" s="54">
        <v>4.7</v>
      </c>
      <c r="H113" s="54">
        <v>1.7</v>
      </c>
      <c r="I113" s="54">
        <v>0.8</v>
      </c>
      <c r="J113" s="54">
        <v>0</v>
      </c>
      <c r="K113" s="54">
        <v>0.2</v>
      </c>
      <c r="L113" s="54">
        <v>0.1</v>
      </c>
      <c r="M113" s="54">
        <v>0</v>
      </c>
      <c r="N113" s="54">
        <v>0</v>
      </c>
      <c r="O113" s="54">
        <v>2.2000000000000002</v>
      </c>
      <c r="P113" s="54">
        <v>1199</v>
      </c>
      <c r="Q113" s="54">
        <v>12.6</v>
      </c>
      <c r="R113" s="54">
        <v>1171.4000000000001</v>
      </c>
      <c r="S113" s="255">
        <v>2958.2</v>
      </c>
      <c r="T113" s="254" t="s">
        <v>768</v>
      </c>
      <c r="U113" s="254">
        <v>2345</v>
      </c>
      <c r="V113" s="254">
        <v>672</v>
      </c>
      <c r="W113" s="254">
        <v>23</v>
      </c>
      <c r="X113" s="254">
        <v>0</v>
      </c>
      <c r="Y113" s="254">
        <v>0</v>
      </c>
    </row>
    <row r="114" spans="1:25" x14ac:dyDescent="0.35">
      <c r="A114" s="52">
        <v>16436</v>
      </c>
      <c r="B114" s="253">
        <v>44406</v>
      </c>
      <c r="C114" s="254" t="s">
        <v>179</v>
      </c>
      <c r="D114" s="52" t="s">
        <v>735</v>
      </c>
      <c r="E114" s="54">
        <v>11.1</v>
      </c>
      <c r="F114" s="53">
        <v>0</v>
      </c>
      <c r="G114" s="54">
        <v>4.4000000000000004</v>
      </c>
      <c r="H114" s="54">
        <v>1.7</v>
      </c>
      <c r="I114" s="54">
        <v>0.8</v>
      </c>
      <c r="J114" s="54">
        <v>0</v>
      </c>
      <c r="K114" s="54">
        <v>0.3</v>
      </c>
      <c r="L114" s="54">
        <v>0</v>
      </c>
      <c r="M114" s="54">
        <v>0</v>
      </c>
      <c r="N114" s="54">
        <v>0</v>
      </c>
      <c r="O114" s="54">
        <v>2.1</v>
      </c>
      <c r="P114" s="54">
        <v>1146.8</v>
      </c>
      <c r="Q114" s="54">
        <v>10.1</v>
      </c>
      <c r="R114" s="54">
        <v>1114.4000000000001</v>
      </c>
      <c r="S114" s="255">
        <v>2829.3</v>
      </c>
      <c r="T114" s="254" t="s">
        <v>756</v>
      </c>
      <c r="U114" s="254">
        <v>11185</v>
      </c>
      <c r="V114" s="254">
        <v>1617</v>
      </c>
      <c r="W114" s="254">
        <v>153</v>
      </c>
      <c r="X114" s="254">
        <v>3</v>
      </c>
      <c r="Y114" s="254">
        <v>3</v>
      </c>
    </row>
    <row r="115" spans="1:25" x14ac:dyDescent="0.35">
      <c r="A115" s="52">
        <v>16437</v>
      </c>
      <c r="B115" s="253">
        <v>44406</v>
      </c>
      <c r="C115" s="254" t="s">
        <v>180</v>
      </c>
      <c r="D115" s="52" t="s">
        <v>709</v>
      </c>
      <c r="E115" s="54">
        <v>15.1</v>
      </c>
      <c r="F115" s="53">
        <v>0</v>
      </c>
      <c r="G115" s="54">
        <v>8.5</v>
      </c>
      <c r="H115" s="54">
        <v>1.3</v>
      </c>
      <c r="I115" s="54">
        <v>1.1000000000000001</v>
      </c>
      <c r="J115" s="54">
        <v>0</v>
      </c>
      <c r="K115" s="54">
        <v>0.1</v>
      </c>
      <c r="L115" s="54">
        <v>0</v>
      </c>
      <c r="M115" s="54">
        <v>0</v>
      </c>
      <c r="N115" s="54">
        <v>1.2</v>
      </c>
      <c r="O115" s="54">
        <v>0.7</v>
      </c>
      <c r="P115" s="54">
        <v>1243.8</v>
      </c>
      <c r="Q115" s="54">
        <v>439.8</v>
      </c>
      <c r="R115" s="54">
        <v>1139</v>
      </c>
      <c r="S115" s="255">
        <v>2129.5</v>
      </c>
      <c r="T115" s="254" t="s">
        <v>718</v>
      </c>
      <c r="U115" s="254">
        <v>77956</v>
      </c>
      <c r="V115" s="254">
        <v>24799</v>
      </c>
      <c r="W115" s="254">
        <v>107</v>
      </c>
      <c r="X115" s="254">
        <v>0</v>
      </c>
      <c r="Y115" s="254">
        <v>0</v>
      </c>
    </row>
    <row r="116" spans="1:25" x14ac:dyDescent="0.35">
      <c r="A116" s="52">
        <v>16438</v>
      </c>
      <c r="B116" s="253">
        <v>44407</v>
      </c>
      <c r="C116" s="254" t="s">
        <v>173</v>
      </c>
      <c r="D116" s="52" t="s">
        <v>709</v>
      </c>
      <c r="E116" s="54">
        <v>15.2</v>
      </c>
      <c r="F116" s="53">
        <v>0</v>
      </c>
      <c r="G116" s="54">
        <v>8.6</v>
      </c>
      <c r="H116" s="54">
        <v>1.3</v>
      </c>
      <c r="I116" s="54">
        <v>1.1000000000000001</v>
      </c>
      <c r="J116" s="54">
        <v>0</v>
      </c>
      <c r="K116" s="54">
        <v>0</v>
      </c>
      <c r="L116" s="54">
        <v>0</v>
      </c>
      <c r="M116" s="54">
        <v>0</v>
      </c>
      <c r="N116" s="54">
        <v>1.1000000000000001</v>
      </c>
      <c r="O116" s="54">
        <v>0.7</v>
      </c>
      <c r="P116" s="54">
        <v>1264.3</v>
      </c>
      <c r="Q116" s="54">
        <v>447.5</v>
      </c>
      <c r="R116" s="54">
        <v>1152</v>
      </c>
      <c r="S116" s="255">
        <v>2168.5</v>
      </c>
      <c r="T116" s="254" t="s">
        <v>748</v>
      </c>
      <c r="U116" s="254">
        <v>100490</v>
      </c>
      <c r="V116" s="254">
        <v>32781</v>
      </c>
      <c r="W116" s="254">
        <v>213</v>
      </c>
      <c r="X116" s="254">
        <v>13</v>
      </c>
      <c r="Y116" s="254">
        <v>0</v>
      </c>
    </row>
    <row r="117" spans="1:25" x14ac:dyDescent="0.35">
      <c r="A117" s="52">
        <v>16439</v>
      </c>
      <c r="B117" s="253">
        <v>44407</v>
      </c>
      <c r="C117" s="254" t="s">
        <v>174</v>
      </c>
      <c r="D117" s="52" t="s">
        <v>709</v>
      </c>
      <c r="E117" s="54">
        <v>15.1</v>
      </c>
      <c r="F117" s="53">
        <v>0</v>
      </c>
      <c r="G117" s="54">
        <v>8.6999999999999993</v>
      </c>
      <c r="H117" s="54">
        <v>1.3</v>
      </c>
      <c r="I117" s="54">
        <v>1.1000000000000001</v>
      </c>
      <c r="J117" s="54">
        <v>0</v>
      </c>
      <c r="K117" s="54">
        <v>0</v>
      </c>
      <c r="L117" s="54">
        <v>0</v>
      </c>
      <c r="M117" s="54">
        <v>0</v>
      </c>
      <c r="N117" s="54">
        <v>1.1000000000000001</v>
      </c>
      <c r="O117" s="54">
        <v>0.4</v>
      </c>
      <c r="P117" s="54">
        <v>1258.0999999999999</v>
      </c>
      <c r="Q117" s="54">
        <v>447.6</v>
      </c>
      <c r="R117" s="54">
        <v>1163.0999999999999</v>
      </c>
      <c r="S117" s="255">
        <v>2169.1999999999998</v>
      </c>
      <c r="T117" s="254" t="s">
        <v>716</v>
      </c>
      <c r="U117" s="254">
        <v>92243</v>
      </c>
      <c r="V117" s="254">
        <v>31124</v>
      </c>
      <c r="W117" s="254">
        <v>123</v>
      </c>
      <c r="X117" s="254">
        <v>0</v>
      </c>
      <c r="Y117" s="254">
        <v>0</v>
      </c>
    </row>
    <row r="118" spans="1:25" x14ac:dyDescent="0.35">
      <c r="A118" s="52">
        <v>16440</v>
      </c>
      <c r="B118" s="253">
        <v>44407</v>
      </c>
      <c r="C118" s="254" t="s">
        <v>180</v>
      </c>
      <c r="D118" s="52" t="s">
        <v>720</v>
      </c>
      <c r="E118" s="54">
        <v>5.9</v>
      </c>
      <c r="F118" s="53">
        <v>0</v>
      </c>
      <c r="G118" s="54">
        <v>4.5</v>
      </c>
      <c r="H118" s="54">
        <v>1.8</v>
      </c>
      <c r="I118" s="54">
        <v>0.9</v>
      </c>
      <c r="J118" s="54">
        <v>0</v>
      </c>
      <c r="K118" s="54">
        <v>0</v>
      </c>
      <c r="L118" s="54">
        <v>0.1</v>
      </c>
      <c r="M118" s="54">
        <v>0</v>
      </c>
      <c r="N118" s="54">
        <v>0</v>
      </c>
      <c r="O118" s="54">
        <v>2.7</v>
      </c>
      <c r="P118" s="54">
        <v>1151.0999999999999</v>
      </c>
      <c r="Q118" s="54">
        <v>14.1</v>
      </c>
      <c r="R118" s="54">
        <v>1129.7</v>
      </c>
      <c r="S118" s="255">
        <v>2822.3</v>
      </c>
      <c r="T118" s="254" t="s">
        <v>761</v>
      </c>
      <c r="U118" s="254">
        <v>7868</v>
      </c>
      <c r="V118" s="254">
        <v>2181</v>
      </c>
      <c r="W118" s="254">
        <v>107</v>
      </c>
      <c r="X118" s="254">
        <v>0</v>
      </c>
      <c r="Y118" s="254">
        <v>0</v>
      </c>
    </row>
    <row r="119" spans="1:25" x14ac:dyDescent="0.35">
      <c r="A119" s="52">
        <v>16441</v>
      </c>
      <c r="B119" s="253">
        <v>44408</v>
      </c>
      <c r="C119" s="254" t="s">
        <v>216</v>
      </c>
      <c r="D119" s="52" t="s">
        <v>735</v>
      </c>
      <c r="E119" s="54">
        <v>11.1</v>
      </c>
      <c r="F119" s="53">
        <v>0</v>
      </c>
      <c r="G119" s="54">
        <v>4.2</v>
      </c>
      <c r="H119" s="54">
        <v>1.6</v>
      </c>
      <c r="I119" s="54">
        <v>0.7</v>
      </c>
      <c r="J119" s="54">
        <v>0</v>
      </c>
      <c r="K119" s="54">
        <v>0.2</v>
      </c>
      <c r="L119" s="54">
        <v>0</v>
      </c>
      <c r="M119" s="54">
        <v>0</v>
      </c>
      <c r="N119" s="54">
        <v>0</v>
      </c>
      <c r="O119" s="54">
        <v>2</v>
      </c>
      <c r="P119" s="54">
        <v>1158.2</v>
      </c>
      <c r="Q119" s="54">
        <v>10.1</v>
      </c>
      <c r="R119" s="54">
        <v>1135.0999999999999</v>
      </c>
      <c r="S119" s="255">
        <v>2867.1</v>
      </c>
      <c r="T119" s="254" t="s">
        <v>772</v>
      </c>
      <c r="U119" s="254">
        <v>1871</v>
      </c>
      <c r="V119" s="254">
        <v>433</v>
      </c>
      <c r="W119" s="254">
        <v>3</v>
      </c>
      <c r="X119" s="254">
        <v>0</v>
      </c>
      <c r="Y119" s="254">
        <v>0</v>
      </c>
    </row>
    <row r="120" spans="1:25" x14ac:dyDescent="0.35">
      <c r="A120" s="52">
        <v>16442</v>
      </c>
      <c r="B120" s="253">
        <v>44408</v>
      </c>
      <c r="C120" s="254" t="s">
        <v>185</v>
      </c>
      <c r="D120" s="52" t="s">
        <v>709</v>
      </c>
      <c r="E120" s="54">
        <v>15.1</v>
      </c>
      <c r="F120" s="53">
        <v>0</v>
      </c>
      <c r="G120" s="54">
        <v>8.6999999999999993</v>
      </c>
      <c r="H120" s="54">
        <v>1.3</v>
      </c>
      <c r="I120" s="54">
        <v>1.1000000000000001</v>
      </c>
      <c r="J120" s="54">
        <v>0</v>
      </c>
      <c r="K120" s="54">
        <v>0</v>
      </c>
      <c r="L120" s="54">
        <v>0</v>
      </c>
      <c r="M120" s="54">
        <v>0</v>
      </c>
      <c r="N120" s="54">
        <v>1.6</v>
      </c>
      <c r="O120" s="54">
        <v>0</v>
      </c>
      <c r="P120" s="54">
        <v>1264.5</v>
      </c>
      <c r="Q120" s="54">
        <v>432.3</v>
      </c>
      <c r="R120" s="54">
        <v>1140.7</v>
      </c>
      <c r="S120" s="255">
        <v>2127.1999999999998</v>
      </c>
      <c r="T120" s="254" t="s">
        <v>748</v>
      </c>
      <c r="U120" s="254">
        <v>100835</v>
      </c>
      <c r="V120" s="254">
        <v>29824</v>
      </c>
      <c r="W120" s="254">
        <v>176</v>
      </c>
      <c r="X120" s="254">
        <v>0</v>
      </c>
      <c r="Y120" s="254">
        <v>0</v>
      </c>
    </row>
    <row r="121" spans="1:25" x14ac:dyDescent="0.35">
      <c r="A121" s="52">
        <v>16443</v>
      </c>
      <c r="B121" s="253">
        <v>44408</v>
      </c>
      <c r="C121" s="254" t="s">
        <v>184</v>
      </c>
      <c r="D121" s="52" t="s">
        <v>720</v>
      </c>
      <c r="E121" s="54">
        <v>6</v>
      </c>
      <c r="F121" s="53">
        <v>0</v>
      </c>
      <c r="G121" s="54">
        <v>4.5</v>
      </c>
      <c r="H121" s="54">
        <v>1.7</v>
      </c>
      <c r="I121" s="54">
        <v>0.8</v>
      </c>
      <c r="J121" s="54">
        <v>0</v>
      </c>
      <c r="K121" s="54">
        <v>0.2</v>
      </c>
      <c r="L121" s="54">
        <v>0.1</v>
      </c>
      <c r="M121" s="54">
        <v>0.1</v>
      </c>
      <c r="N121" s="54">
        <v>0.1</v>
      </c>
      <c r="O121" s="54">
        <v>2.1</v>
      </c>
      <c r="P121" s="54">
        <v>1174.2</v>
      </c>
      <c r="Q121" s="54">
        <v>11.6</v>
      </c>
      <c r="R121" s="54">
        <v>1154.9000000000001</v>
      </c>
      <c r="S121" s="255">
        <v>2898.4</v>
      </c>
      <c r="T121" s="254" t="s">
        <v>721</v>
      </c>
      <c r="U121" s="254">
        <v>2942</v>
      </c>
      <c r="V121" s="254">
        <v>768</v>
      </c>
      <c r="W121" s="254">
        <v>13</v>
      </c>
      <c r="X121" s="254">
        <v>0</v>
      </c>
      <c r="Y121" s="254">
        <v>0</v>
      </c>
    </row>
    <row r="122" spans="1:25" x14ac:dyDescent="0.35">
      <c r="A122" s="52">
        <v>16444</v>
      </c>
      <c r="B122" s="253">
        <v>44408</v>
      </c>
      <c r="C122" s="254" t="s">
        <v>176</v>
      </c>
      <c r="D122" s="52" t="s">
        <v>709</v>
      </c>
      <c r="E122" s="54">
        <v>15.1</v>
      </c>
      <c r="F122" s="53">
        <v>0</v>
      </c>
      <c r="G122" s="54">
        <v>8.8000000000000007</v>
      </c>
      <c r="H122" s="54">
        <v>1.3</v>
      </c>
      <c r="I122" s="54">
        <v>1.1000000000000001</v>
      </c>
      <c r="J122" s="54">
        <v>0</v>
      </c>
      <c r="K122" s="54">
        <v>0.2</v>
      </c>
      <c r="L122" s="54">
        <v>0.1</v>
      </c>
      <c r="M122" s="54">
        <v>0</v>
      </c>
      <c r="N122" s="54">
        <v>1.4</v>
      </c>
      <c r="O122" s="54">
        <v>0.3</v>
      </c>
      <c r="P122" s="54">
        <v>1271.3</v>
      </c>
      <c r="Q122" s="54">
        <v>448.4</v>
      </c>
      <c r="R122" s="54">
        <v>1169.7</v>
      </c>
      <c r="S122" s="255">
        <v>2178.6999999999998</v>
      </c>
      <c r="T122" s="254" t="s">
        <v>748</v>
      </c>
      <c r="U122" s="254">
        <v>93265</v>
      </c>
      <c r="V122" s="254">
        <v>32982</v>
      </c>
      <c r="W122" s="254">
        <v>263</v>
      </c>
      <c r="X122" s="254">
        <v>0</v>
      </c>
      <c r="Y122" s="254">
        <v>0</v>
      </c>
    </row>
    <row r="123" spans="1:25" x14ac:dyDescent="0.35">
      <c r="A123" s="52">
        <v>16445</v>
      </c>
      <c r="B123" s="253">
        <v>44408</v>
      </c>
      <c r="C123" s="254" t="s">
        <v>177</v>
      </c>
      <c r="D123" s="52" t="s">
        <v>720</v>
      </c>
      <c r="E123" s="54">
        <v>6</v>
      </c>
      <c r="F123" s="53">
        <v>0</v>
      </c>
      <c r="G123" s="54">
        <v>4.2</v>
      </c>
      <c r="H123" s="54">
        <v>1.7</v>
      </c>
      <c r="I123" s="54">
        <v>0.8</v>
      </c>
      <c r="J123" s="54">
        <v>0</v>
      </c>
      <c r="K123" s="54">
        <v>0.1</v>
      </c>
      <c r="L123" s="54">
        <v>0</v>
      </c>
      <c r="M123" s="54">
        <v>0</v>
      </c>
      <c r="N123" s="54">
        <v>0</v>
      </c>
      <c r="O123" s="54">
        <v>1.9</v>
      </c>
      <c r="P123" s="54">
        <v>1150.4000000000001</v>
      </c>
      <c r="Q123" s="54">
        <v>11</v>
      </c>
      <c r="R123" s="54">
        <v>1137.3</v>
      </c>
      <c r="S123" s="255">
        <v>2840</v>
      </c>
      <c r="T123" s="254" t="s">
        <v>761</v>
      </c>
      <c r="U123" s="254">
        <v>8757</v>
      </c>
      <c r="V123" s="254">
        <v>2067</v>
      </c>
      <c r="W123" s="254">
        <v>100</v>
      </c>
      <c r="X123" s="254">
        <v>0</v>
      </c>
      <c r="Y123" s="254">
        <v>0</v>
      </c>
    </row>
    <row r="124" spans="1:25" x14ac:dyDescent="0.35">
      <c r="A124" s="52">
        <v>17062</v>
      </c>
      <c r="B124" s="253">
        <v>44416</v>
      </c>
      <c r="C124" s="254" t="s">
        <v>185</v>
      </c>
      <c r="D124" s="52" t="s">
        <v>709</v>
      </c>
      <c r="E124" s="54">
        <v>15.1</v>
      </c>
      <c r="F124" s="53">
        <v>0</v>
      </c>
      <c r="G124" s="55">
        <v>7.6</v>
      </c>
      <c r="H124" s="55">
        <v>1.3</v>
      </c>
      <c r="I124" s="55">
        <v>1.2</v>
      </c>
      <c r="J124" s="55">
        <v>0</v>
      </c>
      <c r="K124" s="55">
        <v>0</v>
      </c>
      <c r="L124" s="55">
        <v>0</v>
      </c>
      <c r="M124" s="55">
        <v>0</v>
      </c>
      <c r="N124" s="55">
        <v>1.4</v>
      </c>
      <c r="O124" s="55">
        <v>0</v>
      </c>
      <c r="P124" s="55">
        <v>1302.2</v>
      </c>
      <c r="Q124" s="55">
        <v>453.3</v>
      </c>
      <c r="R124" s="55">
        <v>1162.2</v>
      </c>
      <c r="S124" s="55">
        <v>2180.5</v>
      </c>
      <c r="T124" s="254" t="s">
        <v>716</v>
      </c>
      <c r="U124" s="254">
        <v>82515</v>
      </c>
      <c r="V124" s="254">
        <v>22199</v>
      </c>
      <c r="W124" s="254">
        <v>107</v>
      </c>
      <c r="X124" s="254">
        <v>0</v>
      </c>
      <c r="Y124" s="254">
        <v>0</v>
      </c>
    </row>
    <row r="125" spans="1:25" x14ac:dyDescent="0.35">
      <c r="A125" s="52">
        <v>17063</v>
      </c>
      <c r="B125" s="253">
        <v>44416</v>
      </c>
      <c r="C125" s="254" t="s">
        <v>184</v>
      </c>
      <c r="D125" s="52" t="s">
        <v>720</v>
      </c>
      <c r="E125" s="54">
        <v>6.1</v>
      </c>
      <c r="F125" s="53">
        <v>0</v>
      </c>
      <c r="G125" s="54">
        <v>3.6</v>
      </c>
      <c r="H125" s="54">
        <v>1.7</v>
      </c>
      <c r="I125" s="54">
        <v>1</v>
      </c>
      <c r="J125" s="54">
        <v>0</v>
      </c>
      <c r="K125" s="54">
        <v>0</v>
      </c>
      <c r="L125" s="54">
        <v>0</v>
      </c>
      <c r="M125" s="54">
        <v>0</v>
      </c>
      <c r="N125" s="54">
        <v>0.2</v>
      </c>
      <c r="O125" s="54">
        <v>2.6</v>
      </c>
      <c r="P125" s="54">
        <v>1192.0999999999999</v>
      </c>
      <c r="Q125" s="54">
        <v>11.5</v>
      </c>
      <c r="R125" s="54">
        <v>1124.7</v>
      </c>
      <c r="S125" s="255">
        <v>2805.9</v>
      </c>
      <c r="T125" s="254" t="s">
        <v>775</v>
      </c>
      <c r="U125" s="254">
        <v>2103</v>
      </c>
      <c r="V125" s="254">
        <v>564</v>
      </c>
      <c r="W125" s="254">
        <v>0</v>
      </c>
      <c r="X125" s="254">
        <v>0</v>
      </c>
      <c r="Y125" s="254">
        <v>0</v>
      </c>
    </row>
    <row r="126" spans="1:25" x14ac:dyDescent="0.35">
      <c r="A126" s="52">
        <v>17064</v>
      </c>
      <c r="B126" s="253">
        <v>44416</v>
      </c>
      <c r="C126" s="254" t="s">
        <v>176</v>
      </c>
      <c r="D126" s="52" t="s">
        <v>709</v>
      </c>
      <c r="E126" s="54">
        <v>15.1</v>
      </c>
      <c r="F126" s="53">
        <v>0</v>
      </c>
      <c r="G126" s="55">
        <v>7.9</v>
      </c>
      <c r="H126" s="55">
        <v>1.3</v>
      </c>
      <c r="I126" s="55">
        <v>1.3</v>
      </c>
      <c r="J126" s="55">
        <v>0</v>
      </c>
      <c r="K126" s="55">
        <v>0</v>
      </c>
      <c r="L126" s="55">
        <v>0</v>
      </c>
      <c r="M126" s="55">
        <v>0</v>
      </c>
      <c r="N126" s="55">
        <v>1.5</v>
      </c>
      <c r="O126" s="55">
        <v>1.1000000000000001</v>
      </c>
      <c r="P126" s="55">
        <v>1282.3</v>
      </c>
      <c r="Q126" s="55">
        <v>448.3</v>
      </c>
      <c r="R126" s="55">
        <v>1128.5999999999999</v>
      </c>
      <c r="S126" s="55">
        <v>2139.4</v>
      </c>
      <c r="T126" s="254" t="s">
        <v>748</v>
      </c>
      <c r="U126" s="254">
        <v>88682</v>
      </c>
      <c r="V126" s="254">
        <v>26225</v>
      </c>
      <c r="W126" s="254">
        <v>217</v>
      </c>
      <c r="X126" s="254">
        <v>0</v>
      </c>
      <c r="Y126" s="254">
        <v>0</v>
      </c>
    </row>
    <row r="127" spans="1:25" x14ac:dyDescent="0.35">
      <c r="A127" s="52">
        <v>17065</v>
      </c>
      <c r="B127" s="253">
        <v>44416</v>
      </c>
      <c r="C127" s="254" t="s">
        <v>177</v>
      </c>
      <c r="D127" s="52" t="s">
        <v>720</v>
      </c>
      <c r="E127" s="54">
        <v>6.1</v>
      </c>
      <c r="F127" s="53">
        <v>0</v>
      </c>
      <c r="G127" s="54">
        <v>3.7</v>
      </c>
      <c r="H127" s="54">
        <v>1.7</v>
      </c>
      <c r="I127" s="54">
        <v>1</v>
      </c>
      <c r="J127" s="54">
        <v>0</v>
      </c>
      <c r="K127" s="54">
        <v>0</v>
      </c>
      <c r="L127" s="54">
        <v>0</v>
      </c>
      <c r="M127" s="54">
        <v>0</v>
      </c>
      <c r="N127" s="54">
        <v>0.4</v>
      </c>
      <c r="O127" s="54">
        <v>2.4</v>
      </c>
      <c r="P127" s="54">
        <v>1182.9000000000001</v>
      </c>
      <c r="Q127" s="54">
        <v>11.6</v>
      </c>
      <c r="R127" s="54">
        <v>1124.5</v>
      </c>
      <c r="S127" s="255">
        <v>2813.1</v>
      </c>
      <c r="T127" s="254" t="s">
        <v>750</v>
      </c>
      <c r="U127" s="254">
        <v>11749</v>
      </c>
      <c r="V127" s="254">
        <v>4189</v>
      </c>
      <c r="W127" s="254">
        <v>153</v>
      </c>
      <c r="X127" s="254">
        <v>3</v>
      </c>
      <c r="Y127" s="254">
        <v>0</v>
      </c>
    </row>
    <row r="128" spans="1:25" x14ac:dyDescent="0.35">
      <c r="A128" s="52">
        <v>22191</v>
      </c>
      <c r="B128" s="253">
        <v>44418</v>
      </c>
      <c r="C128" s="254" t="s">
        <v>173</v>
      </c>
      <c r="D128" s="52" t="s">
        <v>709</v>
      </c>
      <c r="E128" s="54">
        <v>14.9</v>
      </c>
      <c r="F128" s="53">
        <v>0</v>
      </c>
      <c r="G128" s="55">
        <v>8.9</v>
      </c>
      <c r="H128" s="55">
        <v>1.4</v>
      </c>
      <c r="I128" s="55">
        <v>1.3</v>
      </c>
      <c r="J128" s="55">
        <v>0</v>
      </c>
      <c r="K128" s="55">
        <v>0</v>
      </c>
      <c r="L128" s="55">
        <v>0</v>
      </c>
      <c r="M128" s="55">
        <v>0</v>
      </c>
      <c r="N128" s="55">
        <v>2.2000000000000002</v>
      </c>
      <c r="O128" s="55">
        <v>1.2</v>
      </c>
      <c r="P128" s="55">
        <v>1429.4</v>
      </c>
      <c r="Q128" s="55">
        <v>493.6</v>
      </c>
      <c r="R128" s="55">
        <v>1249.5</v>
      </c>
      <c r="S128" s="55">
        <v>2437.8000000000002</v>
      </c>
      <c r="T128" s="254" t="s">
        <v>748</v>
      </c>
      <c r="U128" s="254">
        <v>93643</v>
      </c>
      <c r="V128" s="254">
        <v>30584</v>
      </c>
      <c r="W128" s="254">
        <v>237</v>
      </c>
      <c r="X128" s="254">
        <v>0</v>
      </c>
      <c r="Y128" s="254">
        <v>0</v>
      </c>
    </row>
    <row r="129" spans="1:25" x14ac:dyDescent="0.35">
      <c r="A129" s="52">
        <v>22192</v>
      </c>
      <c r="B129" s="253">
        <v>44418</v>
      </c>
      <c r="C129" s="254" t="s">
        <v>174</v>
      </c>
      <c r="D129" s="52" t="s">
        <v>709</v>
      </c>
      <c r="E129" s="54">
        <v>14.9</v>
      </c>
      <c r="F129" s="53">
        <v>0</v>
      </c>
      <c r="G129" s="55">
        <v>9</v>
      </c>
      <c r="H129" s="55">
        <v>1.3</v>
      </c>
      <c r="I129" s="55">
        <v>1.3</v>
      </c>
      <c r="J129" s="55">
        <v>0</v>
      </c>
      <c r="K129" s="55">
        <v>0</v>
      </c>
      <c r="L129" s="55">
        <v>0</v>
      </c>
      <c r="M129" s="55">
        <v>0</v>
      </c>
      <c r="N129" s="55">
        <v>1.8</v>
      </c>
      <c r="O129" s="55">
        <v>1.1000000000000001</v>
      </c>
      <c r="P129" s="55">
        <v>1407.4</v>
      </c>
      <c r="Q129" s="55">
        <v>486.6</v>
      </c>
      <c r="R129" s="55">
        <v>1227.9000000000001</v>
      </c>
      <c r="S129" s="55">
        <v>2398</v>
      </c>
      <c r="T129" s="254" t="s">
        <v>716</v>
      </c>
      <c r="U129" s="254">
        <v>96444</v>
      </c>
      <c r="V129" s="254">
        <v>32482</v>
      </c>
      <c r="W129" s="254">
        <v>97</v>
      </c>
      <c r="X129" s="254">
        <v>0</v>
      </c>
      <c r="Y129" s="254">
        <v>0</v>
      </c>
    </row>
    <row r="130" spans="1:25" x14ac:dyDescent="0.35">
      <c r="A130" s="52">
        <v>22193</v>
      </c>
      <c r="B130" s="253">
        <v>44418</v>
      </c>
      <c r="C130" s="254" t="s">
        <v>175</v>
      </c>
      <c r="D130" s="52" t="s">
        <v>720</v>
      </c>
      <c r="E130" s="54">
        <v>5.9</v>
      </c>
      <c r="F130" s="53">
        <v>0</v>
      </c>
      <c r="G130" s="55">
        <v>4.0999999999999996</v>
      </c>
      <c r="H130" s="55">
        <v>1.6</v>
      </c>
      <c r="I130" s="55">
        <v>0.8</v>
      </c>
      <c r="J130" s="55">
        <v>0</v>
      </c>
      <c r="K130" s="55">
        <v>0</v>
      </c>
      <c r="L130" s="55">
        <v>0</v>
      </c>
      <c r="M130" s="55">
        <v>0</v>
      </c>
      <c r="N130" s="55">
        <v>0.4</v>
      </c>
      <c r="O130" s="55">
        <v>2.2999999999999998</v>
      </c>
      <c r="P130" s="55">
        <v>1269.2</v>
      </c>
      <c r="Q130" s="55">
        <v>14.4</v>
      </c>
      <c r="R130" s="55">
        <v>1198.3</v>
      </c>
      <c r="S130" s="55">
        <v>3127.7</v>
      </c>
      <c r="T130" s="254" t="s">
        <v>743</v>
      </c>
      <c r="U130" s="254">
        <v>3432</v>
      </c>
      <c r="V130" s="254">
        <v>1257</v>
      </c>
      <c r="W130" s="254">
        <v>43</v>
      </c>
      <c r="X130" s="254">
        <v>3</v>
      </c>
      <c r="Y130" s="254">
        <v>0</v>
      </c>
    </row>
    <row r="131" spans="1:25" x14ac:dyDescent="0.35">
      <c r="A131" s="52">
        <v>23895</v>
      </c>
      <c r="B131" s="253">
        <v>44419</v>
      </c>
      <c r="C131" s="254" t="s">
        <v>173</v>
      </c>
      <c r="D131" s="52" t="s">
        <v>709</v>
      </c>
      <c r="E131" s="54">
        <v>15</v>
      </c>
      <c r="F131" s="53">
        <v>0</v>
      </c>
      <c r="G131" s="55">
        <v>8.6999999999999993</v>
      </c>
      <c r="H131" s="55">
        <v>1.5</v>
      </c>
      <c r="I131" s="55">
        <v>1.3</v>
      </c>
      <c r="J131" s="55">
        <v>0</v>
      </c>
      <c r="K131" s="55">
        <v>0</v>
      </c>
      <c r="L131" s="55">
        <v>0</v>
      </c>
      <c r="M131" s="55">
        <v>0</v>
      </c>
      <c r="N131" s="55">
        <v>1.1000000000000001</v>
      </c>
      <c r="O131" s="55">
        <v>1.3</v>
      </c>
      <c r="P131" s="55">
        <v>1750</v>
      </c>
      <c r="Q131" s="55">
        <v>443.8</v>
      </c>
      <c r="R131" s="55">
        <v>1156</v>
      </c>
      <c r="S131" s="55">
        <v>2172.1999999999998</v>
      </c>
      <c r="T131" s="254" t="s">
        <v>713</v>
      </c>
      <c r="U131" s="254">
        <v>72693</v>
      </c>
      <c r="V131" s="254">
        <v>20821</v>
      </c>
      <c r="W131" s="254">
        <v>169</v>
      </c>
      <c r="X131" s="254">
        <v>0</v>
      </c>
      <c r="Y131" s="254">
        <v>0</v>
      </c>
    </row>
    <row r="132" spans="1:25" x14ac:dyDescent="0.35">
      <c r="A132" s="52">
        <v>23896</v>
      </c>
      <c r="B132" s="253">
        <v>44419</v>
      </c>
      <c r="C132" s="254" t="s">
        <v>174</v>
      </c>
      <c r="D132" s="52" t="s">
        <v>709</v>
      </c>
      <c r="E132" s="54">
        <v>14.9</v>
      </c>
      <c r="F132" s="53">
        <v>0</v>
      </c>
      <c r="G132" s="55">
        <v>8.6999999999999993</v>
      </c>
      <c r="H132" s="55">
        <v>1.4</v>
      </c>
      <c r="I132" s="55">
        <v>1.2</v>
      </c>
      <c r="J132" s="55">
        <v>0</v>
      </c>
      <c r="K132" s="55">
        <v>0</v>
      </c>
      <c r="L132" s="55">
        <v>0</v>
      </c>
      <c r="M132" s="55">
        <v>0</v>
      </c>
      <c r="N132" s="55">
        <v>1.2</v>
      </c>
      <c r="O132" s="55">
        <v>1.4</v>
      </c>
      <c r="P132" s="55">
        <v>1763</v>
      </c>
      <c r="Q132" s="55">
        <v>444.2</v>
      </c>
      <c r="R132" s="55">
        <v>1157.0999999999999</v>
      </c>
      <c r="S132" s="55">
        <v>2176.1999999999998</v>
      </c>
      <c r="T132" s="254" t="s">
        <v>718</v>
      </c>
      <c r="U132" s="254">
        <v>70285</v>
      </c>
      <c r="V132" s="254">
        <v>20113</v>
      </c>
      <c r="W132" s="254">
        <v>91</v>
      </c>
      <c r="X132" s="254">
        <v>0</v>
      </c>
      <c r="Y132" s="254">
        <v>0</v>
      </c>
    </row>
    <row r="133" spans="1:25" x14ac:dyDescent="0.35">
      <c r="A133" s="52">
        <v>23897</v>
      </c>
      <c r="B133" s="253">
        <v>44419</v>
      </c>
      <c r="C133" s="254" t="s">
        <v>175</v>
      </c>
      <c r="D133" s="52" t="s">
        <v>757</v>
      </c>
      <c r="E133" s="54">
        <v>25.5</v>
      </c>
      <c r="F133" s="53">
        <v>0</v>
      </c>
      <c r="G133" s="55">
        <v>8.1</v>
      </c>
      <c r="H133" s="55">
        <v>1.8</v>
      </c>
      <c r="I133" s="55">
        <v>0.9</v>
      </c>
      <c r="J133" s="55">
        <v>0</v>
      </c>
      <c r="K133" s="55">
        <v>0</v>
      </c>
      <c r="L133" s="55">
        <v>0</v>
      </c>
      <c r="M133" s="55">
        <v>0</v>
      </c>
      <c r="N133" s="55">
        <v>1.1000000000000001</v>
      </c>
      <c r="O133" s="55">
        <v>1.8</v>
      </c>
      <c r="P133" s="55">
        <v>1158.0999999999999</v>
      </c>
      <c r="Q133" s="55">
        <v>11.4</v>
      </c>
      <c r="R133" s="55">
        <v>1176.8</v>
      </c>
      <c r="S133" s="55">
        <v>2936.9</v>
      </c>
      <c r="T133" s="254" t="s">
        <v>788</v>
      </c>
      <c r="U133" s="254">
        <v>13725</v>
      </c>
      <c r="V133" s="254">
        <v>4949</v>
      </c>
      <c r="W133" s="254">
        <v>396</v>
      </c>
      <c r="X133" s="254">
        <v>3</v>
      </c>
      <c r="Y133" s="254">
        <v>0</v>
      </c>
    </row>
    <row r="134" spans="1:25" x14ac:dyDescent="0.35">
      <c r="A134" s="52">
        <v>18101</v>
      </c>
      <c r="B134" s="253">
        <v>44427</v>
      </c>
      <c r="C134" s="254" t="s">
        <v>173</v>
      </c>
      <c r="D134" s="52" t="s">
        <v>709</v>
      </c>
      <c r="E134" s="54">
        <v>15.1</v>
      </c>
      <c r="F134" s="53">
        <v>0</v>
      </c>
      <c r="G134" s="55">
        <v>8.6</v>
      </c>
      <c r="H134" s="55">
        <v>1.5</v>
      </c>
      <c r="I134" s="55">
        <v>1.3</v>
      </c>
      <c r="J134" s="55">
        <v>0</v>
      </c>
      <c r="K134" s="55">
        <v>0</v>
      </c>
      <c r="L134" s="55">
        <v>0</v>
      </c>
      <c r="M134" s="55">
        <v>0</v>
      </c>
      <c r="N134" s="55">
        <v>1.4</v>
      </c>
      <c r="O134" s="55">
        <v>0</v>
      </c>
      <c r="P134" s="55">
        <v>1395.1</v>
      </c>
      <c r="Q134" s="55">
        <v>490.4</v>
      </c>
      <c r="R134" s="55">
        <v>1243.0999999999999</v>
      </c>
      <c r="S134" s="55">
        <v>2400.8000000000002</v>
      </c>
      <c r="T134" s="254" t="s">
        <v>748</v>
      </c>
      <c r="U134" s="254">
        <v>105824</v>
      </c>
      <c r="V134" s="254">
        <v>33566</v>
      </c>
      <c r="W134" s="254">
        <v>303</v>
      </c>
      <c r="X134" s="254">
        <v>3</v>
      </c>
      <c r="Y134" s="254">
        <v>0</v>
      </c>
    </row>
    <row r="135" spans="1:25" x14ac:dyDescent="0.35">
      <c r="A135" s="52">
        <v>18102</v>
      </c>
      <c r="B135" s="253">
        <v>44427</v>
      </c>
      <c r="C135" s="254" t="s">
        <v>174</v>
      </c>
      <c r="D135" s="52" t="s">
        <v>709</v>
      </c>
      <c r="E135" s="54">
        <v>15.1</v>
      </c>
      <c r="F135" s="53">
        <v>0</v>
      </c>
      <c r="G135" s="55">
        <v>8.4</v>
      </c>
      <c r="H135" s="55">
        <v>1.6</v>
      </c>
      <c r="I135" s="55">
        <v>1.2</v>
      </c>
      <c r="J135" s="55">
        <v>0</v>
      </c>
      <c r="K135" s="55">
        <v>0</v>
      </c>
      <c r="L135" s="55">
        <v>0</v>
      </c>
      <c r="M135" s="55">
        <v>0</v>
      </c>
      <c r="N135" s="55">
        <v>1.8</v>
      </c>
      <c r="O135" s="55">
        <v>0.1</v>
      </c>
      <c r="P135" s="55">
        <v>1395.8</v>
      </c>
      <c r="Q135" s="55">
        <v>495</v>
      </c>
      <c r="R135" s="55">
        <v>1252.2</v>
      </c>
      <c r="S135" s="55">
        <v>2425.1</v>
      </c>
      <c r="T135" s="254" t="s">
        <v>764</v>
      </c>
      <c r="U135" s="254">
        <v>106311</v>
      </c>
      <c r="V135" s="254">
        <v>37130</v>
      </c>
      <c r="W135" s="254">
        <v>407</v>
      </c>
      <c r="X135" s="254">
        <v>0</v>
      </c>
      <c r="Y135" s="254">
        <v>0</v>
      </c>
    </row>
    <row r="136" spans="1:25" x14ac:dyDescent="0.35">
      <c r="A136" s="52">
        <v>18103</v>
      </c>
      <c r="B136" s="253">
        <v>44427</v>
      </c>
      <c r="C136" s="254" t="s">
        <v>175</v>
      </c>
      <c r="D136" s="52" t="s">
        <v>709</v>
      </c>
      <c r="E136" s="54">
        <v>15.1</v>
      </c>
      <c r="F136" s="53">
        <v>0</v>
      </c>
      <c r="G136" s="55">
        <v>9.1999999999999993</v>
      </c>
      <c r="H136" s="55">
        <v>1.6</v>
      </c>
      <c r="I136" s="55">
        <v>1.2</v>
      </c>
      <c r="J136" s="55">
        <v>0</v>
      </c>
      <c r="K136" s="55">
        <v>0</v>
      </c>
      <c r="L136" s="55">
        <v>0</v>
      </c>
      <c r="M136" s="55">
        <v>0</v>
      </c>
      <c r="N136" s="55">
        <v>1.4</v>
      </c>
      <c r="O136" s="55">
        <v>0.2</v>
      </c>
      <c r="P136" s="55">
        <v>1387.2</v>
      </c>
      <c r="Q136" s="55">
        <v>493.2</v>
      </c>
      <c r="R136" s="55">
        <v>1249.8</v>
      </c>
      <c r="S136" s="55">
        <v>2415.6</v>
      </c>
      <c r="T136" s="254" t="s">
        <v>375</v>
      </c>
      <c r="U136" s="254">
        <v>112016</v>
      </c>
      <c r="V136" s="254">
        <v>41330</v>
      </c>
      <c r="W136" s="254">
        <v>303</v>
      </c>
      <c r="X136" s="254">
        <v>3</v>
      </c>
      <c r="Y136" s="254">
        <v>0</v>
      </c>
    </row>
    <row r="137" spans="1:25" x14ac:dyDescent="0.35">
      <c r="A137" s="52">
        <v>18104</v>
      </c>
      <c r="B137" s="253">
        <v>44427</v>
      </c>
      <c r="C137" s="254" t="s">
        <v>185</v>
      </c>
      <c r="D137" s="52" t="s">
        <v>709</v>
      </c>
      <c r="E137" s="54">
        <v>14.8</v>
      </c>
      <c r="F137" s="53">
        <v>0</v>
      </c>
      <c r="G137" s="55">
        <v>8.8000000000000007</v>
      </c>
      <c r="H137" s="55">
        <v>1.4</v>
      </c>
      <c r="I137" s="55">
        <v>1.3</v>
      </c>
      <c r="J137" s="55">
        <v>0.1</v>
      </c>
      <c r="K137" s="55">
        <v>0.1</v>
      </c>
      <c r="L137" s="55">
        <v>0</v>
      </c>
      <c r="M137" s="55">
        <v>0</v>
      </c>
      <c r="N137" s="55">
        <v>1.5</v>
      </c>
      <c r="O137" s="55">
        <v>0.3</v>
      </c>
      <c r="P137" s="55">
        <v>1385.4</v>
      </c>
      <c r="Q137" s="55">
        <v>477.3</v>
      </c>
      <c r="R137" s="55">
        <v>1268.5</v>
      </c>
      <c r="S137" s="55">
        <v>2452.5</v>
      </c>
      <c r="T137" s="254" t="s">
        <v>764</v>
      </c>
      <c r="U137" s="254">
        <v>100213</v>
      </c>
      <c r="V137" s="254">
        <v>30698</v>
      </c>
      <c r="W137" s="254">
        <v>484</v>
      </c>
      <c r="X137" s="254">
        <v>0</v>
      </c>
      <c r="Y137" s="254">
        <v>0</v>
      </c>
    </row>
    <row r="138" spans="1:25" x14ac:dyDescent="0.35">
      <c r="A138" s="52">
        <v>18382</v>
      </c>
      <c r="B138" s="253">
        <v>44430</v>
      </c>
      <c r="C138" s="254" t="s">
        <v>173</v>
      </c>
      <c r="D138" s="52" t="s">
        <v>720</v>
      </c>
      <c r="E138" s="54">
        <v>6</v>
      </c>
      <c r="F138" s="53">
        <v>0</v>
      </c>
      <c r="G138" s="55">
        <v>3.3</v>
      </c>
      <c r="H138" s="55">
        <v>1.7</v>
      </c>
      <c r="I138" s="55">
        <v>0.9</v>
      </c>
      <c r="J138" s="55">
        <v>0.2</v>
      </c>
      <c r="K138" s="55">
        <v>0</v>
      </c>
      <c r="L138" s="55">
        <v>0</v>
      </c>
      <c r="M138" s="55">
        <v>0.1</v>
      </c>
      <c r="N138" s="55">
        <v>0</v>
      </c>
      <c r="O138" s="55">
        <v>1.6</v>
      </c>
      <c r="P138" s="55">
        <v>1216.5</v>
      </c>
      <c r="Q138" s="55">
        <v>14.4</v>
      </c>
      <c r="R138" s="55">
        <v>1170.3</v>
      </c>
      <c r="S138" s="55">
        <v>3019.4</v>
      </c>
      <c r="T138" s="254" t="s">
        <v>761</v>
      </c>
      <c r="U138" s="254">
        <v>6030</v>
      </c>
      <c r="V138" s="254">
        <v>1916</v>
      </c>
      <c r="W138" s="254">
        <v>133</v>
      </c>
      <c r="X138" s="254">
        <v>0</v>
      </c>
      <c r="Y138" s="254">
        <v>0</v>
      </c>
    </row>
    <row r="139" spans="1:25" x14ac:dyDescent="0.35">
      <c r="A139" s="52">
        <v>18383</v>
      </c>
      <c r="B139" s="253">
        <v>44430</v>
      </c>
      <c r="C139" s="254" t="s">
        <v>174</v>
      </c>
      <c r="D139" s="52" t="s">
        <v>720</v>
      </c>
      <c r="E139" s="54">
        <v>5.9</v>
      </c>
      <c r="F139" s="53">
        <v>0</v>
      </c>
      <c r="G139" s="55">
        <v>3.4</v>
      </c>
      <c r="H139" s="55">
        <v>1.6</v>
      </c>
      <c r="I139" s="55">
        <v>1</v>
      </c>
      <c r="J139" s="55">
        <v>0</v>
      </c>
      <c r="K139" s="55">
        <v>0</v>
      </c>
      <c r="L139" s="55">
        <v>0</v>
      </c>
      <c r="M139" s="55">
        <v>0</v>
      </c>
      <c r="N139" s="55">
        <v>0</v>
      </c>
      <c r="O139" s="55">
        <v>1.8</v>
      </c>
      <c r="P139" s="55">
        <v>1236.5</v>
      </c>
      <c r="Q139" s="55">
        <v>14.1</v>
      </c>
      <c r="R139" s="55">
        <v>1209.7</v>
      </c>
      <c r="S139" s="55">
        <v>3136.3</v>
      </c>
      <c r="T139" s="254" t="s">
        <v>725</v>
      </c>
      <c r="U139" s="254">
        <v>4357</v>
      </c>
      <c r="V139" s="254">
        <v>2015</v>
      </c>
      <c r="W139" s="254">
        <v>50</v>
      </c>
      <c r="X139" s="254">
        <v>0</v>
      </c>
      <c r="Y139" s="254">
        <v>0</v>
      </c>
    </row>
    <row r="140" spans="1:25" x14ac:dyDescent="0.35">
      <c r="A140" s="52">
        <v>18384</v>
      </c>
      <c r="B140" s="253">
        <v>44430</v>
      </c>
      <c r="C140" s="254" t="s">
        <v>175</v>
      </c>
      <c r="D140" s="52" t="s">
        <v>720</v>
      </c>
      <c r="E140" s="54">
        <v>6</v>
      </c>
      <c r="F140" s="53">
        <v>0</v>
      </c>
      <c r="G140" s="55">
        <v>3.4</v>
      </c>
      <c r="H140" s="55">
        <v>1.7</v>
      </c>
      <c r="I140" s="55">
        <v>0.8</v>
      </c>
      <c r="J140" s="55">
        <v>0</v>
      </c>
      <c r="K140" s="55">
        <v>0</v>
      </c>
      <c r="L140" s="55">
        <v>0</v>
      </c>
      <c r="M140" s="55">
        <v>0</v>
      </c>
      <c r="N140" s="55">
        <v>0</v>
      </c>
      <c r="O140" s="55">
        <v>1.6</v>
      </c>
      <c r="P140" s="55">
        <v>1227.9000000000001</v>
      </c>
      <c r="Q140" s="55">
        <v>13.9</v>
      </c>
      <c r="R140" s="55">
        <v>1208.4000000000001</v>
      </c>
      <c r="S140" s="55">
        <v>3129.4</v>
      </c>
      <c r="T140" s="254" t="s">
        <v>725</v>
      </c>
      <c r="U140" s="254">
        <v>4890</v>
      </c>
      <c r="V140" s="254">
        <v>1678</v>
      </c>
      <c r="W140" s="254">
        <v>60</v>
      </c>
      <c r="X140" s="254">
        <v>0</v>
      </c>
      <c r="Y140" s="254">
        <v>0</v>
      </c>
    </row>
    <row r="141" spans="1:25" x14ac:dyDescent="0.35">
      <c r="A141" s="52">
        <v>18385</v>
      </c>
      <c r="B141" s="253">
        <v>44431</v>
      </c>
      <c r="C141" s="254" t="s">
        <v>185</v>
      </c>
      <c r="D141" s="52" t="s">
        <v>720</v>
      </c>
      <c r="E141" s="54">
        <v>6.1</v>
      </c>
      <c r="F141" s="53">
        <v>0</v>
      </c>
      <c r="G141" s="55">
        <v>3.2</v>
      </c>
      <c r="H141" s="55">
        <v>1.7</v>
      </c>
      <c r="I141" s="55">
        <v>0.9</v>
      </c>
      <c r="J141" s="55">
        <v>0</v>
      </c>
      <c r="K141" s="55">
        <v>0</v>
      </c>
      <c r="L141" s="55">
        <v>0</v>
      </c>
      <c r="M141" s="55">
        <v>0</v>
      </c>
      <c r="N141" s="55">
        <v>0.1</v>
      </c>
      <c r="O141" s="55">
        <v>1.4</v>
      </c>
      <c r="P141" s="55">
        <v>1245</v>
      </c>
      <c r="Q141" s="55">
        <v>12.8</v>
      </c>
      <c r="R141" s="55">
        <v>1216.8</v>
      </c>
      <c r="S141" s="55">
        <v>3143.5</v>
      </c>
      <c r="T141" s="254" t="s">
        <v>745</v>
      </c>
      <c r="U141" s="254">
        <v>5730</v>
      </c>
      <c r="V141" s="254">
        <v>1883</v>
      </c>
      <c r="W141" s="254">
        <v>37</v>
      </c>
      <c r="X141" s="254">
        <v>0</v>
      </c>
      <c r="Y141" s="254">
        <v>0</v>
      </c>
    </row>
    <row r="142" spans="1:25" x14ac:dyDescent="0.35">
      <c r="A142" s="52">
        <v>18698</v>
      </c>
      <c r="B142" s="253">
        <v>44434</v>
      </c>
      <c r="C142" s="254" t="s">
        <v>173</v>
      </c>
      <c r="D142" s="52" t="s">
        <v>709</v>
      </c>
      <c r="E142" s="54">
        <v>15.1</v>
      </c>
      <c r="F142" s="53">
        <v>0</v>
      </c>
      <c r="G142" s="55">
        <v>7.6</v>
      </c>
      <c r="H142" s="55">
        <v>1.5</v>
      </c>
      <c r="I142" s="55">
        <v>1.3</v>
      </c>
      <c r="J142" s="55">
        <v>0</v>
      </c>
      <c r="K142" s="55">
        <v>0</v>
      </c>
      <c r="L142" s="55">
        <v>0</v>
      </c>
      <c r="M142" s="55">
        <v>0</v>
      </c>
      <c r="N142" s="55">
        <v>2</v>
      </c>
      <c r="O142" s="55">
        <v>0.7</v>
      </c>
      <c r="P142" s="55">
        <v>1416.5</v>
      </c>
      <c r="Q142" s="55">
        <v>499.1</v>
      </c>
      <c r="R142" s="55">
        <v>1256.7</v>
      </c>
      <c r="S142" s="55">
        <v>2417.8000000000002</v>
      </c>
      <c r="T142" s="254" t="s">
        <v>716</v>
      </c>
      <c r="U142" s="254">
        <v>90003</v>
      </c>
      <c r="V142" s="254">
        <v>29787</v>
      </c>
      <c r="W142" s="254">
        <v>117</v>
      </c>
      <c r="X142" s="254">
        <v>0</v>
      </c>
      <c r="Y142" s="254">
        <v>0</v>
      </c>
    </row>
    <row r="143" spans="1:25" x14ac:dyDescent="0.35">
      <c r="A143" s="52">
        <v>18699</v>
      </c>
      <c r="B143" s="253">
        <v>44434</v>
      </c>
      <c r="C143" s="254" t="s">
        <v>174</v>
      </c>
      <c r="D143" s="52" t="s">
        <v>720</v>
      </c>
      <c r="E143" s="54">
        <v>6</v>
      </c>
      <c r="F143" s="53">
        <v>0</v>
      </c>
      <c r="G143" s="55">
        <v>4.0999999999999996</v>
      </c>
      <c r="H143" s="55">
        <v>1.6</v>
      </c>
      <c r="I143" s="55">
        <v>1</v>
      </c>
      <c r="J143" s="55">
        <v>0</v>
      </c>
      <c r="K143" s="55">
        <v>0.1</v>
      </c>
      <c r="L143" s="55">
        <v>0</v>
      </c>
      <c r="M143" s="55">
        <v>0</v>
      </c>
      <c r="N143" s="55">
        <v>1.4</v>
      </c>
      <c r="O143" s="55">
        <v>2.8</v>
      </c>
      <c r="P143" s="55">
        <v>1277.0999999999999</v>
      </c>
      <c r="Q143" s="55">
        <v>15.3</v>
      </c>
      <c r="R143" s="55">
        <v>1198.0999999999999</v>
      </c>
      <c r="S143" s="55">
        <v>3067.7</v>
      </c>
      <c r="T143" s="254" t="s">
        <v>761</v>
      </c>
      <c r="U143" s="254">
        <v>5456</v>
      </c>
      <c r="V143" s="254">
        <v>2011</v>
      </c>
      <c r="W143" s="254">
        <v>113</v>
      </c>
      <c r="X143" s="254">
        <v>0</v>
      </c>
      <c r="Y143" s="254">
        <v>0</v>
      </c>
    </row>
    <row r="144" spans="1:25" x14ac:dyDescent="0.35">
      <c r="A144" s="52">
        <v>18700</v>
      </c>
      <c r="B144" s="253">
        <v>44434</v>
      </c>
      <c r="C144" s="254" t="s">
        <v>175</v>
      </c>
      <c r="D144" s="52" t="s">
        <v>709</v>
      </c>
      <c r="E144" s="54">
        <v>14.8</v>
      </c>
      <c r="F144" s="53">
        <v>0</v>
      </c>
      <c r="G144" s="55">
        <v>7.4</v>
      </c>
      <c r="H144" s="55">
        <v>1.4</v>
      </c>
      <c r="I144" s="55">
        <v>1.2</v>
      </c>
      <c r="J144" s="55">
        <v>0</v>
      </c>
      <c r="K144" s="55">
        <v>0</v>
      </c>
      <c r="L144" s="55">
        <v>0</v>
      </c>
      <c r="M144" s="55">
        <v>0</v>
      </c>
      <c r="N144" s="55">
        <v>1.9</v>
      </c>
      <c r="O144" s="55">
        <v>0.6</v>
      </c>
      <c r="P144" s="55">
        <v>1369.9</v>
      </c>
      <c r="Q144" s="55">
        <v>488.1</v>
      </c>
      <c r="R144" s="55">
        <v>1219.9000000000001</v>
      </c>
      <c r="S144" s="55">
        <v>2359.9</v>
      </c>
      <c r="T144" s="254" t="s">
        <v>748</v>
      </c>
      <c r="U144" s="254">
        <v>123204</v>
      </c>
      <c r="V144" s="254">
        <v>31487</v>
      </c>
      <c r="W144" s="254">
        <v>163</v>
      </c>
      <c r="X144" s="254">
        <v>0</v>
      </c>
      <c r="Y144" s="254">
        <v>0</v>
      </c>
    </row>
    <row r="145" spans="1:25" x14ac:dyDescent="0.35">
      <c r="A145" s="52">
        <v>18701</v>
      </c>
      <c r="B145" s="253">
        <v>44435</v>
      </c>
      <c r="C145" s="254" t="s">
        <v>185</v>
      </c>
      <c r="D145" s="52" t="s">
        <v>709</v>
      </c>
      <c r="E145" s="54">
        <v>15.2</v>
      </c>
      <c r="F145" s="53">
        <v>0</v>
      </c>
      <c r="G145" s="55">
        <v>7.5</v>
      </c>
      <c r="H145" s="55">
        <v>1.4</v>
      </c>
      <c r="I145" s="55">
        <v>1.2</v>
      </c>
      <c r="J145" s="55">
        <v>0.1</v>
      </c>
      <c r="K145" s="55">
        <v>0</v>
      </c>
      <c r="L145" s="55">
        <v>0</v>
      </c>
      <c r="M145" s="55">
        <v>0</v>
      </c>
      <c r="N145" s="55">
        <v>1.3</v>
      </c>
      <c r="O145" s="55">
        <v>1.3</v>
      </c>
      <c r="P145" s="55">
        <v>1397</v>
      </c>
      <c r="Q145" s="55">
        <v>486</v>
      </c>
      <c r="R145" s="55">
        <v>1228.9000000000001</v>
      </c>
      <c r="S145" s="55">
        <v>2355.9</v>
      </c>
      <c r="T145" s="254" t="s">
        <v>748</v>
      </c>
      <c r="U145" s="254">
        <v>94376</v>
      </c>
      <c r="V145" s="254">
        <v>29310</v>
      </c>
      <c r="W145" s="254">
        <v>213</v>
      </c>
      <c r="X145" s="254">
        <v>0</v>
      </c>
      <c r="Y145" s="254">
        <v>0</v>
      </c>
    </row>
    <row r="146" spans="1:25" x14ac:dyDescent="0.35">
      <c r="A146" s="52">
        <v>18702</v>
      </c>
      <c r="B146" s="253">
        <v>44435</v>
      </c>
      <c r="C146" s="254" t="s">
        <v>184</v>
      </c>
      <c r="D146" s="52" t="s">
        <v>720</v>
      </c>
      <c r="E146" s="54">
        <v>6.1</v>
      </c>
      <c r="F146" s="53">
        <v>0</v>
      </c>
      <c r="G146" s="55">
        <v>3.8</v>
      </c>
      <c r="H146" s="55">
        <v>1.7</v>
      </c>
      <c r="I146" s="55">
        <v>0.9</v>
      </c>
      <c r="J146" s="55">
        <v>0</v>
      </c>
      <c r="K146" s="55">
        <v>0</v>
      </c>
      <c r="L146" s="55">
        <v>0</v>
      </c>
      <c r="M146" s="55">
        <v>0</v>
      </c>
      <c r="N146" s="55">
        <v>0</v>
      </c>
      <c r="O146" s="55">
        <v>2.6</v>
      </c>
      <c r="P146" s="55">
        <v>1300.5999999999999</v>
      </c>
      <c r="Q146" s="55">
        <v>14.5</v>
      </c>
      <c r="R146" s="55">
        <v>1221.0999999999999</v>
      </c>
      <c r="S146" s="55">
        <v>3135.2</v>
      </c>
      <c r="T146" s="254" t="s">
        <v>776</v>
      </c>
      <c r="U146" s="254">
        <v>5335</v>
      </c>
      <c r="V146" s="254">
        <v>1254</v>
      </c>
      <c r="W146" s="254">
        <v>70</v>
      </c>
      <c r="X146" s="254">
        <v>0</v>
      </c>
      <c r="Y146" s="254">
        <v>0</v>
      </c>
    </row>
    <row r="147" spans="1:25" x14ac:dyDescent="0.35">
      <c r="A147" s="52">
        <v>19035</v>
      </c>
      <c r="B147" s="253">
        <v>44438</v>
      </c>
      <c r="C147" s="254" t="s">
        <v>178</v>
      </c>
      <c r="D147" s="52" t="s">
        <v>720</v>
      </c>
      <c r="E147" s="54">
        <v>6</v>
      </c>
      <c r="F147" s="53">
        <v>0</v>
      </c>
      <c r="G147" s="55">
        <v>3.7</v>
      </c>
      <c r="H147" s="55">
        <v>1.9</v>
      </c>
      <c r="I147" s="55">
        <v>1</v>
      </c>
      <c r="J147" s="55">
        <v>0.2</v>
      </c>
      <c r="K147" s="55">
        <v>0</v>
      </c>
      <c r="L147" s="55">
        <v>0</v>
      </c>
      <c r="M147" s="55">
        <v>0</v>
      </c>
      <c r="N147" s="55">
        <v>0</v>
      </c>
      <c r="O147" s="55">
        <v>2</v>
      </c>
      <c r="P147" s="55">
        <v>1258</v>
      </c>
      <c r="Q147" s="55">
        <v>11.6</v>
      </c>
      <c r="R147" s="55">
        <v>1213.2</v>
      </c>
      <c r="S147" s="55">
        <v>3183.3</v>
      </c>
      <c r="T147" s="254" t="s">
        <v>777</v>
      </c>
      <c r="U147" s="254">
        <v>19111</v>
      </c>
      <c r="V147" s="254">
        <v>16300</v>
      </c>
      <c r="W147" s="254">
        <v>6406</v>
      </c>
      <c r="X147" s="254">
        <v>0</v>
      </c>
      <c r="Y147" s="254">
        <v>0</v>
      </c>
    </row>
    <row r="148" spans="1:25" x14ac:dyDescent="0.35">
      <c r="A148" s="52">
        <v>19036</v>
      </c>
      <c r="B148" s="253">
        <v>44438</v>
      </c>
      <c r="C148" s="254" t="s">
        <v>179</v>
      </c>
      <c r="D148" s="52" t="s">
        <v>709</v>
      </c>
      <c r="E148" s="54">
        <v>15.1</v>
      </c>
      <c r="F148" s="53">
        <v>0</v>
      </c>
      <c r="G148" s="55">
        <v>7.5</v>
      </c>
      <c r="H148" s="55">
        <v>1.5</v>
      </c>
      <c r="I148" s="55">
        <v>1.3</v>
      </c>
      <c r="J148" s="55">
        <v>0</v>
      </c>
      <c r="K148" s="55">
        <v>0</v>
      </c>
      <c r="L148" s="55">
        <v>0</v>
      </c>
      <c r="M148" s="55">
        <v>0</v>
      </c>
      <c r="N148" s="55">
        <v>1.4</v>
      </c>
      <c r="O148" s="55">
        <v>0.7</v>
      </c>
      <c r="P148" s="55">
        <v>1347</v>
      </c>
      <c r="Q148" s="55">
        <v>484.6</v>
      </c>
      <c r="R148" s="55">
        <v>1220.9000000000001</v>
      </c>
      <c r="S148" s="55">
        <v>2401.9</v>
      </c>
      <c r="T148" s="254" t="s">
        <v>764</v>
      </c>
      <c r="U148" s="254">
        <v>105955</v>
      </c>
      <c r="V148" s="254">
        <v>31054</v>
      </c>
      <c r="W148" s="254">
        <v>350</v>
      </c>
      <c r="X148" s="254">
        <v>0</v>
      </c>
      <c r="Y148" s="254">
        <v>0</v>
      </c>
    </row>
    <row r="149" spans="1:25" x14ac:dyDescent="0.35">
      <c r="A149" s="52">
        <v>19037</v>
      </c>
      <c r="B149" s="253">
        <v>44438</v>
      </c>
      <c r="C149" s="254" t="s">
        <v>180</v>
      </c>
      <c r="D149" s="52" t="s">
        <v>735</v>
      </c>
      <c r="E149" s="54">
        <v>11.2</v>
      </c>
      <c r="F149" s="53">
        <v>0</v>
      </c>
      <c r="G149" s="55">
        <v>3.3</v>
      </c>
      <c r="H149" s="55">
        <v>1.8</v>
      </c>
      <c r="I149" s="55">
        <v>0.9</v>
      </c>
      <c r="J149" s="55">
        <v>0</v>
      </c>
      <c r="K149" s="55">
        <v>0</v>
      </c>
      <c r="L149" s="55">
        <v>0</v>
      </c>
      <c r="M149" s="55">
        <v>0</v>
      </c>
      <c r="N149" s="55">
        <v>0.1</v>
      </c>
      <c r="O149" s="55">
        <v>2</v>
      </c>
      <c r="P149" s="55">
        <v>1227.7</v>
      </c>
      <c r="Q149" s="55">
        <v>12.4</v>
      </c>
      <c r="R149" s="55">
        <v>1195.5</v>
      </c>
      <c r="S149" s="55">
        <v>3117.3</v>
      </c>
      <c r="T149" s="254" t="s">
        <v>761</v>
      </c>
      <c r="U149" s="254">
        <v>6577</v>
      </c>
      <c r="V149" s="254">
        <v>1659</v>
      </c>
      <c r="W149" s="254">
        <v>97</v>
      </c>
      <c r="X149" s="254">
        <v>0</v>
      </c>
      <c r="Y149" s="254">
        <v>0</v>
      </c>
    </row>
    <row r="150" spans="1:25" x14ac:dyDescent="0.35">
      <c r="A150" s="52">
        <v>19038</v>
      </c>
      <c r="B150" s="253">
        <v>44439</v>
      </c>
      <c r="C150" s="254" t="s">
        <v>216</v>
      </c>
      <c r="D150" s="52" t="s">
        <v>735</v>
      </c>
      <c r="E150" s="54">
        <v>11.2</v>
      </c>
      <c r="F150" s="53">
        <v>0</v>
      </c>
      <c r="G150" s="55">
        <v>3.2</v>
      </c>
      <c r="H150" s="55">
        <v>1.9</v>
      </c>
      <c r="I150" s="55">
        <v>1.1000000000000001</v>
      </c>
      <c r="J150" s="55">
        <v>0.2</v>
      </c>
      <c r="K150" s="55">
        <v>0.2</v>
      </c>
      <c r="L150" s="55">
        <v>0.1</v>
      </c>
      <c r="M150" s="55">
        <v>0</v>
      </c>
      <c r="N150" s="55">
        <v>0</v>
      </c>
      <c r="O150" s="55">
        <v>2.2000000000000002</v>
      </c>
      <c r="P150" s="55">
        <v>1275.7</v>
      </c>
      <c r="Q150" s="55">
        <v>11.5</v>
      </c>
      <c r="R150" s="55">
        <v>1215.8</v>
      </c>
      <c r="S150" s="55">
        <v>3058</v>
      </c>
      <c r="T150" s="254" t="s">
        <v>778</v>
      </c>
      <c r="U150" s="254">
        <v>2266</v>
      </c>
      <c r="V150" s="254">
        <v>594</v>
      </c>
      <c r="W150" s="254">
        <v>53</v>
      </c>
      <c r="X150" s="254">
        <v>0</v>
      </c>
      <c r="Y150" s="254">
        <v>0</v>
      </c>
    </row>
    <row r="151" spans="1:25" x14ac:dyDescent="0.35">
      <c r="A151" s="52">
        <v>19039</v>
      </c>
      <c r="B151" s="253">
        <v>44439</v>
      </c>
      <c r="C151" s="254" t="s">
        <v>185</v>
      </c>
      <c r="D151" s="52" t="s">
        <v>709</v>
      </c>
      <c r="E151" s="54">
        <v>15.1</v>
      </c>
      <c r="F151" s="53">
        <v>0</v>
      </c>
      <c r="G151" s="55">
        <v>8</v>
      </c>
      <c r="H151" s="55">
        <v>1.4</v>
      </c>
      <c r="I151" s="55">
        <v>1.1000000000000001</v>
      </c>
      <c r="J151" s="55">
        <v>0.1</v>
      </c>
      <c r="K151" s="55">
        <v>0</v>
      </c>
      <c r="L151" s="55">
        <v>0</v>
      </c>
      <c r="M151" s="55">
        <v>0</v>
      </c>
      <c r="N151" s="55">
        <v>1.1000000000000001</v>
      </c>
      <c r="O151" s="55">
        <v>1.1000000000000001</v>
      </c>
      <c r="P151" s="55">
        <v>1370.6</v>
      </c>
      <c r="Q151" s="55">
        <v>490.8</v>
      </c>
      <c r="R151" s="55">
        <v>1238.5</v>
      </c>
      <c r="S151" s="55">
        <v>2357.1999999999998</v>
      </c>
      <c r="T151" s="254" t="s">
        <v>748</v>
      </c>
      <c r="U151" s="254">
        <v>108964</v>
      </c>
      <c r="V151" s="254">
        <v>33980</v>
      </c>
      <c r="W151" s="254">
        <v>188</v>
      </c>
      <c r="X151" s="254">
        <v>0</v>
      </c>
      <c r="Y151" s="254">
        <v>0</v>
      </c>
    </row>
    <row r="152" spans="1:25" x14ac:dyDescent="0.35">
      <c r="A152" s="52">
        <v>19040</v>
      </c>
      <c r="B152" s="253">
        <v>44439</v>
      </c>
      <c r="C152" s="254" t="s">
        <v>184</v>
      </c>
      <c r="D152" s="52" t="s">
        <v>720</v>
      </c>
      <c r="E152" s="54">
        <v>6</v>
      </c>
      <c r="F152" s="53">
        <v>0</v>
      </c>
      <c r="G152" s="55">
        <v>3.6</v>
      </c>
      <c r="H152" s="55">
        <v>1.8</v>
      </c>
      <c r="I152" s="55">
        <v>1</v>
      </c>
      <c r="J152" s="55">
        <v>0</v>
      </c>
      <c r="K152" s="55">
        <v>0</v>
      </c>
      <c r="L152" s="55">
        <v>0</v>
      </c>
      <c r="M152" s="55">
        <v>0</v>
      </c>
      <c r="N152" s="55">
        <v>0</v>
      </c>
      <c r="O152" s="55">
        <v>1.9</v>
      </c>
      <c r="P152" s="55">
        <v>1289.2</v>
      </c>
      <c r="Q152" s="55">
        <v>12.2</v>
      </c>
      <c r="R152" s="55">
        <v>1227.4000000000001</v>
      </c>
      <c r="S152" s="55">
        <v>3108.5</v>
      </c>
      <c r="T152" s="254" t="s">
        <v>779</v>
      </c>
      <c r="U152" s="254">
        <v>334</v>
      </c>
      <c r="V152" s="254">
        <v>66</v>
      </c>
      <c r="W152" s="254">
        <v>7</v>
      </c>
      <c r="X152" s="254">
        <v>0</v>
      </c>
      <c r="Y152" s="254">
        <v>0</v>
      </c>
    </row>
    <row r="153" spans="1:25" x14ac:dyDescent="0.35">
      <c r="A153" s="52">
        <v>9971</v>
      </c>
      <c r="B153" s="253">
        <v>44444</v>
      </c>
      <c r="C153" s="254" t="s">
        <v>217</v>
      </c>
      <c r="D153" s="52" t="s">
        <v>709</v>
      </c>
      <c r="E153" s="54">
        <v>15.5</v>
      </c>
      <c r="F153" s="53">
        <v>0</v>
      </c>
      <c r="G153" s="54">
        <v>9.4</v>
      </c>
      <c r="H153" s="54">
        <v>1.6</v>
      </c>
      <c r="I153" s="54">
        <v>1.4</v>
      </c>
      <c r="J153" s="54">
        <v>0.1</v>
      </c>
      <c r="K153" s="54">
        <v>0</v>
      </c>
      <c r="L153" s="54">
        <v>0</v>
      </c>
      <c r="M153" s="54">
        <v>0</v>
      </c>
      <c r="N153" s="54">
        <v>1.3</v>
      </c>
      <c r="O153" s="54">
        <v>0.4</v>
      </c>
      <c r="P153" s="54">
        <v>1382</v>
      </c>
      <c r="Q153" s="54">
        <v>440.1</v>
      </c>
      <c r="R153" s="54">
        <v>1152</v>
      </c>
      <c r="S153" s="255">
        <v>2183</v>
      </c>
      <c r="T153" s="254" t="s">
        <v>718</v>
      </c>
      <c r="U153" s="254">
        <v>73301</v>
      </c>
      <c r="V153" s="254">
        <v>22017</v>
      </c>
      <c r="W153" s="254">
        <v>80</v>
      </c>
      <c r="X153" s="254">
        <v>0</v>
      </c>
      <c r="Y153" s="254">
        <v>0</v>
      </c>
    </row>
    <row r="154" spans="1:25" x14ac:dyDescent="0.35">
      <c r="A154" s="52">
        <v>9972</v>
      </c>
      <c r="B154" s="253">
        <v>44444</v>
      </c>
      <c r="C154" s="254" t="s">
        <v>218</v>
      </c>
      <c r="D154" s="52" t="s">
        <v>733</v>
      </c>
      <c r="E154" s="54">
        <v>6</v>
      </c>
      <c r="F154" s="53">
        <v>0</v>
      </c>
      <c r="G154" s="55">
        <v>4.0999999999999996</v>
      </c>
      <c r="H154" s="55">
        <v>2</v>
      </c>
      <c r="I154" s="55">
        <v>1.1000000000000001</v>
      </c>
      <c r="J154" s="55">
        <v>0</v>
      </c>
      <c r="K154" s="55">
        <v>0</v>
      </c>
      <c r="L154" s="55">
        <v>0</v>
      </c>
      <c r="M154" s="55">
        <v>0</v>
      </c>
      <c r="N154" s="55">
        <v>0</v>
      </c>
      <c r="O154" s="55">
        <v>2.5</v>
      </c>
      <c r="P154" s="55">
        <v>1292</v>
      </c>
      <c r="Q154" s="55">
        <v>17</v>
      </c>
      <c r="R154" s="55">
        <v>1165</v>
      </c>
      <c r="S154" s="55">
        <v>2945</v>
      </c>
      <c r="T154" s="254" t="s">
        <v>721</v>
      </c>
      <c r="U154" s="254">
        <v>3981</v>
      </c>
      <c r="V154" s="254">
        <v>1272</v>
      </c>
      <c r="W154" s="254">
        <v>17</v>
      </c>
      <c r="X154" s="254">
        <v>7</v>
      </c>
      <c r="Y154" s="254">
        <v>0</v>
      </c>
    </row>
    <row r="155" spans="1:25" x14ac:dyDescent="0.35">
      <c r="A155" s="52">
        <v>9973</v>
      </c>
      <c r="B155" s="253">
        <v>44444</v>
      </c>
      <c r="C155" s="254" t="s">
        <v>219</v>
      </c>
      <c r="D155" s="52" t="s">
        <v>735</v>
      </c>
      <c r="E155" s="54">
        <v>11.2</v>
      </c>
      <c r="F155" s="53">
        <v>0</v>
      </c>
      <c r="G155" s="54">
        <v>4.2</v>
      </c>
      <c r="H155" s="54">
        <v>2.1</v>
      </c>
      <c r="I155" s="54">
        <v>1.1000000000000001</v>
      </c>
      <c r="J155" s="54">
        <v>0</v>
      </c>
      <c r="K155" s="54">
        <v>0</v>
      </c>
      <c r="L155" s="54">
        <v>0</v>
      </c>
      <c r="M155" s="54">
        <v>0</v>
      </c>
      <c r="N155" s="54">
        <v>0</v>
      </c>
      <c r="O155" s="54">
        <v>2.2000000000000002</v>
      </c>
      <c r="P155" s="54">
        <v>1306</v>
      </c>
      <c r="Q155" s="54">
        <v>10.1</v>
      </c>
      <c r="R155" s="54">
        <v>1171</v>
      </c>
      <c r="S155" s="255">
        <v>2966</v>
      </c>
      <c r="T155" s="254" t="s">
        <v>736</v>
      </c>
      <c r="U155" s="254">
        <v>4564</v>
      </c>
      <c r="V155" s="254">
        <v>1386</v>
      </c>
      <c r="W155" s="254">
        <v>27</v>
      </c>
      <c r="X155" s="254">
        <v>0</v>
      </c>
      <c r="Y155" s="254">
        <v>0</v>
      </c>
    </row>
    <row r="156" spans="1:25" x14ac:dyDescent="0.35">
      <c r="A156" s="52">
        <v>14735</v>
      </c>
      <c r="B156" s="253">
        <v>44446</v>
      </c>
      <c r="C156" s="254" t="s">
        <v>162</v>
      </c>
      <c r="D156" s="52" t="s">
        <v>746</v>
      </c>
      <c r="E156" s="54">
        <v>5.9</v>
      </c>
      <c r="F156" s="53">
        <v>0</v>
      </c>
      <c r="G156" s="55">
        <v>4.5999999999999996</v>
      </c>
      <c r="H156" s="55">
        <v>1.9</v>
      </c>
      <c r="I156" s="55">
        <v>1</v>
      </c>
      <c r="J156" s="55">
        <v>0</v>
      </c>
      <c r="K156" s="55">
        <v>0</v>
      </c>
      <c r="L156" s="55">
        <v>0</v>
      </c>
      <c r="M156" s="55">
        <v>0</v>
      </c>
      <c r="N156" s="55">
        <v>0.4</v>
      </c>
      <c r="O156" s="55">
        <v>2.4</v>
      </c>
      <c r="P156" s="55">
        <v>1328.6</v>
      </c>
      <c r="Q156" s="55">
        <v>12</v>
      </c>
      <c r="R156" s="55">
        <v>1224.4000000000001</v>
      </c>
      <c r="S156" s="55">
        <v>3173.4</v>
      </c>
      <c r="T156" s="254" t="s">
        <v>761</v>
      </c>
      <c r="U156" s="254">
        <v>6104</v>
      </c>
      <c r="V156" s="254">
        <v>2190</v>
      </c>
      <c r="W156" s="254">
        <v>97</v>
      </c>
      <c r="X156" s="254">
        <v>3</v>
      </c>
      <c r="Y156" s="254">
        <v>0</v>
      </c>
    </row>
    <row r="157" spans="1:25" x14ac:dyDescent="0.35">
      <c r="A157" s="52">
        <v>14736</v>
      </c>
      <c r="B157" s="253">
        <v>44446</v>
      </c>
      <c r="C157" s="254" t="s">
        <v>163</v>
      </c>
      <c r="D157" s="52" t="s">
        <v>723</v>
      </c>
      <c r="E157" s="54">
        <v>15.1</v>
      </c>
      <c r="F157" s="53">
        <v>0</v>
      </c>
      <c r="G157" s="54">
        <v>8.8000000000000007</v>
      </c>
      <c r="H157" s="54">
        <v>1.5</v>
      </c>
      <c r="I157" s="54">
        <v>1.3</v>
      </c>
      <c r="J157" s="54">
        <v>0</v>
      </c>
      <c r="K157" s="54">
        <v>0</v>
      </c>
      <c r="L157" s="54">
        <v>0</v>
      </c>
      <c r="M157" s="54">
        <v>0</v>
      </c>
      <c r="N157" s="54">
        <v>2.7</v>
      </c>
      <c r="O157" s="54">
        <v>0.1</v>
      </c>
      <c r="P157" s="54">
        <v>1383.4</v>
      </c>
      <c r="Q157" s="54">
        <v>482.3</v>
      </c>
      <c r="R157" s="54">
        <v>1214.5999999999999</v>
      </c>
      <c r="S157" s="255">
        <v>2328.6999999999998</v>
      </c>
      <c r="T157" s="254" t="s">
        <v>748</v>
      </c>
      <c r="U157" s="254">
        <v>81032</v>
      </c>
      <c r="V157" s="254">
        <v>27173</v>
      </c>
      <c r="W157" s="254">
        <v>220</v>
      </c>
      <c r="X157" s="254">
        <v>0</v>
      </c>
      <c r="Y157" s="254">
        <v>0</v>
      </c>
    </row>
    <row r="158" spans="1:25" x14ac:dyDescent="0.35">
      <c r="A158" s="52">
        <v>14737</v>
      </c>
      <c r="B158" s="253">
        <v>44446</v>
      </c>
      <c r="C158" s="254" t="s">
        <v>164</v>
      </c>
      <c r="D158" s="52" t="s">
        <v>723</v>
      </c>
      <c r="E158" s="54">
        <v>15.1</v>
      </c>
      <c r="F158" s="53">
        <v>0</v>
      </c>
      <c r="G158" s="55">
        <v>9.1</v>
      </c>
      <c r="H158" s="55">
        <v>1.4</v>
      </c>
      <c r="I158" s="55">
        <v>1.3</v>
      </c>
      <c r="J158" s="55">
        <v>0</v>
      </c>
      <c r="K158" s="55">
        <v>0</v>
      </c>
      <c r="L158" s="55">
        <v>0</v>
      </c>
      <c r="M158" s="55">
        <v>0</v>
      </c>
      <c r="N158" s="55">
        <v>2.6</v>
      </c>
      <c r="O158" s="55">
        <v>0.1</v>
      </c>
      <c r="P158" s="55">
        <v>1397.4</v>
      </c>
      <c r="Q158" s="55">
        <v>487.9</v>
      </c>
      <c r="R158" s="55">
        <v>1228.5</v>
      </c>
      <c r="S158" s="55">
        <v>2354.4</v>
      </c>
      <c r="T158" s="254" t="s">
        <v>748</v>
      </c>
      <c r="U158" s="254">
        <v>83619</v>
      </c>
      <c r="V158" s="254">
        <v>25544</v>
      </c>
      <c r="W158" s="254">
        <v>203</v>
      </c>
      <c r="X158" s="254">
        <v>0</v>
      </c>
      <c r="Y158" s="254">
        <v>0</v>
      </c>
    </row>
    <row r="159" spans="1:25" x14ac:dyDescent="0.35">
      <c r="A159" s="52">
        <v>22194</v>
      </c>
      <c r="B159" s="253">
        <v>44449</v>
      </c>
      <c r="C159" s="254" t="s">
        <v>178</v>
      </c>
      <c r="D159" s="52" t="s">
        <v>720</v>
      </c>
      <c r="E159" s="54">
        <v>5.9</v>
      </c>
      <c r="F159" s="53">
        <v>0</v>
      </c>
      <c r="G159" s="55">
        <v>4.3</v>
      </c>
      <c r="H159" s="55">
        <v>1.6</v>
      </c>
      <c r="I159" s="55">
        <v>0.8</v>
      </c>
      <c r="J159" s="55">
        <v>0</v>
      </c>
      <c r="K159" s="55">
        <v>0</v>
      </c>
      <c r="L159" s="55">
        <v>0</v>
      </c>
      <c r="M159" s="55">
        <v>0</v>
      </c>
      <c r="N159" s="55">
        <v>0.4</v>
      </c>
      <c r="O159" s="55">
        <v>2.1</v>
      </c>
      <c r="P159" s="55">
        <v>1272.0999999999999</v>
      </c>
      <c r="Q159" s="55">
        <v>12.4</v>
      </c>
      <c r="R159" s="55">
        <v>1193.2</v>
      </c>
      <c r="S159" s="55">
        <v>3119</v>
      </c>
      <c r="T159" s="254" t="s">
        <v>743</v>
      </c>
      <c r="U159" s="254">
        <v>3607</v>
      </c>
      <c r="V159" s="254">
        <v>1131</v>
      </c>
      <c r="W159" s="254">
        <v>43</v>
      </c>
      <c r="X159" s="254">
        <v>0</v>
      </c>
      <c r="Y159" s="254">
        <v>0</v>
      </c>
    </row>
    <row r="160" spans="1:25" x14ac:dyDescent="0.35">
      <c r="A160" s="52">
        <v>22195</v>
      </c>
      <c r="B160" s="253">
        <v>44449</v>
      </c>
      <c r="C160" s="254" t="s">
        <v>179</v>
      </c>
      <c r="D160" s="52" t="s">
        <v>709</v>
      </c>
      <c r="E160" s="54">
        <v>14.9</v>
      </c>
      <c r="F160" s="53">
        <v>0</v>
      </c>
      <c r="G160" s="55">
        <v>8.8000000000000007</v>
      </c>
      <c r="H160" s="55">
        <v>1.3</v>
      </c>
      <c r="I160" s="55">
        <v>1.3</v>
      </c>
      <c r="J160" s="55">
        <v>0</v>
      </c>
      <c r="K160" s="55">
        <v>0</v>
      </c>
      <c r="L160" s="55">
        <v>0</v>
      </c>
      <c r="M160" s="55">
        <v>0</v>
      </c>
      <c r="N160" s="55">
        <v>1.9</v>
      </c>
      <c r="O160" s="55">
        <v>0.9</v>
      </c>
      <c r="P160" s="55">
        <v>1407.2</v>
      </c>
      <c r="Q160" s="55">
        <v>474.3</v>
      </c>
      <c r="R160" s="55">
        <v>1201.2</v>
      </c>
      <c r="S160" s="55">
        <v>2307.6</v>
      </c>
      <c r="T160" s="254" t="s">
        <v>748</v>
      </c>
      <c r="U160" s="254">
        <v>93033</v>
      </c>
      <c r="V160" s="254">
        <v>26395</v>
      </c>
      <c r="W160" s="254">
        <v>213</v>
      </c>
      <c r="X160" s="254">
        <v>0</v>
      </c>
      <c r="Y160" s="254">
        <v>0</v>
      </c>
    </row>
    <row r="161" spans="1:25" x14ac:dyDescent="0.35">
      <c r="A161" s="52">
        <v>22196</v>
      </c>
      <c r="B161" s="253">
        <v>44449</v>
      </c>
      <c r="C161" s="254" t="s">
        <v>180</v>
      </c>
      <c r="D161" s="52" t="s">
        <v>709</v>
      </c>
      <c r="E161" s="54">
        <v>15</v>
      </c>
      <c r="F161" s="53">
        <v>0</v>
      </c>
      <c r="G161" s="55">
        <v>8.6999999999999993</v>
      </c>
      <c r="H161" s="55">
        <v>1.3</v>
      </c>
      <c r="I161" s="55">
        <v>1.3</v>
      </c>
      <c r="J161" s="55">
        <v>0</v>
      </c>
      <c r="K161" s="55">
        <v>0</v>
      </c>
      <c r="L161" s="55">
        <v>0</v>
      </c>
      <c r="M161" s="55">
        <v>0</v>
      </c>
      <c r="N161" s="55">
        <v>1.9</v>
      </c>
      <c r="O161" s="55">
        <v>0.7</v>
      </c>
      <c r="P161" s="55">
        <v>1403.3</v>
      </c>
      <c r="Q161" s="55">
        <v>477.8</v>
      </c>
      <c r="R161" s="55">
        <v>1210.3</v>
      </c>
      <c r="S161" s="55">
        <v>2326</v>
      </c>
      <c r="T161" s="254" t="s">
        <v>748</v>
      </c>
      <c r="U161" s="254">
        <v>91913</v>
      </c>
      <c r="V161" s="254">
        <v>28386</v>
      </c>
      <c r="W161" s="254">
        <v>223</v>
      </c>
      <c r="X161" s="254">
        <v>0</v>
      </c>
      <c r="Y161" s="254">
        <v>0</v>
      </c>
    </row>
    <row r="162" spans="1:25" x14ac:dyDescent="0.35">
      <c r="A162" s="52">
        <v>23898</v>
      </c>
      <c r="B162" s="253">
        <v>44450</v>
      </c>
      <c r="C162" s="254" t="s">
        <v>185</v>
      </c>
      <c r="D162" s="52" t="s">
        <v>709</v>
      </c>
      <c r="E162" s="54">
        <v>15</v>
      </c>
      <c r="F162" s="53">
        <v>0</v>
      </c>
      <c r="G162" s="55">
        <v>8.9</v>
      </c>
      <c r="H162" s="55">
        <v>1.5</v>
      </c>
      <c r="I162" s="55">
        <v>1.3</v>
      </c>
      <c r="J162" s="55">
        <v>0</v>
      </c>
      <c r="K162" s="55">
        <v>0</v>
      </c>
      <c r="L162" s="55">
        <v>0</v>
      </c>
      <c r="M162" s="55">
        <v>0</v>
      </c>
      <c r="N162" s="55">
        <v>1.9</v>
      </c>
      <c r="O162" s="55">
        <v>1.4</v>
      </c>
      <c r="P162" s="55">
        <v>1433.4</v>
      </c>
      <c r="Q162" s="55">
        <v>498.6</v>
      </c>
      <c r="R162" s="55">
        <v>1219.2</v>
      </c>
      <c r="S162" s="55">
        <v>2237.8000000000002</v>
      </c>
      <c r="T162" s="254" t="s">
        <v>748</v>
      </c>
      <c r="U162" s="254">
        <v>110473</v>
      </c>
      <c r="V162" s="254">
        <v>33175</v>
      </c>
      <c r="W162" s="254">
        <v>165</v>
      </c>
      <c r="X162" s="254">
        <v>0</v>
      </c>
      <c r="Y162" s="254">
        <v>0</v>
      </c>
    </row>
    <row r="163" spans="1:25" x14ac:dyDescent="0.35">
      <c r="A163" s="52">
        <v>23899</v>
      </c>
      <c r="B163" s="253">
        <v>44450</v>
      </c>
      <c r="C163" s="254" t="s">
        <v>176</v>
      </c>
      <c r="D163" s="52" t="s">
        <v>709</v>
      </c>
      <c r="E163" s="54">
        <v>14.9</v>
      </c>
      <c r="F163" s="53">
        <v>0</v>
      </c>
      <c r="G163" s="55">
        <v>8.9</v>
      </c>
      <c r="H163" s="55">
        <v>1.4</v>
      </c>
      <c r="I163" s="55">
        <v>1.2</v>
      </c>
      <c r="J163" s="55">
        <v>0</v>
      </c>
      <c r="K163" s="55">
        <v>0</v>
      </c>
      <c r="L163" s="55">
        <v>0</v>
      </c>
      <c r="M163" s="55">
        <v>0</v>
      </c>
      <c r="N163" s="55">
        <v>1.7</v>
      </c>
      <c r="O163" s="55">
        <v>1.3</v>
      </c>
      <c r="P163" s="55">
        <v>1427.6</v>
      </c>
      <c r="Q163" s="55">
        <v>489.4</v>
      </c>
      <c r="R163" s="55">
        <v>1212.3</v>
      </c>
      <c r="S163" s="55">
        <v>2216.6999999999998</v>
      </c>
      <c r="T163" s="254" t="s">
        <v>764</v>
      </c>
      <c r="U163" s="254">
        <v>115948</v>
      </c>
      <c r="V163" s="254">
        <v>39701</v>
      </c>
      <c r="W163" s="254">
        <v>556</v>
      </c>
      <c r="X163" s="254">
        <v>5</v>
      </c>
      <c r="Y163" s="254">
        <v>0</v>
      </c>
    </row>
    <row r="164" spans="1:25" x14ac:dyDescent="0.35">
      <c r="A164" s="52">
        <v>23900</v>
      </c>
      <c r="B164" s="253">
        <v>44450</v>
      </c>
      <c r="C164" s="254" t="s">
        <v>220</v>
      </c>
      <c r="D164" s="52" t="s">
        <v>757</v>
      </c>
      <c r="E164" s="54">
        <v>25.7</v>
      </c>
      <c r="F164" s="53">
        <v>0</v>
      </c>
      <c r="G164" s="55">
        <v>7.8</v>
      </c>
      <c r="H164" s="55">
        <v>1.7</v>
      </c>
      <c r="I164" s="55">
        <v>0.8</v>
      </c>
      <c r="J164" s="55">
        <v>0</v>
      </c>
      <c r="K164" s="55">
        <v>0</v>
      </c>
      <c r="L164" s="55">
        <v>0.1</v>
      </c>
      <c r="M164" s="55">
        <v>0</v>
      </c>
      <c r="N164" s="55">
        <v>0.2</v>
      </c>
      <c r="O164" s="55">
        <v>1.6</v>
      </c>
      <c r="P164" s="55">
        <v>1185.2</v>
      </c>
      <c r="Q164" s="55">
        <v>10.4</v>
      </c>
      <c r="R164" s="55">
        <v>1197.7</v>
      </c>
      <c r="S164" s="55">
        <v>2834.7</v>
      </c>
      <c r="T164" s="254" t="s">
        <v>725</v>
      </c>
      <c r="U164" s="254">
        <v>4726</v>
      </c>
      <c r="V164" s="254">
        <v>1391</v>
      </c>
      <c r="W164" s="254">
        <v>43</v>
      </c>
      <c r="X164" s="254">
        <v>0</v>
      </c>
      <c r="Y164" s="254">
        <v>0</v>
      </c>
    </row>
    <row r="165" spans="1:25" x14ac:dyDescent="0.35">
      <c r="A165" s="52">
        <v>20033</v>
      </c>
      <c r="B165" s="253">
        <v>44452</v>
      </c>
      <c r="C165" s="254" t="s">
        <v>185</v>
      </c>
      <c r="D165" s="52" t="s">
        <v>709</v>
      </c>
      <c r="E165" s="54">
        <v>15</v>
      </c>
      <c r="F165" s="53">
        <v>0</v>
      </c>
      <c r="G165" s="55">
        <v>8.4</v>
      </c>
      <c r="H165" s="55">
        <v>1.3</v>
      </c>
      <c r="I165" s="55">
        <v>1.2</v>
      </c>
      <c r="J165" s="55">
        <v>0</v>
      </c>
      <c r="K165" s="55">
        <v>0</v>
      </c>
      <c r="L165" s="55">
        <v>0</v>
      </c>
      <c r="M165" s="55">
        <v>0</v>
      </c>
      <c r="N165" s="55">
        <v>1.4</v>
      </c>
      <c r="O165" s="55">
        <v>0.7</v>
      </c>
      <c r="P165" s="55">
        <v>1203.8</v>
      </c>
      <c r="Q165" s="55">
        <v>439.7</v>
      </c>
      <c r="R165" s="55">
        <v>1137.4000000000001</v>
      </c>
      <c r="S165" s="55">
        <v>2105.9</v>
      </c>
      <c r="T165" s="254" t="s">
        <v>748</v>
      </c>
      <c r="U165" s="254">
        <v>103783</v>
      </c>
      <c r="V165" s="254">
        <v>31224</v>
      </c>
      <c r="W165" s="254">
        <v>247</v>
      </c>
      <c r="X165" s="254">
        <v>0</v>
      </c>
      <c r="Y165" s="254">
        <v>0</v>
      </c>
    </row>
    <row r="166" spans="1:25" x14ac:dyDescent="0.35">
      <c r="A166" s="52">
        <v>20034</v>
      </c>
      <c r="B166" s="253">
        <v>44452</v>
      </c>
      <c r="C166" s="254" t="s">
        <v>184</v>
      </c>
      <c r="D166" s="52" t="s">
        <v>720</v>
      </c>
      <c r="E166" s="54">
        <v>6</v>
      </c>
      <c r="F166" s="53">
        <v>0</v>
      </c>
      <c r="G166" s="55">
        <v>4.4000000000000004</v>
      </c>
      <c r="H166" s="55">
        <v>1.6</v>
      </c>
      <c r="I166" s="55">
        <v>1</v>
      </c>
      <c r="J166" s="55">
        <v>0</v>
      </c>
      <c r="K166" s="55">
        <v>0</v>
      </c>
      <c r="L166" s="55">
        <v>0</v>
      </c>
      <c r="M166" s="55">
        <v>0</v>
      </c>
      <c r="N166" s="55">
        <v>0</v>
      </c>
      <c r="O166" s="55">
        <v>1.6</v>
      </c>
      <c r="P166" s="55">
        <v>1107.8</v>
      </c>
      <c r="Q166" s="55">
        <v>10.8</v>
      </c>
      <c r="R166" s="55">
        <v>1130.7</v>
      </c>
      <c r="S166" s="55">
        <v>2797.1</v>
      </c>
      <c r="T166" s="254" t="s">
        <v>736</v>
      </c>
      <c r="U166" s="254">
        <v>2852</v>
      </c>
      <c r="V166" s="254">
        <v>1313</v>
      </c>
      <c r="W166" s="254">
        <v>23</v>
      </c>
      <c r="X166" s="254">
        <v>0</v>
      </c>
      <c r="Y166" s="254">
        <v>0</v>
      </c>
    </row>
    <row r="167" spans="1:25" x14ac:dyDescent="0.35">
      <c r="A167" s="52">
        <v>20424</v>
      </c>
      <c r="B167" s="253">
        <v>44456</v>
      </c>
      <c r="C167" s="254" t="s">
        <v>178</v>
      </c>
      <c r="D167" s="52" t="s">
        <v>709</v>
      </c>
      <c r="E167" s="54">
        <v>15.1</v>
      </c>
      <c r="F167" s="53">
        <v>0</v>
      </c>
      <c r="G167" s="55">
        <v>8.1</v>
      </c>
      <c r="H167" s="55">
        <v>1.5</v>
      </c>
      <c r="I167" s="55">
        <v>1.2</v>
      </c>
      <c r="J167" s="55">
        <v>0</v>
      </c>
      <c r="K167" s="55">
        <v>0</v>
      </c>
      <c r="L167" s="55">
        <v>0</v>
      </c>
      <c r="M167" s="55">
        <v>0</v>
      </c>
      <c r="N167" s="55">
        <v>1.3</v>
      </c>
      <c r="O167" s="55">
        <v>0.9</v>
      </c>
      <c r="P167" s="55">
        <v>1302.0999999999999</v>
      </c>
      <c r="Q167" s="55">
        <v>479.5</v>
      </c>
      <c r="R167" s="55">
        <v>1189.2</v>
      </c>
      <c r="S167" s="55">
        <v>2272.6</v>
      </c>
      <c r="T167" s="254" t="s">
        <v>748</v>
      </c>
      <c r="U167" s="254">
        <v>103973</v>
      </c>
      <c r="V167" s="254">
        <v>35494</v>
      </c>
      <c r="W167" s="254">
        <v>221</v>
      </c>
      <c r="X167" s="254">
        <v>0</v>
      </c>
      <c r="Y167" s="254">
        <v>0</v>
      </c>
    </row>
    <row r="168" spans="1:25" x14ac:dyDescent="0.35">
      <c r="A168" s="52">
        <v>20425</v>
      </c>
      <c r="B168" s="253">
        <v>44456</v>
      </c>
      <c r="C168" s="254" t="s">
        <v>179</v>
      </c>
      <c r="D168" s="52" t="s">
        <v>720</v>
      </c>
      <c r="E168" s="54">
        <v>6</v>
      </c>
      <c r="F168" s="53">
        <v>0</v>
      </c>
      <c r="G168" s="55">
        <v>4.4000000000000004</v>
      </c>
      <c r="H168" s="55">
        <v>1.6</v>
      </c>
      <c r="I168" s="55">
        <v>0.9</v>
      </c>
      <c r="J168" s="55">
        <v>0</v>
      </c>
      <c r="K168" s="55">
        <v>0</v>
      </c>
      <c r="L168" s="55">
        <v>0</v>
      </c>
      <c r="M168" s="55">
        <v>0</v>
      </c>
      <c r="N168" s="55">
        <v>0</v>
      </c>
      <c r="O168" s="55">
        <v>2.2000000000000002</v>
      </c>
      <c r="P168" s="55">
        <v>1194.5</v>
      </c>
      <c r="Q168" s="55">
        <v>14.5</v>
      </c>
      <c r="R168" s="55">
        <v>1168.2</v>
      </c>
      <c r="S168" s="55">
        <v>2953.6</v>
      </c>
      <c r="T168" s="254" t="s">
        <v>725</v>
      </c>
      <c r="U168" s="254">
        <v>2962</v>
      </c>
      <c r="V168" s="254">
        <v>1356</v>
      </c>
      <c r="W168" s="254">
        <v>57</v>
      </c>
      <c r="X168" s="254">
        <v>0</v>
      </c>
      <c r="Y168" s="254">
        <v>0</v>
      </c>
    </row>
    <row r="169" spans="1:25" x14ac:dyDescent="0.35">
      <c r="A169" s="52">
        <v>20426</v>
      </c>
      <c r="B169" s="253">
        <v>44456</v>
      </c>
      <c r="C169" s="254" t="s">
        <v>180</v>
      </c>
      <c r="D169" s="52" t="s">
        <v>709</v>
      </c>
      <c r="E169" s="54">
        <v>15.2</v>
      </c>
      <c r="F169" s="53">
        <v>0</v>
      </c>
      <c r="G169" s="55">
        <v>8</v>
      </c>
      <c r="H169" s="55">
        <v>1.4</v>
      </c>
      <c r="I169" s="55">
        <v>1.2</v>
      </c>
      <c r="J169" s="55">
        <v>0</v>
      </c>
      <c r="K169" s="55">
        <v>0</v>
      </c>
      <c r="L169" s="55">
        <v>0</v>
      </c>
      <c r="M169" s="55">
        <v>0</v>
      </c>
      <c r="N169" s="55">
        <v>1</v>
      </c>
      <c r="O169" s="55">
        <v>0.9</v>
      </c>
      <c r="P169" s="55">
        <v>1292.0999999999999</v>
      </c>
      <c r="Q169" s="55">
        <v>476.9</v>
      </c>
      <c r="R169" s="55">
        <v>1193.5999999999999</v>
      </c>
      <c r="S169" s="55">
        <v>2267.5</v>
      </c>
      <c r="T169" s="254" t="s">
        <v>748</v>
      </c>
      <c r="U169" s="254">
        <v>107843</v>
      </c>
      <c r="V169" s="254">
        <v>34313</v>
      </c>
      <c r="W169" s="254">
        <v>310</v>
      </c>
      <c r="X169" s="254">
        <v>0</v>
      </c>
      <c r="Y169" s="254">
        <v>0</v>
      </c>
    </row>
    <row r="170" spans="1:25" x14ac:dyDescent="0.35">
      <c r="A170" s="52">
        <v>20427</v>
      </c>
      <c r="B170" s="253">
        <v>44457</v>
      </c>
      <c r="C170" s="254" t="s">
        <v>185</v>
      </c>
      <c r="D170" s="52" t="s">
        <v>709</v>
      </c>
      <c r="E170" s="54">
        <v>15</v>
      </c>
      <c r="F170" s="53">
        <v>0</v>
      </c>
      <c r="G170" s="55">
        <v>7.9</v>
      </c>
      <c r="H170" s="55">
        <v>1.4</v>
      </c>
      <c r="I170" s="55">
        <v>1.1000000000000001</v>
      </c>
      <c r="J170" s="55">
        <v>0</v>
      </c>
      <c r="K170" s="55">
        <v>0</v>
      </c>
      <c r="L170" s="55">
        <v>0</v>
      </c>
      <c r="M170" s="55">
        <v>0</v>
      </c>
      <c r="N170" s="55">
        <v>1.7</v>
      </c>
      <c r="O170" s="55">
        <v>0.9</v>
      </c>
      <c r="P170" s="55">
        <v>1281.7</v>
      </c>
      <c r="Q170" s="55">
        <v>470.2</v>
      </c>
      <c r="R170" s="55">
        <v>1172.4000000000001</v>
      </c>
      <c r="S170" s="55">
        <v>2263.1999999999998</v>
      </c>
      <c r="T170" s="254" t="s">
        <v>764</v>
      </c>
      <c r="U170" s="254">
        <v>106132</v>
      </c>
      <c r="V170" s="254">
        <v>39024</v>
      </c>
      <c r="W170" s="254">
        <v>367</v>
      </c>
      <c r="X170" s="254">
        <v>0</v>
      </c>
      <c r="Y170" s="254">
        <v>0</v>
      </c>
    </row>
    <row r="171" spans="1:25" x14ac:dyDescent="0.35">
      <c r="A171" s="52">
        <v>20428</v>
      </c>
      <c r="B171" s="253">
        <v>44457</v>
      </c>
      <c r="C171" s="254" t="s">
        <v>184</v>
      </c>
      <c r="D171" s="52" t="s">
        <v>720</v>
      </c>
      <c r="E171" s="54">
        <v>6</v>
      </c>
      <c r="F171" s="53">
        <v>0</v>
      </c>
      <c r="G171" s="55">
        <v>4.4000000000000004</v>
      </c>
      <c r="H171" s="55">
        <v>2</v>
      </c>
      <c r="I171" s="55">
        <v>0.9</v>
      </c>
      <c r="J171" s="55">
        <v>0</v>
      </c>
      <c r="K171" s="55">
        <v>0</v>
      </c>
      <c r="L171" s="55">
        <v>0</v>
      </c>
      <c r="M171" s="55">
        <v>0</v>
      </c>
      <c r="N171" s="55">
        <v>0</v>
      </c>
      <c r="O171" s="55">
        <v>2</v>
      </c>
      <c r="P171" s="55">
        <v>1205.7</v>
      </c>
      <c r="Q171" s="55">
        <v>11</v>
      </c>
      <c r="R171" s="55">
        <v>1175.5999999999999</v>
      </c>
      <c r="S171" s="55">
        <v>3017.6</v>
      </c>
      <c r="T171" s="254" t="s">
        <v>768</v>
      </c>
      <c r="U171" s="254">
        <v>2126</v>
      </c>
      <c r="V171" s="254">
        <v>687</v>
      </c>
      <c r="W171" s="254">
        <v>33</v>
      </c>
      <c r="X171" s="254">
        <v>0</v>
      </c>
      <c r="Y171" s="254">
        <v>0</v>
      </c>
    </row>
    <row r="172" spans="1:25" x14ac:dyDescent="0.35">
      <c r="A172" s="52">
        <v>20429</v>
      </c>
      <c r="B172" s="253">
        <v>44457</v>
      </c>
      <c r="C172" s="254" t="s">
        <v>176</v>
      </c>
      <c r="D172" s="52" t="s">
        <v>709</v>
      </c>
      <c r="E172" s="54">
        <v>15.1</v>
      </c>
      <c r="F172" s="53">
        <v>0</v>
      </c>
      <c r="G172" s="55">
        <v>7.9</v>
      </c>
      <c r="H172" s="55">
        <v>1.4</v>
      </c>
      <c r="I172" s="55">
        <v>1</v>
      </c>
      <c r="J172" s="55">
        <v>0</v>
      </c>
      <c r="K172" s="55">
        <v>0</v>
      </c>
      <c r="L172" s="55">
        <v>0</v>
      </c>
      <c r="M172" s="55">
        <v>0</v>
      </c>
      <c r="N172" s="55">
        <v>1</v>
      </c>
      <c r="O172" s="55">
        <v>1</v>
      </c>
      <c r="P172" s="55">
        <v>1308.2</v>
      </c>
      <c r="Q172" s="55">
        <v>478</v>
      </c>
      <c r="R172" s="55">
        <v>1193</v>
      </c>
      <c r="S172" s="55">
        <v>2305.6999999999998</v>
      </c>
      <c r="T172" s="254" t="s">
        <v>748</v>
      </c>
      <c r="U172" s="254">
        <v>95097</v>
      </c>
      <c r="V172" s="254">
        <v>28057</v>
      </c>
      <c r="W172" s="254">
        <v>170</v>
      </c>
      <c r="X172" s="254">
        <v>0</v>
      </c>
      <c r="Y172" s="254">
        <v>0</v>
      </c>
    </row>
    <row r="173" spans="1:25" x14ac:dyDescent="0.35">
      <c r="A173" s="52">
        <v>20661</v>
      </c>
      <c r="B173" s="253">
        <v>44459</v>
      </c>
      <c r="C173" s="254" t="s">
        <v>173</v>
      </c>
      <c r="D173" s="52" t="s">
        <v>720</v>
      </c>
      <c r="E173" s="54">
        <v>6</v>
      </c>
      <c r="F173" s="53">
        <v>0</v>
      </c>
      <c r="G173" s="55">
        <v>3.4</v>
      </c>
      <c r="H173" s="55">
        <v>1.8</v>
      </c>
      <c r="I173" s="55">
        <v>1</v>
      </c>
      <c r="J173" s="55">
        <v>0</v>
      </c>
      <c r="K173" s="55">
        <v>0</v>
      </c>
      <c r="L173" s="55">
        <v>0</v>
      </c>
      <c r="M173" s="55">
        <v>0.1</v>
      </c>
      <c r="N173" s="55">
        <v>0.1</v>
      </c>
      <c r="O173" s="55">
        <v>1.9</v>
      </c>
      <c r="P173" s="55">
        <v>1300.7</v>
      </c>
      <c r="Q173" s="55">
        <v>12.2</v>
      </c>
      <c r="R173" s="55">
        <v>1228</v>
      </c>
      <c r="S173" s="55">
        <v>3198.4</v>
      </c>
      <c r="T173" s="254" t="s">
        <v>743</v>
      </c>
      <c r="U173" s="254">
        <v>2808</v>
      </c>
      <c r="V173" s="254">
        <v>868</v>
      </c>
      <c r="W173" s="254">
        <v>57</v>
      </c>
      <c r="X173" s="254">
        <v>0</v>
      </c>
      <c r="Y173" s="254">
        <v>0</v>
      </c>
    </row>
    <row r="174" spans="1:25" x14ac:dyDescent="0.35">
      <c r="A174" s="52">
        <v>20662</v>
      </c>
      <c r="B174" s="253">
        <v>44459</v>
      </c>
      <c r="C174" s="254" t="s">
        <v>174</v>
      </c>
      <c r="D174" s="52" t="s">
        <v>782</v>
      </c>
      <c r="E174" s="54">
        <v>76.3</v>
      </c>
      <c r="F174" s="53">
        <v>0</v>
      </c>
      <c r="G174" s="55">
        <v>16.899999999999999</v>
      </c>
      <c r="H174" s="55">
        <v>0</v>
      </c>
      <c r="I174" s="55">
        <v>0.7</v>
      </c>
      <c r="J174" s="55">
        <v>0</v>
      </c>
      <c r="K174" s="55">
        <v>0</v>
      </c>
      <c r="L174" s="55">
        <v>0</v>
      </c>
      <c r="M174" s="55">
        <v>0</v>
      </c>
      <c r="N174" s="55">
        <v>0.6</v>
      </c>
      <c r="O174" s="55">
        <v>0</v>
      </c>
      <c r="P174" s="55">
        <v>267.5</v>
      </c>
      <c r="Q174" s="55">
        <v>0.1</v>
      </c>
      <c r="R174" s="55">
        <v>5</v>
      </c>
      <c r="S174" s="55">
        <v>8.4</v>
      </c>
      <c r="T174" s="254" t="s">
        <v>750</v>
      </c>
      <c r="U174" s="254">
        <v>11520</v>
      </c>
      <c r="V174" s="254">
        <v>4090</v>
      </c>
      <c r="W174" s="254">
        <v>148</v>
      </c>
      <c r="X174" s="254">
        <v>0</v>
      </c>
      <c r="Y174" s="254">
        <v>0</v>
      </c>
    </row>
    <row r="175" spans="1:25" x14ac:dyDescent="0.35">
      <c r="A175" s="52">
        <v>20663</v>
      </c>
      <c r="B175" s="253">
        <v>44459</v>
      </c>
      <c r="C175" s="254" t="s">
        <v>175</v>
      </c>
      <c r="D175" s="52" t="s">
        <v>709</v>
      </c>
      <c r="E175" s="54">
        <v>15.1</v>
      </c>
      <c r="F175" s="53">
        <v>0</v>
      </c>
      <c r="G175" s="55">
        <v>7.5</v>
      </c>
      <c r="H175" s="55">
        <v>1.5</v>
      </c>
      <c r="I175" s="55">
        <v>1.1000000000000001</v>
      </c>
      <c r="J175" s="55">
        <v>0</v>
      </c>
      <c r="K175" s="55">
        <v>0</v>
      </c>
      <c r="L175" s="55">
        <v>0</v>
      </c>
      <c r="M175" s="55">
        <v>0</v>
      </c>
      <c r="N175" s="55">
        <v>1.9</v>
      </c>
      <c r="O175" s="55">
        <v>0.7</v>
      </c>
      <c r="P175" s="55">
        <v>1425.4</v>
      </c>
      <c r="Q175" s="55">
        <v>504</v>
      </c>
      <c r="R175" s="55">
        <v>1248</v>
      </c>
      <c r="S175" s="55">
        <v>2449.1</v>
      </c>
      <c r="T175" s="254" t="s">
        <v>748</v>
      </c>
      <c r="U175" s="254">
        <v>105722</v>
      </c>
      <c r="V175" s="254">
        <v>36040</v>
      </c>
      <c r="W175" s="254">
        <v>280</v>
      </c>
      <c r="X175" s="254">
        <v>0</v>
      </c>
      <c r="Y175" s="254">
        <v>0</v>
      </c>
    </row>
    <row r="176" spans="1:25" x14ac:dyDescent="0.35">
      <c r="A176" s="52">
        <v>20664</v>
      </c>
      <c r="B176" s="253">
        <v>44460</v>
      </c>
      <c r="C176" s="254" t="s">
        <v>177</v>
      </c>
      <c r="D176" s="52" t="s">
        <v>720</v>
      </c>
      <c r="E176" s="54">
        <v>6</v>
      </c>
      <c r="F176" s="53">
        <v>0</v>
      </c>
      <c r="G176" s="55">
        <v>3.3</v>
      </c>
      <c r="H176" s="55">
        <v>1.8</v>
      </c>
      <c r="I176" s="55">
        <v>1</v>
      </c>
      <c r="J176" s="55">
        <v>0</v>
      </c>
      <c r="K176" s="55">
        <v>0</v>
      </c>
      <c r="L176" s="55">
        <v>0</v>
      </c>
      <c r="M176" s="55">
        <v>0</v>
      </c>
      <c r="N176" s="55">
        <v>0.1</v>
      </c>
      <c r="O176" s="55">
        <v>1.7</v>
      </c>
      <c r="P176" s="55">
        <v>1299.7</v>
      </c>
      <c r="Q176" s="55">
        <v>13.3</v>
      </c>
      <c r="R176" s="55">
        <v>1214.3</v>
      </c>
      <c r="S176" s="55">
        <v>3182.2</v>
      </c>
      <c r="T176" s="254" t="s">
        <v>730</v>
      </c>
      <c r="U176" s="254">
        <v>3996</v>
      </c>
      <c r="V176" s="254">
        <v>918</v>
      </c>
      <c r="W176" s="254">
        <v>20</v>
      </c>
      <c r="X176" s="254">
        <v>0</v>
      </c>
      <c r="Y176" s="254">
        <v>0</v>
      </c>
    </row>
    <row r="177" spans="1:25" x14ac:dyDescent="0.35">
      <c r="A177" s="52">
        <v>20665</v>
      </c>
      <c r="B177" s="253">
        <v>44460</v>
      </c>
      <c r="C177" s="254" t="s">
        <v>221</v>
      </c>
      <c r="D177" s="52" t="s">
        <v>782</v>
      </c>
      <c r="E177" s="54">
        <v>76.8</v>
      </c>
      <c r="F177" s="53">
        <v>0</v>
      </c>
      <c r="G177" s="55">
        <v>17.100000000000001</v>
      </c>
      <c r="H177" s="55">
        <v>0</v>
      </c>
      <c r="I177" s="55">
        <v>0.8</v>
      </c>
      <c r="J177" s="55">
        <v>0</v>
      </c>
      <c r="K177" s="55">
        <v>0</v>
      </c>
      <c r="L177" s="55">
        <v>0</v>
      </c>
      <c r="M177" s="55">
        <v>0</v>
      </c>
      <c r="N177" s="55">
        <v>1.8</v>
      </c>
      <c r="O177" s="55">
        <v>0</v>
      </c>
      <c r="P177" s="55">
        <v>253.6</v>
      </c>
      <c r="Q177" s="55">
        <v>0.1</v>
      </c>
      <c r="R177" s="55">
        <v>1.3</v>
      </c>
      <c r="S177" s="55">
        <v>0</v>
      </c>
      <c r="T177" s="254" t="s">
        <v>783</v>
      </c>
      <c r="U177" s="254">
        <v>8751</v>
      </c>
      <c r="V177" s="254">
        <v>5470</v>
      </c>
      <c r="W177" s="254">
        <v>661</v>
      </c>
      <c r="X177" s="254">
        <v>7</v>
      </c>
      <c r="Y177" s="254">
        <v>0</v>
      </c>
    </row>
    <row r="178" spans="1:25" x14ac:dyDescent="0.35">
      <c r="A178" s="52">
        <v>20666</v>
      </c>
      <c r="B178" s="253">
        <v>44460</v>
      </c>
      <c r="C178" s="254" t="s">
        <v>176</v>
      </c>
      <c r="D178" s="52" t="s">
        <v>709</v>
      </c>
      <c r="E178" s="54">
        <v>15</v>
      </c>
      <c r="F178" s="53">
        <v>0</v>
      </c>
      <c r="G178" s="55">
        <v>6.5</v>
      </c>
      <c r="H178" s="55">
        <v>1.4</v>
      </c>
      <c r="I178" s="55">
        <v>1.2</v>
      </c>
      <c r="J178" s="55">
        <v>0</v>
      </c>
      <c r="K178" s="55">
        <v>0</v>
      </c>
      <c r="L178" s="55">
        <v>0</v>
      </c>
      <c r="M178" s="55">
        <v>0</v>
      </c>
      <c r="N178" s="55">
        <v>1.9</v>
      </c>
      <c r="O178" s="55">
        <v>0.4</v>
      </c>
      <c r="P178" s="55">
        <v>1398.6</v>
      </c>
      <c r="Q178" s="55">
        <v>491</v>
      </c>
      <c r="R178" s="55">
        <v>1222.2</v>
      </c>
      <c r="S178" s="55">
        <v>2360.4</v>
      </c>
      <c r="T178" s="254" t="s">
        <v>716</v>
      </c>
      <c r="U178" s="254">
        <v>91461</v>
      </c>
      <c r="V178" s="254">
        <v>28837</v>
      </c>
      <c r="W178" s="254">
        <v>103</v>
      </c>
      <c r="X178" s="254">
        <v>0</v>
      </c>
      <c r="Y178" s="254">
        <v>0</v>
      </c>
    </row>
    <row r="179" spans="1:25" x14ac:dyDescent="0.35">
      <c r="A179" s="52">
        <v>20944</v>
      </c>
      <c r="B179" s="253">
        <v>44463</v>
      </c>
      <c r="C179" s="254" t="s">
        <v>178</v>
      </c>
      <c r="D179" s="52" t="s">
        <v>720</v>
      </c>
      <c r="E179" s="54">
        <v>5.9</v>
      </c>
      <c r="F179" s="53">
        <v>0</v>
      </c>
      <c r="G179" s="55">
        <v>3.8</v>
      </c>
      <c r="H179" s="55">
        <v>1.9</v>
      </c>
      <c r="I179" s="55">
        <v>1.1000000000000001</v>
      </c>
      <c r="J179" s="55">
        <v>0</v>
      </c>
      <c r="K179" s="55">
        <v>0</v>
      </c>
      <c r="L179" s="55">
        <v>0</v>
      </c>
      <c r="M179" s="55">
        <v>0</v>
      </c>
      <c r="N179" s="55">
        <v>0.7</v>
      </c>
      <c r="O179" s="55">
        <v>1.7</v>
      </c>
      <c r="P179" s="55">
        <v>1288.4000000000001</v>
      </c>
      <c r="Q179" s="55">
        <v>11.8</v>
      </c>
      <c r="R179" s="55">
        <v>1188.9000000000001</v>
      </c>
      <c r="S179" s="55">
        <v>3149.3</v>
      </c>
      <c r="T179" s="254" t="s">
        <v>743</v>
      </c>
      <c r="U179" s="254">
        <v>4131</v>
      </c>
      <c r="V179" s="254">
        <v>1154</v>
      </c>
      <c r="W179" s="254">
        <v>47</v>
      </c>
      <c r="X179" s="254">
        <v>0</v>
      </c>
      <c r="Y179" s="254">
        <v>0</v>
      </c>
    </row>
    <row r="180" spans="1:25" x14ac:dyDescent="0.35">
      <c r="A180" s="52">
        <v>20945</v>
      </c>
      <c r="B180" s="253">
        <v>44463</v>
      </c>
      <c r="C180" s="254" t="s">
        <v>179</v>
      </c>
      <c r="D180" s="52" t="s">
        <v>709</v>
      </c>
      <c r="E180" s="54">
        <v>15</v>
      </c>
      <c r="F180" s="53">
        <v>0</v>
      </c>
      <c r="G180" s="55">
        <v>7.2</v>
      </c>
      <c r="H180" s="55">
        <v>1.4</v>
      </c>
      <c r="I180" s="55">
        <v>1.3</v>
      </c>
      <c r="J180" s="55">
        <v>0</v>
      </c>
      <c r="K180" s="55">
        <v>0</v>
      </c>
      <c r="L180" s="55">
        <v>0</v>
      </c>
      <c r="M180" s="55">
        <v>0</v>
      </c>
      <c r="N180" s="55">
        <v>1.4</v>
      </c>
      <c r="O180" s="55">
        <v>1</v>
      </c>
      <c r="P180" s="55">
        <v>1429.3</v>
      </c>
      <c r="Q180" s="55">
        <v>497.9</v>
      </c>
      <c r="R180" s="55">
        <v>1237.7</v>
      </c>
      <c r="S180" s="55">
        <v>2408.1999999999998</v>
      </c>
      <c r="T180" s="254" t="s">
        <v>748</v>
      </c>
      <c r="U180" s="254">
        <v>94028</v>
      </c>
      <c r="V180" s="254">
        <v>32642</v>
      </c>
      <c r="W180" s="254">
        <v>237</v>
      </c>
      <c r="X180" s="254">
        <v>0</v>
      </c>
      <c r="Y180" s="254">
        <v>0</v>
      </c>
    </row>
    <row r="181" spans="1:25" x14ac:dyDescent="0.35">
      <c r="A181" s="52">
        <v>20946</v>
      </c>
      <c r="B181" s="253">
        <v>44463</v>
      </c>
      <c r="C181" s="254" t="s">
        <v>180</v>
      </c>
      <c r="D181" s="52" t="s">
        <v>757</v>
      </c>
      <c r="E181" s="54">
        <v>25.4</v>
      </c>
      <c r="F181" s="53">
        <v>0</v>
      </c>
      <c r="G181" s="55">
        <v>8.4</v>
      </c>
      <c r="H181" s="55">
        <v>1.7</v>
      </c>
      <c r="I181" s="55">
        <v>1</v>
      </c>
      <c r="J181" s="55">
        <v>0</v>
      </c>
      <c r="K181" s="55">
        <v>0</v>
      </c>
      <c r="L181" s="55">
        <v>0</v>
      </c>
      <c r="M181" s="55">
        <v>0</v>
      </c>
      <c r="N181" s="55">
        <v>0</v>
      </c>
      <c r="O181" s="55">
        <v>2</v>
      </c>
      <c r="P181" s="55">
        <v>1334.1</v>
      </c>
      <c r="Q181" s="55">
        <v>13.2</v>
      </c>
      <c r="R181" s="55">
        <v>1223.7</v>
      </c>
      <c r="S181" s="55">
        <v>3182.2</v>
      </c>
      <c r="T181" s="254" t="s">
        <v>758</v>
      </c>
      <c r="U181" s="254">
        <v>11676</v>
      </c>
      <c r="V181" s="254">
        <v>3711</v>
      </c>
      <c r="W181" s="254">
        <v>203</v>
      </c>
      <c r="X181" s="254">
        <v>0</v>
      </c>
      <c r="Y181" s="254">
        <v>0</v>
      </c>
    </row>
    <row r="182" spans="1:25" x14ac:dyDescent="0.35">
      <c r="A182" s="52">
        <v>20947</v>
      </c>
      <c r="B182" s="253">
        <v>44464</v>
      </c>
      <c r="C182" s="254" t="s">
        <v>176</v>
      </c>
      <c r="D182" s="52" t="s">
        <v>720</v>
      </c>
      <c r="E182" s="54">
        <v>5.9</v>
      </c>
      <c r="F182" s="53">
        <v>0</v>
      </c>
      <c r="G182" s="55">
        <v>3.7</v>
      </c>
      <c r="H182" s="55">
        <v>1.7</v>
      </c>
      <c r="I182" s="55">
        <v>1</v>
      </c>
      <c r="J182" s="55">
        <v>0</v>
      </c>
      <c r="K182" s="55">
        <v>0</v>
      </c>
      <c r="L182" s="55">
        <v>0</v>
      </c>
      <c r="M182" s="55">
        <v>0</v>
      </c>
      <c r="N182" s="55">
        <v>0</v>
      </c>
      <c r="O182" s="55">
        <v>2.1</v>
      </c>
      <c r="P182" s="55">
        <v>1327.4</v>
      </c>
      <c r="Q182" s="55">
        <v>11.7</v>
      </c>
      <c r="R182" s="55">
        <v>1221.5999999999999</v>
      </c>
      <c r="S182" s="55">
        <v>3178.4</v>
      </c>
      <c r="T182" s="254" t="s">
        <v>730</v>
      </c>
      <c r="U182" s="254">
        <v>3456</v>
      </c>
      <c r="V182" s="254">
        <v>981</v>
      </c>
      <c r="W182" s="254">
        <v>20</v>
      </c>
      <c r="X182" s="254">
        <v>0</v>
      </c>
      <c r="Y182" s="254">
        <v>0</v>
      </c>
    </row>
    <row r="183" spans="1:25" x14ac:dyDescent="0.35">
      <c r="A183" s="52">
        <v>20948</v>
      </c>
      <c r="B183" s="253">
        <v>44464</v>
      </c>
      <c r="C183" s="254" t="s">
        <v>177</v>
      </c>
      <c r="D183" s="52" t="s">
        <v>757</v>
      </c>
      <c r="E183" s="54">
        <v>25.5</v>
      </c>
      <c r="F183" s="53">
        <v>0</v>
      </c>
      <c r="G183" s="55">
        <v>7.6</v>
      </c>
      <c r="H183" s="55">
        <v>1.7</v>
      </c>
      <c r="I183" s="55">
        <v>1</v>
      </c>
      <c r="J183" s="55">
        <v>0</v>
      </c>
      <c r="K183" s="55">
        <v>0</v>
      </c>
      <c r="L183" s="55">
        <v>0</v>
      </c>
      <c r="M183" s="55">
        <v>0</v>
      </c>
      <c r="N183" s="55">
        <v>0.2</v>
      </c>
      <c r="O183" s="55">
        <v>2.1</v>
      </c>
      <c r="P183" s="55">
        <v>1337.8</v>
      </c>
      <c r="Q183" s="55">
        <v>11.8</v>
      </c>
      <c r="R183" s="55">
        <v>1237.8</v>
      </c>
      <c r="S183" s="55">
        <v>3228.6</v>
      </c>
      <c r="T183" s="254" t="s">
        <v>747</v>
      </c>
      <c r="U183" s="254">
        <v>5958</v>
      </c>
      <c r="V183" s="254">
        <v>1740</v>
      </c>
      <c r="W183" s="254">
        <v>43</v>
      </c>
      <c r="X183" s="254">
        <v>0</v>
      </c>
      <c r="Y183" s="254">
        <v>0</v>
      </c>
    </row>
    <row r="184" spans="1:25" x14ac:dyDescent="0.35">
      <c r="A184" s="52">
        <v>20949</v>
      </c>
      <c r="B184" s="253">
        <v>44464</v>
      </c>
      <c r="C184" s="254" t="s">
        <v>215</v>
      </c>
      <c r="D184" s="52" t="s">
        <v>709</v>
      </c>
      <c r="E184" s="54">
        <v>15</v>
      </c>
      <c r="F184" s="53">
        <v>0</v>
      </c>
      <c r="G184" s="55">
        <v>7.5</v>
      </c>
      <c r="H184" s="55">
        <v>1.4</v>
      </c>
      <c r="I184" s="55">
        <v>1.2</v>
      </c>
      <c r="J184" s="55">
        <v>0</v>
      </c>
      <c r="K184" s="55">
        <v>0</v>
      </c>
      <c r="L184" s="55">
        <v>0</v>
      </c>
      <c r="M184" s="55">
        <v>0</v>
      </c>
      <c r="N184" s="55">
        <v>1.7</v>
      </c>
      <c r="O184" s="55">
        <v>0.8</v>
      </c>
      <c r="P184" s="55">
        <v>1450.7</v>
      </c>
      <c r="Q184" s="55">
        <v>494.2</v>
      </c>
      <c r="R184" s="55">
        <v>1245.0999999999999</v>
      </c>
      <c r="S184" s="55">
        <v>2411.4</v>
      </c>
      <c r="T184" s="254" t="s">
        <v>713</v>
      </c>
      <c r="U184" s="254">
        <v>77940</v>
      </c>
      <c r="V184" s="254">
        <v>24165</v>
      </c>
      <c r="W184" s="254">
        <v>167</v>
      </c>
      <c r="X184" s="254">
        <v>0</v>
      </c>
      <c r="Y184" s="254">
        <v>0</v>
      </c>
    </row>
    <row r="185" spans="1:25" x14ac:dyDescent="0.35">
      <c r="A185" s="52">
        <v>21174</v>
      </c>
      <c r="B185" s="253">
        <v>44466</v>
      </c>
      <c r="C185" s="254" t="s">
        <v>173</v>
      </c>
      <c r="D185" s="52" t="s">
        <v>735</v>
      </c>
      <c r="E185" s="54">
        <v>11.1</v>
      </c>
      <c r="F185" s="53">
        <v>0</v>
      </c>
      <c r="G185" s="55">
        <v>3.7</v>
      </c>
      <c r="H185" s="55">
        <v>2</v>
      </c>
      <c r="I185" s="55">
        <v>0.9</v>
      </c>
      <c r="J185" s="55">
        <v>0</v>
      </c>
      <c r="K185" s="55">
        <v>0</v>
      </c>
      <c r="L185" s="55">
        <v>0</v>
      </c>
      <c r="M185" s="55">
        <v>0</v>
      </c>
      <c r="N185" s="55">
        <v>0.6</v>
      </c>
      <c r="O185" s="55">
        <v>2.2000000000000002</v>
      </c>
      <c r="P185" s="55">
        <v>1255</v>
      </c>
      <c r="Q185" s="55">
        <v>11.7</v>
      </c>
      <c r="R185" s="55">
        <v>1187.5999999999999</v>
      </c>
      <c r="S185" s="55">
        <v>3111</v>
      </c>
      <c r="T185" s="254" t="s">
        <v>773</v>
      </c>
      <c r="U185" s="254">
        <v>2949</v>
      </c>
      <c r="V185" s="254">
        <v>875</v>
      </c>
      <c r="W185" s="254">
        <v>100</v>
      </c>
      <c r="X185" s="254">
        <v>7</v>
      </c>
      <c r="Y185" s="254">
        <v>0</v>
      </c>
    </row>
    <row r="186" spans="1:25" x14ac:dyDescent="0.35">
      <c r="A186" s="52">
        <v>21175</v>
      </c>
      <c r="B186" s="253">
        <v>44466</v>
      </c>
      <c r="C186" s="254" t="s">
        <v>174</v>
      </c>
      <c r="D186" s="52" t="s">
        <v>720</v>
      </c>
      <c r="E186" s="54">
        <v>6.1</v>
      </c>
      <c r="F186" s="53">
        <v>0</v>
      </c>
      <c r="G186" s="55">
        <v>3.3</v>
      </c>
      <c r="H186" s="55">
        <v>1.8</v>
      </c>
      <c r="I186" s="55">
        <v>1</v>
      </c>
      <c r="J186" s="55">
        <v>0</v>
      </c>
      <c r="K186" s="55">
        <v>0</v>
      </c>
      <c r="L186" s="55">
        <v>0</v>
      </c>
      <c r="M186" s="55">
        <v>0</v>
      </c>
      <c r="N186" s="55">
        <v>0.4</v>
      </c>
      <c r="O186" s="55">
        <v>2.5</v>
      </c>
      <c r="P186" s="55">
        <v>1239.7</v>
      </c>
      <c r="Q186" s="55">
        <v>12.2</v>
      </c>
      <c r="R186" s="55">
        <v>1192.7</v>
      </c>
      <c r="S186" s="55">
        <v>3118</v>
      </c>
      <c r="T186" s="254" t="s">
        <v>747</v>
      </c>
      <c r="U186" s="254">
        <v>6397</v>
      </c>
      <c r="V186" s="254">
        <v>1848</v>
      </c>
      <c r="W186" s="254">
        <v>77</v>
      </c>
      <c r="X186" s="254">
        <v>0</v>
      </c>
      <c r="Y186" s="254">
        <v>0</v>
      </c>
    </row>
    <row r="187" spans="1:25" x14ac:dyDescent="0.35">
      <c r="A187" s="52">
        <v>21176</v>
      </c>
      <c r="B187" s="253">
        <v>44466</v>
      </c>
      <c r="C187" s="254" t="s">
        <v>175</v>
      </c>
      <c r="D187" s="52" t="s">
        <v>709</v>
      </c>
      <c r="E187" s="54">
        <v>14.8</v>
      </c>
      <c r="F187" s="53">
        <v>0</v>
      </c>
      <c r="G187" s="55">
        <v>6.9</v>
      </c>
      <c r="H187" s="55">
        <v>1.5</v>
      </c>
      <c r="I187" s="55">
        <v>1.2</v>
      </c>
      <c r="J187" s="55">
        <v>0</v>
      </c>
      <c r="K187" s="55">
        <v>0</v>
      </c>
      <c r="L187" s="55">
        <v>0</v>
      </c>
      <c r="M187" s="55">
        <v>0</v>
      </c>
      <c r="N187" s="55">
        <v>2.1</v>
      </c>
      <c r="O187" s="55">
        <v>0.9</v>
      </c>
      <c r="P187" s="55">
        <v>1359.9</v>
      </c>
      <c r="Q187" s="55">
        <v>489.4</v>
      </c>
      <c r="R187" s="55">
        <v>1211.7</v>
      </c>
      <c r="S187" s="55">
        <v>2347.6999999999998</v>
      </c>
      <c r="T187" s="254" t="s">
        <v>748</v>
      </c>
      <c r="U187" s="254">
        <v>96925</v>
      </c>
      <c r="V187" s="254">
        <v>35706</v>
      </c>
      <c r="W187" s="254">
        <v>230</v>
      </c>
      <c r="X187" s="254">
        <v>0</v>
      </c>
      <c r="Y187" s="254">
        <v>0</v>
      </c>
    </row>
    <row r="188" spans="1:25" x14ac:dyDescent="0.35">
      <c r="A188" s="52">
        <v>21177</v>
      </c>
      <c r="B188" s="253">
        <v>44467</v>
      </c>
      <c r="C188" s="254" t="s">
        <v>216</v>
      </c>
      <c r="D188" s="52" t="s">
        <v>735</v>
      </c>
      <c r="E188" s="54">
        <v>11</v>
      </c>
      <c r="F188" s="53">
        <v>0</v>
      </c>
      <c r="G188" s="55">
        <v>2.9</v>
      </c>
      <c r="H188" s="55">
        <v>1.8</v>
      </c>
      <c r="I188" s="55">
        <v>0.9</v>
      </c>
      <c r="J188" s="55">
        <v>0</v>
      </c>
      <c r="K188" s="55">
        <v>0</v>
      </c>
      <c r="L188" s="55">
        <v>0</v>
      </c>
      <c r="M188" s="55">
        <v>0</v>
      </c>
      <c r="N188" s="55">
        <v>0.5</v>
      </c>
      <c r="O188" s="55">
        <v>1.9</v>
      </c>
      <c r="P188" s="55">
        <v>1263.8</v>
      </c>
      <c r="Q188" s="55">
        <v>11.9</v>
      </c>
      <c r="R188" s="55">
        <v>1193.2</v>
      </c>
      <c r="S188" s="55">
        <v>3093.7</v>
      </c>
      <c r="T188" s="254" t="s">
        <v>784</v>
      </c>
      <c r="U188" s="254">
        <v>3139</v>
      </c>
      <c r="V188" s="254">
        <v>1065</v>
      </c>
      <c r="W188" s="254">
        <v>2</v>
      </c>
      <c r="X188" s="254">
        <v>0</v>
      </c>
      <c r="Y188" s="254">
        <v>0</v>
      </c>
    </row>
    <row r="189" spans="1:25" x14ac:dyDescent="0.35">
      <c r="A189" s="52">
        <v>21178</v>
      </c>
      <c r="B189" s="253">
        <v>44467</v>
      </c>
      <c r="C189" s="254" t="s">
        <v>184</v>
      </c>
      <c r="D189" s="52" t="s">
        <v>720</v>
      </c>
      <c r="E189" s="54">
        <v>6.1</v>
      </c>
      <c r="F189" s="53">
        <v>0</v>
      </c>
      <c r="G189" s="55">
        <v>3.1</v>
      </c>
      <c r="H189" s="55">
        <v>1.7</v>
      </c>
      <c r="I189" s="55">
        <v>1</v>
      </c>
      <c r="J189" s="55">
        <v>0</v>
      </c>
      <c r="K189" s="55">
        <v>0</v>
      </c>
      <c r="L189" s="55">
        <v>0</v>
      </c>
      <c r="M189" s="55">
        <v>0</v>
      </c>
      <c r="N189" s="55">
        <v>0.4</v>
      </c>
      <c r="O189" s="55">
        <v>2.2000000000000002</v>
      </c>
      <c r="P189" s="55">
        <v>1254</v>
      </c>
      <c r="Q189" s="55">
        <v>12.3</v>
      </c>
      <c r="R189" s="55">
        <v>1176.0999999999999</v>
      </c>
      <c r="S189" s="55">
        <v>3019.8</v>
      </c>
      <c r="T189" s="254" t="s">
        <v>369</v>
      </c>
      <c r="U189" s="254">
        <v>2490</v>
      </c>
      <c r="V189" s="254">
        <v>985</v>
      </c>
      <c r="W189" s="254">
        <v>13</v>
      </c>
      <c r="X189" s="254">
        <v>0</v>
      </c>
      <c r="Y189" s="254">
        <v>0</v>
      </c>
    </row>
    <row r="190" spans="1:25" x14ac:dyDescent="0.35">
      <c r="A190" s="52">
        <v>21179</v>
      </c>
      <c r="B190" s="253">
        <v>44467</v>
      </c>
      <c r="C190" s="254" t="s">
        <v>185</v>
      </c>
      <c r="D190" s="52" t="s">
        <v>709</v>
      </c>
      <c r="E190" s="54">
        <v>14.9</v>
      </c>
      <c r="F190" s="53">
        <v>0</v>
      </c>
      <c r="G190" s="55">
        <v>7.1</v>
      </c>
      <c r="H190" s="55">
        <v>1.4</v>
      </c>
      <c r="I190" s="55">
        <v>1.1000000000000001</v>
      </c>
      <c r="J190" s="55">
        <v>0</v>
      </c>
      <c r="K190" s="55">
        <v>0</v>
      </c>
      <c r="L190" s="55">
        <v>0</v>
      </c>
      <c r="M190" s="55">
        <v>0</v>
      </c>
      <c r="N190" s="55">
        <v>1.9</v>
      </c>
      <c r="O190" s="55">
        <v>1</v>
      </c>
      <c r="P190" s="55">
        <v>1361.3</v>
      </c>
      <c r="Q190" s="55">
        <v>486</v>
      </c>
      <c r="R190" s="55">
        <v>1198.3</v>
      </c>
      <c r="S190" s="55">
        <v>2327.4</v>
      </c>
      <c r="T190" s="254" t="s">
        <v>748</v>
      </c>
      <c r="U190" s="254">
        <v>100424</v>
      </c>
      <c r="V190" s="254">
        <v>32147</v>
      </c>
      <c r="W190" s="254">
        <v>210</v>
      </c>
      <c r="X190" s="254">
        <v>0</v>
      </c>
      <c r="Y190" s="254">
        <v>0</v>
      </c>
    </row>
    <row r="191" spans="1:25" x14ac:dyDescent="0.35">
      <c r="A191" s="52">
        <v>9974</v>
      </c>
      <c r="B191" s="253">
        <v>44474</v>
      </c>
      <c r="C191" s="254" t="s">
        <v>222</v>
      </c>
      <c r="D191" s="52" t="s">
        <v>735</v>
      </c>
      <c r="E191" s="54">
        <v>11.1</v>
      </c>
      <c r="F191" s="53">
        <v>0</v>
      </c>
      <c r="G191" s="55">
        <v>4.0999999999999996</v>
      </c>
      <c r="H191" s="55">
        <v>1.9</v>
      </c>
      <c r="I191" s="55">
        <v>1.1000000000000001</v>
      </c>
      <c r="J191" s="55">
        <v>0</v>
      </c>
      <c r="K191" s="55">
        <v>0</v>
      </c>
      <c r="L191" s="55">
        <v>0</v>
      </c>
      <c r="M191" s="55">
        <v>0</v>
      </c>
      <c r="N191" s="55">
        <v>0</v>
      </c>
      <c r="O191" s="55">
        <v>2.6</v>
      </c>
      <c r="P191" s="55">
        <v>1295</v>
      </c>
      <c r="Q191" s="55">
        <v>10.3</v>
      </c>
      <c r="R191" s="55">
        <v>1176</v>
      </c>
      <c r="S191" s="55">
        <v>2987</v>
      </c>
      <c r="T191" s="254" t="s">
        <v>737</v>
      </c>
      <c r="U191" s="254">
        <v>3320</v>
      </c>
      <c r="V191" s="254">
        <v>623</v>
      </c>
      <c r="W191" s="254">
        <v>3</v>
      </c>
      <c r="X191" s="254">
        <v>0</v>
      </c>
      <c r="Y191" s="254">
        <v>0</v>
      </c>
    </row>
    <row r="192" spans="1:25" x14ac:dyDescent="0.35">
      <c r="A192" s="52">
        <v>9975</v>
      </c>
      <c r="B192" s="253">
        <v>44474</v>
      </c>
      <c r="C192" s="254" t="s">
        <v>223</v>
      </c>
      <c r="D192" s="52" t="s">
        <v>709</v>
      </c>
      <c r="E192" s="54">
        <v>15.6</v>
      </c>
      <c r="F192" s="53">
        <v>0</v>
      </c>
      <c r="G192" s="54">
        <v>9.6</v>
      </c>
      <c r="H192" s="54">
        <v>1.5</v>
      </c>
      <c r="I192" s="54">
        <v>1.5</v>
      </c>
      <c r="J192" s="54">
        <v>0.1</v>
      </c>
      <c r="K192" s="54">
        <v>0</v>
      </c>
      <c r="L192" s="54">
        <v>0</v>
      </c>
      <c r="M192" s="54">
        <v>0</v>
      </c>
      <c r="N192" s="54">
        <v>0.8</v>
      </c>
      <c r="O192" s="54">
        <v>0.1</v>
      </c>
      <c r="P192" s="54">
        <v>1423</v>
      </c>
      <c r="Q192" s="54">
        <v>469.5</v>
      </c>
      <c r="R192" s="54">
        <v>1218</v>
      </c>
      <c r="S192" s="255">
        <v>2281</v>
      </c>
      <c r="T192" s="254" t="s">
        <v>716</v>
      </c>
      <c r="U192" s="254">
        <v>80464</v>
      </c>
      <c r="V192" s="254">
        <v>23761</v>
      </c>
      <c r="W192" s="254">
        <v>110</v>
      </c>
      <c r="X192" s="254">
        <v>0</v>
      </c>
      <c r="Y192" s="254">
        <v>0</v>
      </c>
    </row>
    <row r="193" spans="1:25" x14ac:dyDescent="0.35">
      <c r="A193" s="52">
        <v>9976</v>
      </c>
      <c r="B193" s="253">
        <v>44474</v>
      </c>
      <c r="C193" s="254" t="s">
        <v>224</v>
      </c>
      <c r="D193" s="52" t="s">
        <v>733</v>
      </c>
      <c r="E193" s="54">
        <v>6.1</v>
      </c>
      <c r="F193" s="53">
        <v>0</v>
      </c>
      <c r="G193" s="55">
        <v>4.3</v>
      </c>
      <c r="H193" s="55">
        <v>2</v>
      </c>
      <c r="I193" s="55">
        <v>1</v>
      </c>
      <c r="J193" s="55">
        <v>0</v>
      </c>
      <c r="K193" s="55">
        <v>0.1</v>
      </c>
      <c r="L193" s="55">
        <v>0</v>
      </c>
      <c r="M193" s="55">
        <v>0</v>
      </c>
      <c r="N193" s="55">
        <v>0</v>
      </c>
      <c r="O193" s="55">
        <v>2.1</v>
      </c>
      <c r="P193" s="55">
        <v>1291</v>
      </c>
      <c r="Q193" s="55">
        <v>11.7</v>
      </c>
      <c r="R193" s="55">
        <v>1167</v>
      </c>
      <c r="S193" s="55">
        <v>2939</v>
      </c>
      <c r="T193" s="254" t="s">
        <v>740</v>
      </c>
      <c r="U193" s="254">
        <v>8919</v>
      </c>
      <c r="V193" s="254">
        <v>2596</v>
      </c>
      <c r="W193" s="254">
        <v>27</v>
      </c>
      <c r="X193" s="254">
        <v>0</v>
      </c>
      <c r="Y193" s="254">
        <v>0</v>
      </c>
    </row>
    <row r="194" spans="1:25" x14ac:dyDescent="0.35">
      <c r="A194" s="52">
        <v>14738</v>
      </c>
      <c r="B194" s="253">
        <v>44476</v>
      </c>
      <c r="C194" s="254" t="s">
        <v>172</v>
      </c>
      <c r="D194" s="52" t="s">
        <v>746</v>
      </c>
      <c r="E194" s="54">
        <v>5.9</v>
      </c>
      <c r="F194" s="53">
        <v>0</v>
      </c>
      <c r="G194" s="54">
        <v>4.3</v>
      </c>
      <c r="H194" s="54">
        <v>1.9</v>
      </c>
      <c r="I194" s="54">
        <v>1</v>
      </c>
      <c r="J194" s="54">
        <v>0</v>
      </c>
      <c r="K194" s="54">
        <v>0</v>
      </c>
      <c r="L194" s="54">
        <v>0</v>
      </c>
      <c r="M194" s="54">
        <v>0</v>
      </c>
      <c r="N194" s="54">
        <v>1.1000000000000001</v>
      </c>
      <c r="O194" s="54">
        <v>1.9</v>
      </c>
      <c r="P194" s="54">
        <v>1294.8</v>
      </c>
      <c r="Q194" s="54">
        <v>12.4</v>
      </c>
      <c r="R194" s="54">
        <v>1201.7</v>
      </c>
      <c r="S194" s="255">
        <v>3092.3</v>
      </c>
      <c r="T194" s="254" t="s">
        <v>721</v>
      </c>
      <c r="U194" s="254">
        <v>3141</v>
      </c>
      <c r="V194" s="254">
        <v>1100</v>
      </c>
      <c r="W194" s="254">
        <v>10</v>
      </c>
      <c r="X194" s="254">
        <v>0</v>
      </c>
      <c r="Y194" s="254">
        <v>0</v>
      </c>
    </row>
    <row r="195" spans="1:25" x14ac:dyDescent="0.35">
      <c r="A195" s="52">
        <v>14739</v>
      </c>
      <c r="B195" s="253">
        <v>44476</v>
      </c>
      <c r="C195" s="254" t="s">
        <v>191</v>
      </c>
      <c r="D195" s="52" t="s">
        <v>723</v>
      </c>
      <c r="E195" s="54">
        <v>15.2</v>
      </c>
      <c r="F195" s="53">
        <v>0</v>
      </c>
      <c r="G195" s="55">
        <v>9.8000000000000007</v>
      </c>
      <c r="H195" s="55">
        <v>1.5</v>
      </c>
      <c r="I195" s="55">
        <v>1.4</v>
      </c>
      <c r="J195" s="55">
        <v>0</v>
      </c>
      <c r="K195" s="55">
        <v>0</v>
      </c>
      <c r="L195" s="55">
        <v>0</v>
      </c>
      <c r="M195" s="55">
        <v>0</v>
      </c>
      <c r="N195" s="55">
        <v>3.1</v>
      </c>
      <c r="O195" s="55">
        <v>0.5</v>
      </c>
      <c r="P195" s="55">
        <v>1408.6</v>
      </c>
      <c r="Q195" s="55">
        <v>491.8</v>
      </c>
      <c r="R195" s="55">
        <v>1236.8</v>
      </c>
      <c r="S195" s="55">
        <v>2379</v>
      </c>
      <c r="T195" s="254" t="s">
        <v>748</v>
      </c>
      <c r="U195" s="254">
        <v>102844</v>
      </c>
      <c r="V195" s="254">
        <v>33496</v>
      </c>
      <c r="W195" s="254">
        <v>310</v>
      </c>
      <c r="X195" s="254">
        <v>0</v>
      </c>
      <c r="Y195" s="254">
        <v>0</v>
      </c>
    </row>
    <row r="196" spans="1:25" x14ac:dyDescent="0.35">
      <c r="A196" s="52">
        <v>14740</v>
      </c>
      <c r="B196" s="253">
        <v>44476</v>
      </c>
      <c r="C196" s="254" t="s">
        <v>171</v>
      </c>
      <c r="D196" s="52" t="s">
        <v>723</v>
      </c>
      <c r="E196" s="54">
        <v>15.1</v>
      </c>
      <c r="F196" s="53">
        <v>0</v>
      </c>
      <c r="G196" s="54">
        <v>9.4</v>
      </c>
      <c r="H196" s="54">
        <v>1.5</v>
      </c>
      <c r="I196" s="54">
        <v>1.3</v>
      </c>
      <c r="J196" s="54">
        <v>0</v>
      </c>
      <c r="K196" s="54">
        <v>0</v>
      </c>
      <c r="L196" s="54">
        <v>0</v>
      </c>
      <c r="M196" s="54">
        <v>0</v>
      </c>
      <c r="N196" s="54">
        <v>2.8</v>
      </c>
      <c r="O196" s="54">
        <v>0.6</v>
      </c>
      <c r="P196" s="54">
        <v>1412.6</v>
      </c>
      <c r="Q196" s="54">
        <v>489.5</v>
      </c>
      <c r="R196" s="54">
        <v>1225.3</v>
      </c>
      <c r="S196" s="255">
        <v>2361</v>
      </c>
      <c r="T196" s="254" t="s">
        <v>716</v>
      </c>
      <c r="U196" s="254">
        <v>82100</v>
      </c>
      <c r="V196" s="254">
        <v>26568</v>
      </c>
      <c r="W196" s="254">
        <v>120</v>
      </c>
      <c r="X196" s="254">
        <v>0</v>
      </c>
      <c r="Y196" s="254">
        <v>0</v>
      </c>
    </row>
    <row r="197" spans="1:25" x14ac:dyDescent="0.35">
      <c r="A197" s="52">
        <v>22197</v>
      </c>
      <c r="B197" s="253">
        <v>44479</v>
      </c>
      <c r="C197" s="254" t="s">
        <v>185</v>
      </c>
      <c r="D197" s="52" t="s">
        <v>709</v>
      </c>
      <c r="E197" s="54">
        <v>14.9</v>
      </c>
      <c r="F197" s="53">
        <v>0</v>
      </c>
      <c r="G197" s="55">
        <v>8.1999999999999993</v>
      </c>
      <c r="H197" s="55">
        <v>1.3</v>
      </c>
      <c r="I197" s="55">
        <v>1.3</v>
      </c>
      <c r="J197" s="55">
        <v>0</v>
      </c>
      <c r="K197" s="55">
        <v>0</v>
      </c>
      <c r="L197" s="55">
        <v>0</v>
      </c>
      <c r="M197" s="55">
        <v>0</v>
      </c>
      <c r="N197" s="55">
        <v>2</v>
      </c>
      <c r="O197" s="55">
        <v>0.7</v>
      </c>
      <c r="P197" s="55">
        <v>1390.6</v>
      </c>
      <c r="Q197" s="55">
        <v>485</v>
      </c>
      <c r="R197" s="55">
        <v>1201.5999999999999</v>
      </c>
      <c r="S197" s="55">
        <v>2322.6999999999998</v>
      </c>
      <c r="T197" s="254" t="s">
        <v>748</v>
      </c>
      <c r="U197" s="254">
        <v>93635</v>
      </c>
      <c r="V197" s="254">
        <v>27532</v>
      </c>
      <c r="W197" s="254">
        <v>267</v>
      </c>
      <c r="X197" s="254">
        <v>0</v>
      </c>
      <c r="Y197" s="254">
        <v>0</v>
      </c>
    </row>
    <row r="198" spans="1:25" x14ac:dyDescent="0.35">
      <c r="A198" s="52">
        <v>22198</v>
      </c>
      <c r="B198" s="253">
        <v>44479</v>
      </c>
      <c r="C198" s="254" t="s">
        <v>184</v>
      </c>
      <c r="D198" s="52" t="s">
        <v>720</v>
      </c>
      <c r="E198" s="54">
        <v>5.9</v>
      </c>
      <c r="F198" s="53">
        <v>0</v>
      </c>
      <c r="G198" s="55">
        <v>4.0999999999999996</v>
      </c>
      <c r="H198" s="55">
        <v>1.6</v>
      </c>
      <c r="I198" s="55">
        <v>0.9</v>
      </c>
      <c r="J198" s="55">
        <v>0</v>
      </c>
      <c r="K198" s="55">
        <v>0</v>
      </c>
      <c r="L198" s="55">
        <v>0</v>
      </c>
      <c r="M198" s="55">
        <v>0</v>
      </c>
      <c r="N198" s="55">
        <v>0.3</v>
      </c>
      <c r="O198" s="55">
        <v>2</v>
      </c>
      <c r="P198" s="55">
        <v>1295.3</v>
      </c>
      <c r="Q198" s="55">
        <v>13.8</v>
      </c>
      <c r="R198" s="55">
        <v>1195.4000000000001</v>
      </c>
      <c r="S198" s="55">
        <v>3072.3</v>
      </c>
      <c r="T198" s="254" t="s">
        <v>721</v>
      </c>
      <c r="U198" s="254">
        <v>3185</v>
      </c>
      <c r="V198" s="254">
        <v>1278</v>
      </c>
      <c r="W198" s="254">
        <v>17</v>
      </c>
      <c r="X198" s="254">
        <v>0</v>
      </c>
      <c r="Y198" s="254">
        <v>0</v>
      </c>
    </row>
    <row r="199" spans="1:25" x14ac:dyDescent="0.35">
      <c r="A199" s="52">
        <v>22199</v>
      </c>
      <c r="B199" s="253">
        <v>44479</v>
      </c>
      <c r="C199" s="254" t="s">
        <v>176</v>
      </c>
      <c r="D199" s="52" t="s">
        <v>709</v>
      </c>
      <c r="E199" s="54">
        <v>14.9</v>
      </c>
      <c r="F199" s="53">
        <v>0</v>
      </c>
      <c r="G199" s="55">
        <v>8</v>
      </c>
      <c r="H199" s="55">
        <v>1.3</v>
      </c>
      <c r="I199" s="55">
        <v>1.3</v>
      </c>
      <c r="J199" s="55">
        <v>0</v>
      </c>
      <c r="K199" s="55">
        <v>0</v>
      </c>
      <c r="L199" s="55">
        <v>0</v>
      </c>
      <c r="M199" s="55">
        <v>0</v>
      </c>
      <c r="N199" s="55">
        <v>1.8</v>
      </c>
      <c r="O199" s="55">
        <v>0.7</v>
      </c>
      <c r="P199" s="55">
        <v>1405.3</v>
      </c>
      <c r="Q199" s="55">
        <v>490.4</v>
      </c>
      <c r="R199" s="55">
        <v>1205.5</v>
      </c>
      <c r="S199" s="55">
        <v>2326.5</v>
      </c>
      <c r="T199" s="254" t="s">
        <v>785</v>
      </c>
      <c r="U199" s="254">
        <v>139021</v>
      </c>
      <c r="V199" s="254">
        <v>54050</v>
      </c>
      <c r="W199" s="254">
        <v>776</v>
      </c>
      <c r="X199" s="254">
        <v>0</v>
      </c>
      <c r="Y199" s="254">
        <v>0</v>
      </c>
    </row>
    <row r="200" spans="1:25" x14ac:dyDescent="0.35">
      <c r="A200" s="52">
        <v>22200</v>
      </c>
      <c r="B200" s="253">
        <v>44479</v>
      </c>
      <c r="C200" s="254" t="s">
        <v>177</v>
      </c>
      <c r="D200" s="52" t="s">
        <v>720</v>
      </c>
      <c r="E200" s="54">
        <v>5.9</v>
      </c>
      <c r="F200" s="53">
        <v>0</v>
      </c>
      <c r="G200" s="55">
        <v>4</v>
      </c>
      <c r="H200" s="55">
        <v>1.6</v>
      </c>
      <c r="I200" s="55">
        <v>0.9</v>
      </c>
      <c r="J200" s="55">
        <v>0</v>
      </c>
      <c r="K200" s="55">
        <v>0</v>
      </c>
      <c r="L200" s="55">
        <v>0</v>
      </c>
      <c r="M200" s="55">
        <v>0</v>
      </c>
      <c r="N200" s="55">
        <v>0.1</v>
      </c>
      <c r="O200" s="55">
        <v>2</v>
      </c>
      <c r="P200" s="55">
        <v>1281.3</v>
      </c>
      <c r="Q200" s="55">
        <v>12.4</v>
      </c>
      <c r="R200" s="55">
        <v>1170</v>
      </c>
      <c r="S200" s="55">
        <v>3016.2</v>
      </c>
      <c r="T200" s="254" t="s">
        <v>721</v>
      </c>
      <c r="U200" s="254">
        <v>3342</v>
      </c>
      <c r="V200" s="254">
        <v>866</v>
      </c>
      <c r="W200" s="254">
        <v>17</v>
      </c>
      <c r="X200" s="254">
        <v>0</v>
      </c>
      <c r="Y200" s="254">
        <v>0</v>
      </c>
    </row>
    <row r="201" spans="1:25" x14ac:dyDescent="0.35">
      <c r="A201" s="52">
        <v>26259</v>
      </c>
      <c r="B201" s="253">
        <v>44481</v>
      </c>
      <c r="C201" s="254" t="s">
        <v>162</v>
      </c>
      <c r="D201" s="52" t="s">
        <v>723</v>
      </c>
      <c r="E201" s="54">
        <v>15.1</v>
      </c>
      <c r="F201" s="53">
        <v>0</v>
      </c>
      <c r="G201" s="55">
        <v>9.3000000000000007</v>
      </c>
      <c r="H201" s="55">
        <v>1.5</v>
      </c>
      <c r="I201" s="55">
        <v>1.4</v>
      </c>
      <c r="J201" s="55">
        <v>0</v>
      </c>
      <c r="K201" s="55">
        <v>0</v>
      </c>
      <c r="L201" s="55">
        <v>0</v>
      </c>
      <c r="M201" s="55">
        <v>0</v>
      </c>
      <c r="N201" s="55">
        <v>1.6</v>
      </c>
      <c r="O201" s="55">
        <v>1.3</v>
      </c>
      <c r="P201" s="55">
        <v>1331.5</v>
      </c>
      <c r="Q201" s="55">
        <v>473.7</v>
      </c>
      <c r="R201" s="55">
        <v>1230.4000000000001</v>
      </c>
      <c r="S201" s="55">
        <v>2336.4</v>
      </c>
      <c r="T201" s="254" t="s">
        <v>375</v>
      </c>
      <c r="U201" s="254">
        <v>119396</v>
      </c>
      <c r="V201" s="254">
        <v>47523</v>
      </c>
      <c r="W201" s="254">
        <v>305</v>
      </c>
      <c r="X201" s="254">
        <v>8</v>
      </c>
      <c r="Y201" s="254">
        <v>0</v>
      </c>
    </row>
    <row r="202" spans="1:25" x14ac:dyDescent="0.35">
      <c r="A202" s="52">
        <v>26260</v>
      </c>
      <c r="B202" s="253">
        <v>44481</v>
      </c>
      <c r="C202" s="254" t="s">
        <v>163</v>
      </c>
      <c r="D202" s="52" t="s">
        <v>723</v>
      </c>
      <c r="E202" s="54">
        <v>15.1</v>
      </c>
      <c r="F202" s="53">
        <v>0</v>
      </c>
      <c r="G202" s="55">
        <v>9.3000000000000007</v>
      </c>
      <c r="H202" s="55">
        <v>1.5</v>
      </c>
      <c r="I202" s="55">
        <v>1.5</v>
      </c>
      <c r="J202" s="55">
        <v>0</v>
      </c>
      <c r="K202" s="55">
        <v>0</v>
      </c>
      <c r="L202" s="55">
        <v>0</v>
      </c>
      <c r="M202" s="55">
        <v>0</v>
      </c>
      <c r="N202" s="55">
        <v>2.1</v>
      </c>
      <c r="O202" s="55">
        <v>1.2</v>
      </c>
      <c r="P202" s="55">
        <v>1351.4</v>
      </c>
      <c r="Q202" s="55">
        <v>479.1</v>
      </c>
      <c r="R202" s="55">
        <v>1218.8</v>
      </c>
      <c r="S202" s="55">
        <v>2315.3000000000002</v>
      </c>
      <c r="T202" s="254" t="s">
        <v>375</v>
      </c>
      <c r="U202" s="254">
        <v>118268</v>
      </c>
      <c r="V202" s="254">
        <v>41155</v>
      </c>
      <c r="W202" s="254">
        <v>274</v>
      </c>
      <c r="X202" s="254">
        <v>0</v>
      </c>
      <c r="Y202" s="254">
        <v>0</v>
      </c>
    </row>
    <row r="203" spans="1:25" x14ac:dyDescent="0.35">
      <c r="A203" s="52">
        <v>26261</v>
      </c>
      <c r="B203" s="253">
        <v>44481</v>
      </c>
      <c r="C203" s="254" t="s">
        <v>164</v>
      </c>
      <c r="D203" s="52" t="s">
        <v>723</v>
      </c>
      <c r="E203" s="54">
        <v>15.1</v>
      </c>
      <c r="F203" s="53">
        <v>0</v>
      </c>
      <c r="G203" s="55">
        <v>9.6</v>
      </c>
      <c r="H203" s="55">
        <v>1.6</v>
      </c>
      <c r="I203" s="55">
        <v>1.5</v>
      </c>
      <c r="J203" s="55">
        <v>0</v>
      </c>
      <c r="K203" s="55">
        <v>0</v>
      </c>
      <c r="L203" s="55">
        <v>0</v>
      </c>
      <c r="M203" s="55">
        <v>0</v>
      </c>
      <c r="N203" s="55">
        <v>1.3</v>
      </c>
      <c r="O203" s="55">
        <v>1.3</v>
      </c>
      <c r="P203" s="55">
        <v>1373.4</v>
      </c>
      <c r="Q203" s="55">
        <v>471</v>
      </c>
      <c r="R203" s="55">
        <v>1225.0999999999999</v>
      </c>
      <c r="S203" s="55">
        <v>2327.8000000000002</v>
      </c>
      <c r="T203" s="254" t="s">
        <v>375</v>
      </c>
      <c r="U203" s="254">
        <v>134099</v>
      </c>
      <c r="V203" s="254">
        <v>47156</v>
      </c>
      <c r="W203" s="254">
        <v>300</v>
      </c>
      <c r="X203" s="254">
        <v>8</v>
      </c>
      <c r="Y203" s="254">
        <v>0</v>
      </c>
    </row>
    <row r="204" spans="1:25" x14ac:dyDescent="0.35">
      <c r="A204" s="52">
        <v>22700</v>
      </c>
      <c r="B204" s="253">
        <v>44485</v>
      </c>
      <c r="C204" s="254" t="s">
        <v>178</v>
      </c>
      <c r="D204" s="52" t="s">
        <v>735</v>
      </c>
      <c r="E204" s="54">
        <v>11</v>
      </c>
      <c r="F204" s="53">
        <v>0</v>
      </c>
      <c r="G204" s="55">
        <v>4.4000000000000004</v>
      </c>
      <c r="H204" s="55">
        <v>1.8</v>
      </c>
      <c r="I204" s="55">
        <v>1</v>
      </c>
      <c r="J204" s="55">
        <v>0</v>
      </c>
      <c r="K204" s="55">
        <v>0.1</v>
      </c>
      <c r="L204" s="55">
        <v>0</v>
      </c>
      <c r="M204" s="55">
        <v>0</v>
      </c>
      <c r="N204" s="55">
        <v>0</v>
      </c>
      <c r="O204" s="55">
        <v>2.2000000000000002</v>
      </c>
      <c r="P204" s="55">
        <v>1722.8</v>
      </c>
      <c r="Q204" s="55">
        <v>11.3</v>
      </c>
      <c r="R204" s="55">
        <v>1240.5999999999999</v>
      </c>
      <c r="S204" s="55">
        <v>3229.3</v>
      </c>
      <c r="T204" s="254" t="s">
        <v>786</v>
      </c>
      <c r="U204" s="254">
        <v>1615</v>
      </c>
      <c r="V204" s="254">
        <v>276</v>
      </c>
      <c r="W204" s="254">
        <v>47</v>
      </c>
      <c r="X204" s="254">
        <v>0</v>
      </c>
      <c r="Y204" s="254">
        <v>0</v>
      </c>
    </row>
    <row r="205" spans="1:25" x14ac:dyDescent="0.35">
      <c r="A205" s="52">
        <v>22701</v>
      </c>
      <c r="B205" s="253">
        <v>44485</v>
      </c>
      <c r="C205" s="254" t="s">
        <v>179</v>
      </c>
      <c r="D205" s="52" t="s">
        <v>720</v>
      </c>
      <c r="E205" s="54">
        <v>6</v>
      </c>
      <c r="F205" s="53">
        <v>0</v>
      </c>
      <c r="G205" s="55">
        <v>4.5999999999999996</v>
      </c>
      <c r="H205" s="55">
        <v>1.7</v>
      </c>
      <c r="I205" s="55">
        <v>1</v>
      </c>
      <c r="J205" s="55">
        <v>0</v>
      </c>
      <c r="K205" s="55">
        <v>0.1</v>
      </c>
      <c r="L205" s="55">
        <v>0</v>
      </c>
      <c r="M205" s="55">
        <v>0.1</v>
      </c>
      <c r="N205" s="55">
        <v>0</v>
      </c>
      <c r="O205" s="55">
        <v>2.1</v>
      </c>
      <c r="P205" s="55">
        <v>1642.4</v>
      </c>
      <c r="Q205" s="55">
        <v>11.2</v>
      </c>
      <c r="R205" s="55">
        <v>1208.5</v>
      </c>
      <c r="S205" s="55">
        <v>3113.5</v>
      </c>
      <c r="T205" s="254" t="s">
        <v>747</v>
      </c>
      <c r="U205" s="254">
        <v>5160</v>
      </c>
      <c r="V205" s="254">
        <v>1547</v>
      </c>
      <c r="W205" s="254">
        <v>73</v>
      </c>
      <c r="X205" s="254">
        <v>0</v>
      </c>
      <c r="Y205" s="254">
        <v>0</v>
      </c>
    </row>
    <row r="206" spans="1:25" x14ac:dyDescent="0.35">
      <c r="A206" s="52">
        <v>22702</v>
      </c>
      <c r="B206" s="253">
        <v>44485</v>
      </c>
      <c r="C206" s="254" t="s">
        <v>180</v>
      </c>
      <c r="D206" s="52" t="s">
        <v>709</v>
      </c>
      <c r="E206" s="54">
        <v>14.9</v>
      </c>
      <c r="F206" s="53">
        <v>0</v>
      </c>
      <c r="G206" s="55">
        <v>9.1</v>
      </c>
      <c r="H206" s="55">
        <v>1.4</v>
      </c>
      <c r="I206" s="55">
        <v>1.5</v>
      </c>
      <c r="J206" s="55">
        <v>0</v>
      </c>
      <c r="K206" s="55">
        <v>0</v>
      </c>
      <c r="L206" s="55">
        <v>0.1</v>
      </c>
      <c r="M206" s="55">
        <v>0</v>
      </c>
      <c r="N206" s="55">
        <v>1.4</v>
      </c>
      <c r="O206" s="55">
        <v>1.3</v>
      </c>
      <c r="P206" s="55">
        <v>1816.9</v>
      </c>
      <c r="Q206" s="55">
        <v>475.8</v>
      </c>
      <c r="R206" s="55">
        <v>1257.5999999999999</v>
      </c>
      <c r="S206" s="55">
        <v>2403.6999999999998</v>
      </c>
      <c r="T206" s="254" t="s">
        <v>716</v>
      </c>
      <c r="U206" s="254">
        <v>87062</v>
      </c>
      <c r="V206" s="254">
        <v>24271</v>
      </c>
      <c r="W206" s="254">
        <v>97</v>
      </c>
      <c r="X206" s="254">
        <v>0</v>
      </c>
      <c r="Y206" s="254">
        <v>0</v>
      </c>
    </row>
    <row r="207" spans="1:25" x14ac:dyDescent="0.35">
      <c r="A207" s="52">
        <v>22703</v>
      </c>
      <c r="B207" s="253">
        <v>44486</v>
      </c>
      <c r="C207" s="254" t="s">
        <v>216</v>
      </c>
      <c r="D207" s="52" t="s">
        <v>735</v>
      </c>
      <c r="E207" s="54">
        <v>11</v>
      </c>
      <c r="F207" s="53">
        <v>0</v>
      </c>
      <c r="G207" s="55">
        <v>4</v>
      </c>
      <c r="H207" s="55">
        <v>1.8</v>
      </c>
      <c r="I207" s="55">
        <v>1.1000000000000001</v>
      </c>
      <c r="J207" s="55">
        <v>0</v>
      </c>
      <c r="K207" s="55">
        <v>0.2</v>
      </c>
      <c r="L207" s="55">
        <v>0</v>
      </c>
      <c r="M207" s="55">
        <v>0.1</v>
      </c>
      <c r="N207" s="55">
        <v>0</v>
      </c>
      <c r="O207" s="55">
        <v>2.2999999999999998</v>
      </c>
      <c r="P207" s="55">
        <v>1663.9</v>
      </c>
      <c r="Q207" s="55">
        <v>12</v>
      </c>
      <c r="R207" s="55">
        <v>1213.5</v>
      </c>
      <c r="S207" s="55">
        <v>3134.2</v>
      </c>
      <c r="T207" s="254" t="s">
        <v>743</v>
      </c>
      <c r="U207" s="254">
        <v>3437</v>
      </c>
      <c r="V207" s="254">
        <v>961</v>
      </c>
      <c r="W207" s="254">
        <v>40</v>
      </c>
      <c r="X207" s="254">
        <v>0</v>
      </c>
      <c r="Y207" s="254">
        <v>0</v>
      </c>
    </row>
    <row r="208" spans="1:25" x14ac:dyDescent="0.35">
      <c r="A208" s="52">
        <v>22704</v>
      </c>
      <c r="B208" s="253">
        <v>44486</v>
      </c>
      <c r="C208" s="254" t="s">
        <v>185</v>
      </c>
      <c r="D208" s="52" t="s">
        <v>709</v>
      </c>
      <c r="E208" s="54">
        <v>15</v>
      </c>
      <c r="F208" s="53">
        <v>0</v>
      </c>
      <c r="G208" s="55">
        <v>9.1</v>
      </c>
      <c r="H208" s="55">
        <v>1.5</v>
      </c>
      <c r="I208" s="55">
        <v>1.3</v>
      </c>
      <c r="J208" s="55">
        <v>0</v>
      </c>
      <c r="K208" s="55">
        <v>0</v>
      </c>
      <c r="L208" s="55">
        <v>0</v>
      </c>
      <c r="M208" s="55">
        <v>0</v>
      </c>
      <c r="N208" s="55">
        <v>1.3</v>
      </c>
      <c r="O208" s="55">
        <v>1.1000000000000001</v>
      </c>
      <c r="P208" s="55">
        <v>1814.9</v>
      </c>
      <c r="Q208" s="55">
        <v>479.4</v>
      </c>
      <c r="R208" s="55">
        <v>1272.0999999999999</v>
      </c>
      <c r="S208" s="55">
        <v>2413.9</v>
      </c>
      <c r="T208" s="254" t="s">
        <v>748</v>
      </c>
      <c r="U208" s="254">
        <v>89263</v>
      </c>
      <c r="V208" s="254">
        <v>30386</v>
      </c>
      <c r="W208" s="254">
        <v>283</v>
      </c>
      <c r="X208" s="254">
        <v>0</v>
      </c>
      <c r="Y208" s="254">
        <v>0</v>
      </c>
    </row>
    <row r="209" spans="1:25" x14ac:dyDescent="0.35">
      <c r="A209" s="52">
        <v>22705</v>
      </c>
      <c r="B209" s="253">
        <v>44486</v>
      </c>
      <c r="C209" s="254" t="s">
        <v>184</v>
      </c>
      <c r="D209" s="52" t="s">
        <v>720</v>
      </c>
      <c r="E209" s="54">
        <v>6</v>
      </c>
      <c r="F209" s="53">
        <v>0</v>
      </c>
      <c r="G209" s="55">
        <v>4.3</v>
      </c>
      <c r="H209" s="55">
        <v>1.7</v>
      </c>
      <c r="I209" s="55">
        <v>1</v>
      </c>
      <c r="J209" s="55">
        <v>0</v>
      </c>
      <c r="K209" s="55">
        <v>0</v>
      </c>
      <c r="L209" s="55">
        <v>0</v>
      </c>
      <c r="M209" s="55">
        <v>0.2</v>
      </c>
      <c r="N209" s="55">
        <v>0</v>
      </c>
      <c r="O209" s="55">
        <v>2.2000000000000002</v>
      </c>
      <c r="P209" s="55">
        <v>1650</v>
      </c>
      <c r="Q209" s="55">
        <v>13</v>
      </c>
      <c r="R209" s="55">
        <v>1224.5999999999999</v>
      </c>
      <c r="S209" s="55">
        <v>3110.8</v>
      </c>
      <c r="T209" s="254" t="s">
        <v>730</v>
      </c>
      <c r="U209" s="254">
        <v>3162</v>
      </c>
      <c r="V209" s="254">
        <v>1222</v>
      </c>
      <c r="W209" s="254">
        <v>33</v>
      </c>
      <c r="X209" s="254">
        <v>0</v>
      </c>
      <c r="Y209" s="254">
        <v>0</v>
      </c>
    </row>
    <row r="210" spans="1:25" x14ac:dyDescent="0.35">
      <c r="A210" s="52">
        <v>23297</v>
      </c>
      <c r="B210" s="253">
        <v>44490</v>
      </c>
      <c r="C210" s="254" t="s">
        <v>184</v>
      </c>
      <c r="D210" s="52" t="s">
        <v>720</v>
      </c>
      <c r="E210" s="54">
        <v>6</v>
      </c>
      <c r="F210" s="53">
        <v>0</v>
      </c>
      <c r="G210" s="55">
        <v>4.5</v>
      </c>
      <c r="H210" s="55">
        <v>1.6</v>
      </c>
      <c r="I210" s="55">
        <v>1</v>
      </c>
      <c r="J210" s="55">
        <v>0</v>
      </c>
      <c r="K210" s="55">
        <v>0</v>
      </c>
      <c r="L210" s="55">
        <v>0</v>
      </c>
      <c r="M210" s="55">
        <v>0.3</v>
      </c>
      <c r="N210" s="55">
        <v>0.4</v>
      </c>
      <c r="O210" s="55">
        <v>2.4</v>
      </c>
      <c r="P210" s="55">
        <v>1606.6</v>
      </c>
      <c r="Q210" s="55">
        <v>12.1</v>
      </c>
      <c r="R210" s="55">
        <v>1131.4000000000001</v>
      </c>
      <c r="S210" s="55">
        <v>2861.1</v>
      </c>
      <c r="T210" s="254" t="s">
        <v>787</v>
      </c>
      <c r="U210" s="254">
        <v>5638</v>
      </c>
      <c r="V210" s="254">
        <v>1390</v>
      </c>
      <c r="W210" s="254">
        <v>7</v>
      </c>
      <c r="X210" s="254">
        <v>0</v>
      </c>
      <c r="Y210" s="254">
        <v>0</v>
      </c>
    </row>
    <row r="211" spans="1:25" x14ac:dyDescent="0.35">
      <c r="A211" s="52">
        <v>23293</v>
      </c>
      <c r="B211" s="253">
        <v>44492</v>
      </c>
      <c r="C211" s="254" t="s">
        <v>178</v>
      </c>
      <c r="D211" s="52" t="s">
        <v>720</v>
      </c>
      <c r="E211" s="54">
        <v>6</v>
      </c>
      <c r="F211" s="53">
        <v>0</v>
      </c>
      <c r="G211" s="55">
        <v>4.0999999999999996</v>
      </c>
      <c r="H211" s="55">
        <v>1.7</v>
      </c>
      <c r="I211" s="55">
        <v>0.9</v>
      </c>
      <c r="J211" s="55">
        <v>0</v>
      </c>
      <c r="K211" s="55">
        <v>0</v>
      </c>
      <c r="L211" s="55">
        <v>0</v>
      </c>
      <c r="M211" s="55">
        <v>0</v>
      </c>
      <c r="N211" s="55">
        <v>0</v>
      </c>
      <c r="O211" s="55">
        <v>2.2999999999999998</v>
      </c>
      <c r="P211" s="55">
        <v>1636.3</v>
      </c>
      <c r="Q211" s="55">
        <v>13.2</v>
      </c>
      <c r="R211" s="55">
        <v>1145.3</v>
      </c>
      <c r="S211" s="55">
        <v>2890.1</v>
      </c>
      <c r="T211" s="254" t="s">
        <v>761</v>
      </c>
      <c r="U211" s="254">
        <v>6672</v>
      </c>
      <c r="V211" s="254">
        <v>1687</v>
      </c>
      <c r="W211" s="254">
        <v>103</v>
      </c>
      <c r="X211" s="254">
        <v>0</v>
      </c>
      <c r="Y211" s="254">
        <v>0</v>
      </c>
    </row>
    <row r="212" spans="1:25" x14ac:dyDescent="0.35">
      <c r="A212" s="52">
        <v>23294</v>
      </c>
      <c r="B212" s="253">
        <v>44492</v>
      </c>
      <c r="C212" s="254" t="s">
        <v>179</v>
      </c>
      <c r="D212" s="52" t="s">
        <v>709</v>
      </c>
      <c r="E212" s="54">
        <v>14.9</v>
      </c>
      <c r="F212" s="53">
        <v>0</v>
      </c>
      <c r="G212" s="55">
        <v>8.1</v>
      </c>
      <c r="H212" s="55">
        <v>1.4</v>
      </c>
      <c r="I212" s="55">
        <v>1.3</v>
      </c>
      <c r="J212" s="55">
        <v>0</v>
      </c>
      <c r="K212" s="55">
        <v>0</v>
      </c>
      <c r="L212" s="55">
        <v>0</v>
      </c>
      <c r="M212" s="55">
        <v>0</v>
      </c>
      <c r="N212" s="55">
        <v>1.9</v>
      </c>
      <c r="O212" s="55">
        <v>1.1000000000000001</v>
      </c>
      <c r="P212" s="55">
        <v>1777.7</v>
      </c>
      <c r="Q212" s="55">
        <v>443.6</v>
      </c>
      <c r="R212" s="55">
        <v>1168.0999999999999</v>
      </c>
      <c r="S212" s="55">
        <v>2203.5</v>
      </c>
      <c r="T212" s="254" t="s">
        <v>748</v>
      </c>
      <c r="U212" s="254">
        <v>92151</v>
      </c>
      <c r="V212" s="254">
        <v>28891</v>
      </c>
      <c r="W212" s="254">
        <v>230</v>
      </c>
      <c r="X212" s="254">
        <v>0</v>
      </c>
      <c r="Y212" s="254">
        <v>0</v>
      </c>
    </row>
    <row r="213" spans="1:25" x14ac:dyDescent="0.35">
      <c r="A213" s="52">
        <v>23295</v>
      </c>
      <c r="B213" s="253">
        <v>44492</v>
      </c>
      <c r="C213" s="254" t="s">
        <v>180</v>
      </c>
      <c r="D213" s="52" t="s">
        <v>709</v>
      </c>
      <c r="E213" s="54">
        <v>15</v>
      </c>
      <c r="F213" s="53">
        <v>0</v>
      </c>
      <c r="G213" s="55">
        <v>8.1999999999999993</v>
      </c>
      <c r="H213" s="55">
        <v>1.3</v>
      </c>
      <c r="I213" s="55">
        <v>1.4</v>
      </c>
      <c r="J213" s="55">
        <v>0</v>
      </c>
      <c r="K213" s="55">
        <v>0</v>
      </c>
      <c r="L213" s="55">
        <v>0</v>
      </c>
      <c r="M213" s="55">
        <v>0</v>
      </c>
      <c r="N213" s="55">
        <v>1.6</v>
      </c>
      <c r="O213" s="55">
        <v>1.3</v>
      </c>
      <c r="P213" s="55">
        <v>1760.9</v>
      </c>
      <c r="Q213" s="55">
        <v>445.7</v>
      </c>
      <c r="R213" s="55">
        <v>1169.3</v>
      </c>
      <c r="S213" s="55">
        <v>2205.1</v>
      </c>
      <c r="T213" s="254" t="s">
        <v>748</v>
      </c>
      <c r="U213" s="254">
        <v>92889</v>
      </c>
      <c r="V213" s="254">
        <v>31034</v>
      </c>
      <c r="W213" s="254">
        <v>223</v>
      </c>
      <c r="X213" s="254">
        <v>0</v>
      </c>
      <c r="Y213" s="254">
        <v>0</v>
      </c>
    </row>
    <row r="214" spans="1:25" x14ac:dyDescent="0.35">
      <c r="A214" s="52">
        <v>23296</v>
      </c>
      <c r="B214" s="253">
        <v>44493</v>
      </c>
      <c r="C214" s="254" t="s">
        <v>185</v>
      </c>
      <c r="D214" s="52" t="s">
        <v>709</v>
      </c>
      <c r="E214" s="54">
        <v>15</v>
      </c>
      <c r="F214" s="53">
        <v>0</v>
      </c>
      <c r="G214" s="55">
        <v>7.8</v>
      </c>
      <c r="H214" s="55">
        <v>1.4</v>
      </c>
      <c r="I214" s="55">
        <v>1.3</v>
      </c>
      <c r="J214" s="55">
        <v>0.1</v>
      </c>
      <c r="K214" s="55">
        <v>0</v>
      </c>
      <c r="L214" s="55">
        <v>0</v>
      </c>
      <c r="M214" s="55">
        <v>0</v>
      </c>
      <c r="N214" s="55">
        <v>2</v>
      </c>
      <c r="O214" s="55">
        <v>1.4</v>
      </c>
      <c r="P214" s="55">
        <v>1756.4</v>
      </c>
      <c r="Q214" s="55">
        <v>442.7</v>
      </c>
      <c r="R214" s="55">
        <v>1160.5</v>
      </c>
      <c r="S214" s="55">
        <v>2182.4</v>
      </c>
      <c r="T214" s="254" t="s">
        <v>748</v>
      </c>
      <c r="U214" s="254">
        <v>93099</v>
      </c>
      <c r="V214" s="254">
        <v>30074</v>
      </c>
      <c r="W214" s="254">
        <v>243</v>
      </c>
      <c r="X214" s="254">
        <v>0</v>
      </c>
      <c r="Y214" s="254">
        <v>0</v>
      </c>
    </row>
    <row r="215" spans="1:25" x14ac:dyDescent="0.35">
      <c r="A215" s="52">
        <v>23298</v>
      </c>
      <c r="B215" s="253">
        <v>44493</v>
      </c>
      <c r="C215" s="254" t="s">
        <v>176</v>
      </c>
      <c r="D215" s="52" t="s">
        <v>709</v>
      </c>
      <c r="E215" s="54">
        <v>14.9</v>
      </c>
      <c r="F215" s="53">
        <v>0</v>
      </c>
      <c r="G215" s="55">
        <v>8.1</v>
      </c>
      <c r="H215" s="55">
        <v>1.3</v>
      </c>
      <c r="I215" s="55">
        <v>1.1000000000000001</v>
      </c>
      <c r="J215" s="55">
        <v>0</v>
      </c>
      <c r="K215" s="55">
        <v>0</v>
      </c>
      <c r="L215" s="55">
        <v>0</v>
      </c>
      <c r="M215" s="55">
        <v>0</v>
      </c>
      <c r="N215" s="55">
        <v>1.9</v>
      </c>
      <c r="O215" s="55">
        <v>1.3</v>
      </c>
      <c r="P215" s="55">
        <v>1746.1</v>
      </c>
      <c r="Q215" s="55">
        <v>442.7</v>
      </c>
      <c r="R215" s="55">
        <v>1145.5</v>
      </c>
      <c r="S215" s="55">
        <v>2167.9</v>
      </c>
      <c r="T215" s="254" t="s">
        <v>764</v>
      </c>
      <c r="U215" s="254">
        <v>99975</v>
      </c>
      <c r="V215" s="254">
        <v>32500</v>
      </c>
      <c r="W215" s="254">
        <v>394</v>
      </c>
      <c r="X215" s="254">
        <v>0</v>
      </c>
      <c r="Y215" s="254">
        <v>0</v>
      </c>
    </row>
    <row r="216" spans="1:25" x14ac:dyDescent="0.35">
      <c r="A216" s="52">
        <v>26262</v>
      </c>
      <c r="B216" s="253">
        <v>44512</v>
      </c>
      <c r="C216" s="254" t="s">
        <v>227</v>
      </c>
      <c r="D216" s="52" t="s">
        <v>723</v>
      </c>
      <c r="E216" s="54">
        <v>15.1</v>
      </c>
      <c r="F216" s="53">
        <v>0</v>
      </c>
      <c r="G216" s="55">
        <v>9.6</v>
      </c>
      <c r="H216" s="55">
        <v>1.6</v>
      </c>
      <c r="I216" s="55">
        <v>1.3</v>
      </c>
      <c r="J216" s="55">
        <v>0</v>
      </c>
      <c r="K216" s="55">
        <v>0</v>
      </c>
      <c r="L216" s="55">
        <v>0</v>
      </c>
      <c r="M216" s="55">
        <v>0</v>
      </c>
      <c r="N216" s="55">
        <v>1.9</v>
      </c>
      <c r="O216" s="55">
        <v>1.2</v>
      </c>
      <c r="P216" s="55">
        <v>1328.9</v>
      </c>
      <c r="Q216" s="55">
        <v>475.3</v>
      </c>
      <c r="R216" s="55">
        <v>1203.4000000000001</v>
      </c>
      <c r="S216" s="55">
        <v>2306.3000000000002</v>
      </c>
      <c r="T216" s="254" t="s">
        <v>375</v>
      </c>
      <c r="U216" s="254">
        <v>134572</v>
      </c>
      <c r="V216" s="254">
        <v>46141</v>
      </c>
      <c r="W216" s="254">
        <v>303</v>
      </c>
      <c r="X216" s="254">
        <v>9</v>
      </c>
      <c r="Y216" s="254">
        <v>0</v>
      </c>
    </row>
    <row r="217" spans="1:25" x14ac:dyDescent="0.35">
      <c r="A217" s="52">
        <v>26263</v>
      </c>
      <c r="B217" s="253">
        <v>44512</v>
      </c>
      <c r="C217" s="254" t="s">
        <v>185</v>
      </c>
      <c r="D217" s="52" t="s">
        <v>723</v>
      </c>
      <c r="E217" s="54">
        <v>15</v>
      </c>
      <c r="F217" s="53">
        <v>0</v>
      </c>
      <c r="G217" s="55">
        <v>8.8000000000000007</v>
      </c>
      <c r="H217" s="55">
        <v>1.5</v>
      </c>
      <c r="I217" s="55">
        <v>1.2</v>
      </c>
      <c r="J217" s="55">
        <v>0</v>
      </c>
      <c r="K217" s="55">
        <v>0</v>
      </c>
      <c r="L217" s="55">
        <v>0</v>
      </c>
      <c r="M217" s="55">
        <v>0</v>
      </c>
      <c r="N217" s="55">
        <v>1.4</v>
      </c>
      <c r="O217" s="55">
        <v>1.3</v>
      </c>
      <c r="P217" s="55">
        <v>1329.6</v>
      </c>
      <c r="Q217" s="55">
        <v>472.2</v>
      </c>
      <c r="R217" s="55">
        <v>1197.2</v>
      </c>
      <c r="S217" s="55">
        <v>2299.1999999999998</v>
      </c>
      <c r="T217" s="254" t="s">
        <v>748</v>
      </c>
      <c r="U217" s="254">
        <v>115879</v>
      </c>
      <c r="V217" s="254">
        <v>31796</v>
      </c>
      <c r="W217" s="254">
        <v>208</v>
      </c>
      <c r="X217" s="254">
        <v>0</v>
      </c>
      <c r="Y217" s="254">
        <v>0</v>
      </c>
    </row>
    <row r="218" spans="1:25" x14ac:dyDescent="0.35">
      <c r="A218" s="52">
        <v>24129</v>
      </c>
      <c r="B218" s="253">
        <v>44513</v>
      </c>
      <c r="C218" s="254" t="s">
        <v>178</v>
      </c>
      <c r="D218" s="52" t="s">
        <v>720</v>
      </c>
      <c r="E218" s="54">
        <v>6</v>
      </c>
      <c r="F218" s="53">
        <v>0</v>
      </c>
      <c r="G218" s="55">
        <v>3.5</v>
      </c>
      <c r="H218" s="55">
        <v>1.7</v>
      </c>
      <c r="I218" s="55">
        <v>1</v>
      </c>
      <c r="J218" s="55">
        <v>0</v>
      </c>
      <c r="K218" s="55">
        <v>0</v>
      </c>
      <c r="L218" s="55">
        <v>0</v>
      </c>
      <c r="M218" s="55">
        <v>0</v>
      </c>
      <c r="N218" s="55">
        <v>0.1</v>
      </c>
      <c r="O218" s="55">
        <v>1.5</v>
      </c>
      <c r="P218" s="55">
        <v>1224.4000000000001</v>
      </c>
      <c r="Q218" s="55">
        <v>11.5</v>
      </c>
      <c r="R218" s="55">
        <v>1244.8</v>
      </c>
      <c r="S218" s="55">
        <v>3332.7</v>
      </c>
      <c r="T218" s="254" t="s">
        <v>747</v>
      </c>
      <c r="U218" s="254">
        <v>5123</v>
      </c>
      <c r="V218" s="254">
        <v>1847</v>
      </c>
      <c r="W218" s="254">
        <v>71</v>
      </c>
      <c r="X218" s="254">
        <v>0</v>
      </c>
      <c r="Y218" s="254">
        <v>0</v>
      </c>
    </row>
    <row r="219" spans="1:25" x14ac:dyDescent="0.35">
      <c r="A219" s="52">
        <v>24130</v>
      </c>
      <c r="B219" s="253">
        <v>44513</v>
      </c>
      <c r="C219" s="254" t="s">
        <v>179</v>
      </c>
      <c r="D219" s="52" t="s">
        <v>720</v>
      </c>
      <c r="E219" s="54">
        <v>5.9</v>
      </c>
      <c r="F219" s="53">
        <v>0</v>
      </c>
      <c r="G219" s="55">
        <v>4.2</v>
      </c>
      <c r="H219" s="55">
        <v>1.8</v>
      </c>
      <c r="I219" s="55">
        <v>1.2</v>
      </c>
      <c r="J219" s="55">
        <v>0</v>
      </c>
      <c r="K219" s="55">
        <v>0</v>
      </c>
      <c r="L219" s="55">
        <v>0</v>
      </c>
      <c r="M219" s="55">
        <v>0</v>
      </c>
      <c r="N219" s="55">
        <v>0.4</v>
      </c>
      <c r="O219" s="55">
        <v>1.5</v>
      </c>
      <c r="P219" s="55">
        <v>1179</v>
      </c>
      <c r="Q219" s="55">
        <v>11.7</v>
      </c>
      <c r="R219" s="55">
        <v>1204</v>
      </c>
      <c r="S219" s="55">
        <v>3230.7</v>
      </c>
      <c r="T219" s="254" t="s">
        <v>761</v>
      </c>
      <c r="U219" s="254">
        <v>5760</v>
      </c>
      <c r="V219" s="254">
        <v>2035</v>
      </c>
      <c r="W219" s="254">
        <v>100</v>
      </c>
      <c r="X219" s="254">
        <v>0</v>
      </c>
      <c r="Y219" s="254">
        <v>0</v>
      </c>
    </row>
    <row r="220" spans="1:25" x14ac:dyDescent="0.35">
      <c r="A220" s="52">
        <v>24131</v>
      </c>
      <c r="B220" s="253">
        <v>44513</v>
      </c>
      <c r="C220" s="254" t="s">
        <v>180</v>
      </c>
      <c r="D220" s="52" t="s">
        <v>720</v>
      </c>
      <c r="E220" s="54">
        <v>6</v>
      </c>
      <c r="F220" s="53">
        <v>0</v>
      </c>
      <c r="G220" s="55">
        <v>4.7</v>
      </c>
      <c r="H220" s="55">
        <v>1.8</v>
      </c>
      <c r="I220" s="55">
        <v>1.3</v>
      </c>
      <c r="J220" s="55">
        <v>0</v>
      </c>
      <c r="K220" s="55">
        <v>0</v>
      </c>
      <c r="L220" s="55">
        <v>0</v>
      </c>
      <c r="M220" s="55">
        <v>0</v>
      </c>
      <c r="N220" s="55">
        <v>0</v>
      </c>
      <c r="O220" s="55">
        <v>1.7</v>
      </c>
      <c r="P220" s="55">
        <v>1227.8</v>
      </c>
      <c r="Q220" s="55">
        <v>11.6</v>
      </c>
      <c r="R220" s="55">
        <v>1221.3</v>
      </c>
      <c r="S220" s="55">
        <v>3222.8</v>
      </c>
      <c r="T220" s="254" t="s">
        <v>761</v>
      </c>
      <c r="U220" s="254">
        <v>5847</v>
      </c>
      <c r="V220" s="254">
        <v>2246</v>
      </c>
      <c r="W220" s="254">
        <v>88</v>
      </c>
      <c r="X220" s="254">
        <v>2</v>
      </c>
      <c r="Y220" s="254">
        <v>0</v>
      </c>
    </row>
    <row r="221" spans="1:25" x14ac:dyDescent="0.35">
      <c r="A221" s="52">
        <v>24132</v>
      </c>
      <c r="B221" s="253">
        <v>44514</v>
      </c>
      <c r="C221" s="254" t="s">
        <v>184</v>
      </c>
      <c r="D221" s="52" t="s">
        <v>720</v>
      </c>
      <c r="E221" s="54">
        <v>5.9</v>
      </c>
      <c r="F221" s="53">
        <v>0</v>
      </c>
      <c r="G221" s="55">
        <v>4</v>
      </c>
      <c r="H221" s="55">
        <v>1.8</v>
      </c>
      <c r="I221" s="55">
        <v>1.1000000000000001</v>
      </c>
      <c r="J221" s="55">
        <v>0</v>
      </c>
      <c r="K221" s="55">
        <v>0</v>
      </c>
      <c r="L221" s="55">
        <v>0</v>
      </c>
      <c r="M221" s="55">
        <v>0</v>
      </c>
      <c r="N221" s="55">
        <v>0.2</v>
      </c>
      <c r="O221" s="55">
        <v>1.9</v>
      </c>
      <c r="P221" s="55">
        <v>1216.0999999999999</v>
      </c>
      <c r="Q221" s="55">
        <v>13.2</v>
      </c>
      <c r="R221" s="55">
        <v>1230.5999999999999</v>
      </c>
      <c r="S221" s="55">
        <v>3156.7</v>
      </c>
      <c r="T221" s="254" t="s">
        <v>721</v>
      </c>
      <c r="U221" s="254">
        <v>3493</v>
      </c>
      <c r="V221" s="254">
        <v>695</v>
      </c>
      <c r="W221" s="254">
        <v>14</v>
      </c>
      <c r="X221" s="254">
        <v>0</v>
      </c>
      <c r="Y221" s="254">
        <v>0</v>
      </c>
    </row>
    <row r="222" spans="1:25" x14ac:dyDescent="0.35">
      <c r="A222" s="52">
        <v>24133</v>
      </c>
      <c r="B222" s="253">
        <v>44514</v>
      </c>
      <c r="C222" s="254" t="s">
        <v>228</v>
      </c>
      <c r="D222" s="52" t="s">
        <v>720</v>
      </c>
      <c r="E222" s="54">
        <v>6</v>
      </c>
      <c r="F222" s="53">
        <v>0</v>
      </c>
      <c r="G222" s="55">
        <v>3.9</v>
      </c>
      <c r="H222" s="55">
        <v>1.7</v>
      </c>
      <c r="I222" s="55">
        <v>1.1000000000000001</v>
      </c>
      <c r="J222" s="55">
        <v>0</v>
      </c>
      <c r="K222" s="55">
        <v>0</v>
      </c>
      <c r="L222" s="55">
        <v>0</v>
      </c>
      <c r="M222" s="55">
        <v>0</v>
      </c>
      <c r="N222" s="55">
        <v>0.1</v>
      </c>
      <c r="O222" s="55">
        <v>1.4</v>
      </c>
      <c r="P222" s="55">
        <v>1185.5999999999999</v>
      </c>
      <c r="Q222" s="55">
        <v>12.3</v>
      </c>
      <c r="R222" s="55">
        <v>1201.0999999999999</v>
      </c>
      <c r="S222" s="55">
        <v>3067.2</v>
      </c>
      <c r="T222" s="254" t="s">
        <v>789</v>
      </c>
      <c r="U222" s="254">
        <v>4937</v>
      </c>
      <c r="V222" s="254">
        <v>1011</v>
      </c>
      <c r="W222" s="254">
        <v>6</v>
      </c>
      <c r="X222" s="254">
        <v>0</v>
      </c>
      <c r="Y222" s="254">
        <v>0</v>
      </c>
    </row>
    <row r="223" spans="1:25" x14ac:dyDescent="0.35">
      <c r="A223" s="52">
        <v>24815</v>
      </c>
      <c r="B223" s="253">
        <v>44522</v>
      </c>
      <c r="C223" s="254" t="s">
        <v>173</v>
      </c>
      <c r="D223" s="52" t="s">
        <v>709</v>
      </c>
      <c r="E223" s="54">
        <v>15</v>
      </c>
      <c r="F223" s="53">
        <v>0</v>
      </c>
      <c r="G223" s="55">
        <v>8.9</v>
      </c>
      <c r="H223" s="55">
        <v>1.4</v>
      </c>
      <c r="I223" s="55">
        <v>1.3</v>
      </c>
      <c r="J223" s="55">
        <v>0</v>
      </c>
      <c r="K223" s="55">
        <v>0</v>
      </c>
      <c r="L223" s="55">
        <v>0</v>
      </c>
      <c r="M223" s="55">
        <v>0</v>
      </c>
      <c r="N223" s="55">
        <v>1.5</v>
      </c>
      <c r="O223" s="55">
        <v>0</v>
      </c>
      <c r="P223" s="55">
        <v>1294.5999999999999</v>
      </c>
      <c r="Q223" s="55">
        <v>439.9</v>
      </c>
      <c r="R223" s="55">
        <v>1156.7</v>
      </c>
      <c r="S223" s="55">
        <v>2171.4</v>
      </c>
      <c r="T223" s="254" t="s">
        <v>748</v>
      </c>
      <c r="U223" s="254">
        <v>94607</v>
      </c>
      <c r="V223" s="254">
        <v>29782</v>
      </c>
      <c r="W223" s="254">
        <v>205</v>
      </c>
      <c r="X223" s="254">
        <v>0</v>
      </c>
      <c r="Y223" s="254">
        <v>0</v>
      </c>
    </row>
    <row r="224" spans="1:25" x14ac:dyDescent="0.35">
      <c r="A224" s="52">
        <v>24816</v>
      </c>
      <c r="B224" s="253">
        <v>44522</v>
      </c>
      <c r="C224" s="254" t="s">
        <v>174</v>
      </c>
      <c r="D224" s="52" t="s">
        <v>735</v>
      </c>
      <c r="E224" s="54">
        <v>11</v>
      </c>
      <c r="F224" s="53">
        <v>0</v>
      </c>
      <c r="G224" s="55">
        <v>4.3</v>
      </c>
      <c r="H224" s="55">
        <v>1.6</v>
      </c>
      <c r="I224" s="55">
        <v>0.8</v>
      </c>
      <c r="J224" s="55">
        <v>0</v>
      </c>
      <c r="K224" s="55">
        <v>0</v>
      </c>
      <c r="L224" s="55">
        <v>0</v>
      </c>
      <c r="M224" s="55">
        <v>0</v>
      </c>
      <c r="N224" s="55">
        <v>0.4</v>
      </c>
      <c r="O224" s="55">
        <v>1.6</v>
      </c>
      <c r="P224" s="55">
        <v>1199.5</v>
      </c>
      <c r="Q224" s="55">
        <v>11.2</v>
      </c>
      <c r="R224" s="55">
        <v>1148.0999999999999</v>
      </c>
      <c r="S224" s="55">
        <v>2897.2</v>
      </c>
      <c r="T224" s="254" t="s">
        <v>753</v>
      </c>
      <c r="U224" s="254">
        <v>6066</v>
      </c>
      <c r="V224" s="254">
        <v>2552</v>
      </c>
      <c r="W224" s="254">
        <v>119</v>
      </c>
      <c r="X224" s="254">
        <v>6</v>
      </c>
      <c r="Y224" s="254">
        <v>0</v>
      </c>
    </row>
    <row r="225" spans="1:25" x14ac:dyDescent="0.35">
      <c r="A225" s="52">
        <v>24817</v>
      </c>
      <c r="B225" s="253">
        <v>44522</v>
      </c>
      <c r="C225" s="254" t="s">
        <v>175</v>
      </c>
      <c r="D225" s="52" t="s">
        <v>709</v>
      </c>
      <c r="E225" s="54">
        <v>15.1</v>
      </c>
      <c r="F225" s="53">
        <v>0</v>
      </c>
      <c r="G225" s="55">
        <v>8.9</v>
      </c>
      <c r="H225" s="55">
        <v>1.4</v>
      </c>
      <c r="I225" s="55">
        <v>1.3</v>
      </c>
      <c r="J225" s="55">
        <v>0</v>
      </c>
      <c r="K225" s="55">
        <v>0.1</v>
      </c>
      <c r="L225" s="55">
        <v>0</v>
      </c>
      <c r="M225" s="55">
        <v>0</v>
      </c>
      <c r="N225" s="55">
        <v>1.6</v>
      </c>
      <c r="O225" s="55">
        <v>0.3</v>
      </c>
      <c r="P225" s="55">
        <v>1311.4</v>
      </c>
      <c r="Q225" s="55">
        <v>446.1</v>
      </c>
      <c r="R225" s="55">
        <v>1171.3</v>
      </c>
      <c r="S225" s="55">
        <v>2197.3000000000002</v>
      </c>
      <c r="T225" s="254" t="s">
        <v>762</v>
      </c>
      <c r="U225" s="254">
        <v>41495</v>
      </c>
      <c r="V225" s="254">
        <v>14369</v>
      </c>
      <c r="W225" s="254">
        <v>251</v>
      </c>
      <c r="X225" s="254">
        <v>23</v>
      </c>
      <c r="Y225" s="254">
        <v>0</v>
      </c>
    </row>
    <row r="226" spans="1:25" x14ac:dyDescent="0.35">
      <c r="A226" s="52">
        <v>24818</v>
      </c>
      <c r="B226" s="253">
        <v>44523</v>
      </c>
      <c r="C226" s="254" t="s">
        <v>216</v>
      </c>
      <c r="D226" s="52" t="s">
        <v>735</v>
      </c>
      <c r="E226" s="54">
        <v>11</v>
      </c>
      <c r="F226" s="53">
        <v>0</v>
      </c>
      <c r="G226" s="55">
        <v>4.2</v>
      </c>
      <c r="H226" s="55">
        <v>1.6</v>
      </c>
      <c r="I226" s="55">
        <v>0.9</v>
      </c>
      <c r="J226" s="55">
        <v>0</v>
      </c>
      <c r="K226" s="55">
        <v>0</v>
      </c>
      <c r="L226" s="55">
        <v>0</v>
      </c>
      <c r="M226" s="55">
        <v>0</v>
      </c>
      <c r="N226" s="55">
        <v>0</v>
      </c>
      <c r="O226" s="55">
        <v>1.9</v>
      </c>
      <c r="P226" s="55">
        <v>1194</v>
      </c>
      <c r="Q226" s="55">
        <v>10.9</v>
      </c>
      <c r="R226" s="55">
        <v>1151.7</v>
      </c>
      <c r="S226" s="55">
        <v>2911.8</v>
      </c>
      <c r="T226" s="254" t="s">
        <v>768</v>
      </c>
      <c r="U226" s="254">
        <v>1916</v>
      </c>
      <c r="V226" s="254">
        <v>664</v>
      </c>
      <c r="W226" s="254">
        <v>31</v>
      </c>
      <c r="X226" s="254">
        <v>0</v>
      </c>
      <c r="Y226" s="254">
        <v>0</v>
      </c>
    </row>
    <row r="227" spans="1:25" x14ac:dyDescent="0.35">
      <c r="A227" s="52">
        <v>24819</v>
      </c>
      <c r="B227" s="253">
        <v>44523</v>
      </c>
      <c r="C227" s="254" t="s">
        <v>185</v>
      </c>
      <c r="D227" s="52" t="s">
        <v>709</v>
      </c>
      <c r="E227" s="54">
        <v>15</v>
      </c>
      <c r="F227" s="53">
        <v>0</v>
      </c>
      <c r="G227" s="55">
        <v>8.6999999999999993</v>
      </c>
      <c r="H227" s="55">
        <v>1.3</v>
      </c>
      <c r="I227" s="55">
        <v>1.1000000000000001</v>
      </c>
      <c r="J227" s="55">
        <v>0</v>
      </c>
      <c r="K227" s="55">
        <v>0.2</v>
      </c>
      <c r="L227" s="55">
        <v>0</v>
      </c>
      <c r="M227" s="55">
        <v>0</v>
      </c>
      <c r="N227" s="55">
        <v>1.4</v>
      </c>
      <c r="O227" s="55">
        <v>0.1</v>
      </c>
      <c r="P227" s="55">
        <v>1315.7</v>
      </c>
      <c r="Q227" s="55">
        <v>451.2</v>
      </c>
      <c r="R227" s="55">
        <v>1180</v>
      </c>
      <c r="S227" s="55">
        <v>2222.1</v>
      </c>
      <c r="T227" s="254" t="s">
        <v>748</v>
      </c>
      <c r="U227" s="254">
        <v>99853</v>
      </c>
      <c r="V227" s="254">
        <v>27965</v>
      </c>
      <c r="W227" s="254">
        <v>182</v>
      </c>
      <c r="X227" s="254">
        <v>0</v>
      </c>
      <c r="Y227" s="254">
        <v>0</v>
      </c>
    </row>
    <row r="228" spans="1:25" x14ac:dyDescent="0.35">
      <c r="A228" s="52">
        <v>25329</v>
      </c>
      <c r="B228" s="253">
        <v>44529</v>
      </c>
      <c r="C228" s="254" t="s">
        <v>178</v>
      </c>
      <c r="D228" s="52" t="s">
        <v>720</v>
      </c>
      <c r="E228" s="54">
        <v>6</v>
      </c>
      <c r="F228" s="53">
        <v>0</v>
      </c>
      <c r="G228" s="55">
        <v>4.0999999999999996</v>
      </c>
      <c r="H228" s="55">
        <v>1.9</v>
      </c>
      <c r="I228" s="55">
        <v>0.9</v>
      </c>
      <c r="J228" s="55">
        <v>0</v>
      </c>
      <c r="K228" s="55">
        <v>0.1</v>
      </c>
      <c r="L228" s="55">
        <v>0</v>
      </c>
      <c r="M228" s="55">
        <v>0</v>
      </c>
      <c r="N228" s="55">
        <v>0.6</v>
      </c>
      <c r="O228" s="55">
        <v>2.1</v>
      </c>
      <c r="P228" s="55">
        <v>1133.0999999999999</v>
      </c>
      <c r="Q228" s="55">
        <v>17.399999999999999</v>
      </c>
      <c r="R228" s="55">
        <v>1080.8</v>
      </c>
      <c r="S228" s="55">
        <v>2772.4</v>
      </c>
      <c r="T228" s="254" t="s">
        <v>750</v>
      </c>
      <c r="U228" s="254">
        <v>18357</v>
      </c>
      <c r="V228" s="254">
        <v>4925</v>
      </c>
      <c r="W228" s="254">
        <v>129</v>
      </c>
      <c r="X228" s="254">
        <v>0</v>
      </c>
      <c r="Y228" s="254">
        <v>0</v>
      </c>
    </row>
    <row r="229" spans="1:25" x14ac:dyDescent="0.35">
      <c r="A229" s="52">
        <v>25330</v>
      </c>
      <c r="B229" s="253">
        <v>44529</v>
      </c>
      <c r="C229" s="254" t="s">
        <v>179</v>
      </c>
      <c r="D229" s="52" t="s">
        <v>720</v>
      </c>
      <c r="E229" s="54">
        <v>6</v>
      </c>
      <c r="F229" s="53">
        <v>0</v>
      </c>
      <c r="G229" s="55">
        <v>3.8</v>
      </c>
      <c r="H229" s="55">
        <v>1.7</v>
      </c>
      <c r="I229" s="55">
        <v>0.9</v>
      </c>
      <c r="J229" s="55">
        <v>0</v>
      </c>
      <c r="K229" s="55">
        <v>0</v>
      </c>
      <c r="L229" s="55">
        <v>0</v>
      </c>
      <c r="M229" s="55">
        <v>0.1</v>
      </c>
      <c r="N229" s="55">
        <v>0.6</v>
      </c>
      <c r="O229" s="55">
        <v>2.1</v>
      </c>
      <c r="P229" s="55">
        <v>1112.5</v>
      </c>
      <c r="Q229" s="55">
        <v>17</v>
      </c>
      <c r="R229" s="55">
        <v>1074</v>
      </c>
      <c r="S229" s="55">
        <v>2754.4</v>
      </c>
      <c r="T229" s="254" t="s">
        <v>790</v>
      </c>
      <c r="U229" s="254">
        <v>18753</v>
      </c>
      <c r="V229" s="254">
        <v>5089</v>
      </c>
      <c r="W229" s="254">
        <v>117</v>
      </c>
      <c r="X229" s="254">
        <v>0</v>
      </c>
      <c r="Y229" s="254">
        <v>0</v>
      </c>
    </row>
    <row r="230" spans="1:25" x14ac:dyDescent="0.35">
      <c r="A230" s="52">
        <v>25331</v>
      </c>
      <c r="B230" s="253">
        <v>44529</v>
      </c>
      <c r="C230" s="254" t="s">
        <v>180</v>
      </c>
      <c r="D230" s="52" t="s">
        <v>757</v>
      </c>
      <c r="E230" s="54">
        <v>25.6</v>
      </c>
      <c r="F230" s="53">
        <v>0</v>
      </c>
      <c r="G230" s="55">
        <v>7.4</v>
      </c>
      <c r="H230" s="55">
        <v>1.5</v>
      </c>
      <c r="I230" s="55">
        <v>0.8</v>
      </c>
      <c r="J230" s="55">
        <v>0</v>
      </c>
      <c r="K230" s="55">
        <v>0</v>
      </c>
      <c r="L230" s="55">
        <v>0</v>
      </c>
      <c r="M230" s="55">
        <v>0.1</v>
      </c>
      <c r="N230" s="55">
        <v>0.1</v>
      </c>
      <c r="O230" s="55">
        <v>1.7</v>
      </c>
      <c r="P230" s="55">
        <v>1115.2</v>
      </c>
      <c r="Q230" s="55">
        <v>18.100000000000001</v>
      </c>
      <c r="R230" s="55">
        <v>1076.5</v>
      </c>
      <c r="S230" s="55">
        <v>2734.2</v>
      </c>
      <c r="T230" s="254" t="s">
        <v>750</v>
      </c>
      <c r="U230" s="254">
        <v>12032</v>
      </c>
      <c r="V230" s="254">
        <v>3333</v>
      </c>
      <c r="W230" s="254">
        <v>152</v>
      </c>
      <c r="X230" s="254">
        <v>0</v>
      </c>
      <c r="Y230" s="254">
        <v>0</v>
      </c>
    </row>
    <row r="231" spans="1:25" x14ac:dyDescent="0.35">
      <c r="A231" s="52">
        <v>25332</v>
      </c>
      <c r="B231" s="253">
        <v>44530</v>
      </c>
      <c r="C231" s="254" t="s">
        <v>215</v>
      </c>
      <c r="D231" s="52" t="s">
        <v>757</v>
      </c>
      <c r="E231" s="54">
        <v>25.7</v>
      </c>
      <c r="F231" s="53">
        <v>0</v>
      </c>
      <c r="G231" s="55">
        <v>7</v>
      </c>
      <c r="H231" s="55">
        <v>1.5</v>
      </c>
      <c r="I231" s="55">
        <v>0.8</v>
      </c>
      <c r="J231" s="55">
        <v>0</v>
      </c>
      <c r="K231" s="55">
        <v>0.1</v>
      </c>
      <c r="L231" s="55">
        <v>0</v>
      </c>
      <c r="M231" s="55">
        <v>0</v>
      </c>
      <c r="N231" s="55">
        <v>0.1</v>
      </c>
      <c r="O231" s="55">
        <v>1.9</v>
      </c>
      <c r="P231" s="55">
        <v>1135.7</v>
      </c>
      <c r="Q231" s="55">
        <v>10.7</v>
      </c>
      <c r="R231" s="55">
        <v>1102.2</v>
      </c>
      <c r="S231" s="55">
        <v>2758.9</v>
      </c>
      <c r="T231" s="254" t="s">
        <v>791</v>
      </c>
      <c r="U231" s="254">
        <v>57607</v>
      </c>
      <c r="V231" s="254">
        <v>51505</v>
      </c>
      <c r="W231" s="254">
        <v>26340</v>
      </c>
      <c r="X231" s="254">
        <v>4848</v>
      </c>
      <c r="Y231" s="254">
        <v>1315</v>
      </c>
    </row>
    <row r="232" spans="1:25" x14ac:dyDescent="0.35">
      <c r="A232" s="52">
        <v>25333</v>
      </c>
      <c r="B232" s="253">
        <v>44530</v>
      </c>
      <c r="C232" s="254" t="s">
        <v>184</v>
      </c>
      <c r="D232" s="52" t="s">
        <v>720</v>
      </c>
      <c r="E232" s="54">
        <v>6</v>
      </c>
      <c r="F232" s="53">
        <v>0</v>
      </c>
      <c r="G232" s="55">
        <v>4.3</v>
      </c>
      <c r="H232" s="55">
        <v>1.6</v>
      </c>
      <c r="I232" s="55">
        <v>1</v>
      </c>
      <c r="J232" s="55">
        <v>0.2</v>
      </c>
      <c r="K232" s="55">
        <v>0.3</v>
      </c>
      <c r="L232" s="55">
        <v>0</v>
      </c>
      <c r="M232" s="55">
        <v>0</v>
      </c>
      <c r="N232" s="55">
        <v>0</v>
      </c>
      <c r="O232" s="55">
        <v>2</v>
      </c>
      <c r="P232" s="55">
        <v>1193.7</v>
      </c>
      <c r="Q232" s="55">
        <v>11.5</v>
      </c>
      <c r="R232" s="55">
        <v>1139.7</v>
      </c>
      <c r="S232" s="55">
        <v>2956.5</v>
      </c>
      <c r="T232" s="254" t="s">
        <v>748</v>
      </c>
      <c r="U232" s="254">
        <v>99983</v>
      </c>
      <c r="V232" s="254">
        <v>29208</v>
      </c>
      <c r="W232" s="254">
        <v>223</v>
      </c>
      <c r="X232" s="254">
        <v>2</v>
      </c>
      <c r="Y232" s="254">
        <v>0</v>
      </c>
    </row>
    <row r="233" spans="1:25" x14ac:dyDescent="0.35">
      <c r="A233" s="52">
        <v>12503</v>
      </c>
      <c r="B233" s="253">
        <v>44536</v>
      </c>
      <c r="C233" s="254" t="s">
        <v>233</v>
      </c>
      <c r="D233" s="52" t="s">
        <v>733</v>
      </c>
      <c r="E233" s="54">
        <v>6.1</v>
      </c>
      <c r="F233" s="53">
        <v>0</v>
      </c>
      <c r="G233" s="55">
        <v>4.4000000000000004</v>
      </c>
      <c r="H233" s="55">
        <v>1.7</v>
      </c>
      <c r="I233" s="55">
        <v>0.8</v>
      </c>
      <c r="J233" s="55">
        <v>0.1</v>
      </c>
      <c r="K233" s="55">
        <v>0.4</v>
      </c>
      <c r="L233" s="55">
        <v>0</v>
      </c>
      <c r="M233" s="55">
        <v>0</v>
      </c>
      <c r="N233" s="55">
        <v>0.1</v>
      </c>
      <c r="O233" s="55">
        <v>2.1</v>
      </c>
      <c r="P233" s="55">
        <v>1362.3</v>
      </c>
      <c r="Q233" s="55">
        <v>11.1</v>
      </c>
      <c r="R233" s="55">
        <v>1188.7</v>
      </c>
      <c r="S233" s="55">
        <v>3055.9</v>
      </c>
      <c r="T233" s="254" t="s">
        <v>369</v>
      </c>
      <c r="U233" s="254">
        <v>2370</v>
      </c>
      <c r="V233" s="254">
        <v>797</v>
      </c>
      <c r="W233" s="254">
        <v>17</v>
      </c>
      <c r="X233" s="254">
        <v>3</v>
      </c>
      <c r="Y233" s="254">
        <v>0</v>
      </c>
    </row>
    <row r="234" spans="1:25" x14ac:dyDescent="0.35">
      <c r="A234" s="52">
        <v>12503</v>
      </c>
      <c r="B234" s="253">
        <v>44536</v>
      </c>
      <c r="C234" s="254" t="s">
        <v>233</v>
      </c>
      <c r="D234" s="52" t="s">
        <v>733</v>
      </c>
      <c r="E234" s="54">
        <v>6.1</v>
      </c>
      <c r="F234" s="53">
        <v>0</v>
      </c>
      <c r="G234" s="54">
        <v>4.4000000000000004</v>
      </c>
      <c r="H234" s="54">
        <v>1.7</v>
      </c>
      <c r="I234" s="54">
        <v>0.8</v>
      </c>
      <c r="J234" s="54">
        <v>0.1</v>
      </c>
      <c r="K234" s="54">
        <v>0.4</v>
      </c>
      <c r="L234" s="54">
        <v>0</v>
      </c>
      <c r="M234" s="54">
        <v>0</v>
      </c>
      <c r="N234" s="54">
        <v>0.1</v>
      </c>
      <c r="O234" s="54">
        <v>2.1</v>
      </c>
      <c r="P234" s="54">
        <v>1362.3</v>
      </c>
      <c r="Q234" s="54">
        <v>11.1</v>
      </c>
      <c r="R234" s="54">
        <v>1188.7</v>
      </c>
      <c r="S234" s="255">
        <v>3055.9</v>
      </c>
      <c r="T234" s="254" t="s">
        <v>369</v>
      </c>
      <c r="U234" s="254">
        <v>2370</v>
      </c>
      <c r="V234" s="254">
        <v>797</v>
      </c>
      <c r="W234" s="254">
        <v>17</v>
      </c>
      <c r="X234" s="254">
        <v>3</v>
      </c>
      <c r="Y234" s="254">
        <v>0</v>
      </c>
    </row>
    <row r="235" spans="1:25" x14ac:dyDescent="0.35">
      <c r="A235" s="52">
        <v>12504</v>
      </c>
      <c r="B235" s="253">
        <v>44536</v>
      </c>
      <c r="C235" s="254" t="s">
        <v>234</v>
      </c>
      <c r="D235" s="52" t="s">
        <v>723</v>
      </c>
      <c r="E235" s="54">
        <v>15.3</v>
      </c>
      <c r="F235" s="53">
        <v>0</v>
      </c>
      <c r="G235" s="54">
        <v>9.3000000000000007</v>
      </c>
      <c r="H235" s="54">
        <v>1.3</v>
      </c>
      <c r="I235" s="54">
        <v>1.2</v>
      </c>
      <c r="J235" s="54">
        <v>0</v>
      </c>
      <c r="K235" s="54">
        <v>0</v>
      </c>
      <c r="L235" s="54">
        <v>0</v>
      </c>
      <c r="M235" s="54">
        <v>0</v>
      </c>
      <c r="N235" s="54">
        <v>1.5</v>
      </c>
      <c r="O235" s="54">
        <v>1.1000000000000001</v>
      </c>
      <c r="P235" s="54">
        <v>1436.4</v>
      </c>
      <c r="Q235" s="54">
        <v>474.3</v>
      </c>
      <c r="R235" s="54">
        <v>1189.9000000000001</v>
      </c>
      <c r="S235" s="255">
        <v>2286.6999999999998</v>
      </c>
      <c r="T235" s="254" t="s">
        <v>748</v>
      </c>
      <c r="U235" s="254">
        <v>81908</v>
      </c>
      <c r="V235" s="254">
        <v>29621</v>
      </c>
      <c r="W235" s="254">
        <v>210</v>
      </c>
      <c r="X235" s="254">
        <v>0</v>
      </c>
      <c r="Y235" s="254">
        <v>0</v>
      </c>
    </row>
    <row r="236" spans="1:25" x14ac:dyDescent="0.35">
      <c r="A236" s="52">
        <v>12504</v>
      </c>
      <c r="B236" s="253">
        <v>44536</v>
      </c>
      <c r="C236" s="254" t="s">
        <v>234</v>
      </c>
      <c r="D236" s="52" t="s">
        <v>723</v>
      </c>
      <c r="E236" s="54">
        <v>15.3</v>
      </c>
      <c r="F236" s="53">
        <v>0</v>
      </c>
      <c r="G236" s="55">
        <v>9.3000000000000007</v>
      </c>
      <c r="H236" s="55">
        <v>1.3</v>
      </c>
      <c r="I236" s="55">
        <v>1.2</v>
      </c>
      <c r="J236" s="55">
        <v>0</v>
      </c>
      <c r="K236" s="55">
        <v>0</v>
      </c>
      <c r="L236" s="55">
        <v>0</v>
      </c>
      <c r="M236" s="55">
        <v>0</v>
      </c>
      <c r="N236" s="55">
        <v>1.5</v>
      </c>
      <c r="O236" s="55">
        <v>1.1000000000000001</v>
      </c>
      <c r="P236" s="55">
        <v>1436.4</v>
      </c>
      <c r="Q236" s="55">
        <v>474.3</v>
      </c>
      <c r="R236" s="55">
        <v>1189.9000000000001</v>
      </c>
      <c r="S236" s="55">
        <v>2286.6999999999998</v>
      </c>
      <c r="T236" s="254" t="s">
        <v>748</v>
      </c>
      <c r="U236" s="254">
        <v>81908</v>
      </c>
      <c r="V236" s="254">
        <v>29621</v>
      </c>
      <c r="W236" s="254">
        <v>210</v>
      </c>
      <c r="X236" s="254">
        <v>0</v>
      </c>
      <c r="Y236" s="254">
        <v>0</v>
      </c>
    </row>
    <row r="237" spans="1:25" x14ac:dyDescent="0.35">
      <c r="A237" s="52">
        <v>12505</v>
      </c>
      <c r="B237" s="253">
        <v>44536</v>
      </c>
      <c r="C237" s="254" t="s">
        <v>235</v>
      </c>
      <c r="D237" s="52" t="s">
        <v>733</v>
      </c>
      <c r="E237" s="54">
        <v>6.1</v>
      </c>
      <c r="F237" s="53">
        <v>0</v>
      </c>
      <c r="G237" s="55">
        <v>4.5</v>
      </c>
      <c r="H237" s="55">
        <v>1.7</v>
      </c>
      <c r="I237" s="55">
        <v>0.8</v>
      </c>
      <c r="J237" s="55">
        <v>0</v>
      </c>
      <c r="K237" s="55">
        <v>0</v>
      </c>
      <c r="L237" s="55">
        <v>0</v>
      </c>
      <c r="M237" s="55">
        <v>0</v>
      </c>
      <c r="N237" s="55">
        <v>0.1</v>
      </c>
      <c r="O237" s="55">
        <v>2.4</v>
      </c>
      <c r="P237" s="55">
        <v>1339.3</v>
      </c>
      <c r="Q237" s="55">
        <v>11.3</v>
      </c>
      <c r="R237" s="55">
        <v>1195.0999999999999</v>
      </c>
      <c r="S237" s="55">
        <v>3084</v>
      </c>
      <c r="T237" s="254" t="s">
        <v>755</v>
      </c>
      <c r="U237" s="254">
        <v>2690</v>
      </c>
      <c r="V237" s="254">
        <v>582</v>
      </c>
      <c r="W237" s="254">
        <v>30</v>
      </c>
      <c r="X237" s="254">
        <v>0</v>
      </c>
      <c r="Y237" s="254">
        <v>0</v>
      </c>
    </row>
    <row r="238" spans="1:25" x14ac:dyDescent="0.35">
      <c r="A238" s="52">
        <v>12505</v>
      </c>
      <c r="B238" s="253">
        <v>44536</v>
      </c>
      <c r="C238" s="254" t="s">
        <v>235</v>
      </c>
      <c r="D238" s="52" t="s">
        <v>733</v>
      </c>
      <c r="E238" s="54">
        <v>6.1</v>
      </c>
      <c r="F238" s="53">
        <v>0</v>
      </c>
      <c r="G238" s="54">
        <v>4.5</v>
      </c>
      <c r="H238" s="54">
        <v>1.7</v>
      </c>
      <c r="I238" s="54">
        <v>0.8</v>
      </c>
      <c r="J238" s="54">
        <v>0</v>
      </c>
      <c r="K238" s="54">
        <v>0</v>
      </c>
      <c r="L238" s="54">
        <v>0</v>
      </c>
      <c r="M238" s="54">
        <v>0</v>
      </c>
      <c r="N238" s="54">
        <v>0.1</v>
      </c>
      <c r="O238" s="54">
        <v>2.4</v>
      </c>
      <c r="P238" s="54">
        <v>1339.3</v>
      </c>
      <c r="Q238" s="54">
        <v>11.3</v>
      </c>
      <c r="R238" s="54">
        <v>1195.0999999999999</v>
      </c>
      <c r="S238" s="255">
        <v>3084</v>
      </c>
      <c r="T238" s="254" t="s">
        <v>755</v>
      </c>
      <c r="U238" s="254">
        <v>2690</v>
      </c>
      <c r="V238" s="254">
        <v>582</v>
      </c>
      <c r="W238" s="254">
        <v>30</v>
      </c>
      <c r="X238" s="254">
        <v>0</v>
      </c>
      <c r="Y238" s="254">
        <v>0</v>
      </c>
    </row>
    <row r="239" spans="1:25" x14ac:dyDescent="0.35">
      <c r="A239" s="52">
        <v>20030</v>
      </c>
      <c r="B239" s="253">
        <v>44539</v>
      </c>
      <c r="C239" s="254" t="s">
        <v>178</v>
      </c>
      <c r="D239" s="52" t="s">
        <v>720</v>
      </c>
      <c r="E239" s="54">
        <v>6.1</v>
      </c>
      <c r="F239" s="53">
        <v>0</v>
      </c>
      <c r="G239" s="55">
        <v>4.5</v>
      </c>
      <c r="H239" s="55">
        <v>1.6</v>
      </c>
      <c r="I239" s="55">
        <v>0.8</v>
      </c>
      <c r="J239" s="55">
        <v>0</v>
      </c>
      <c r="K239" s="55">
        <v>0</v>
      </c>
      <c r="L239" s="55">
        <v>0</v>
      </c>
      <c r="M239" s="55">
        <v>0</v>
      </c>
      <c r="N239" s="55">
        <v>0</v>
      </c>
      <c r="O239" s="55">
        <v>1.7</v>
      </c>
      <c r="P239" s="55">
        <v>1128.5999999999999</v>
      </c>
      <c r="Q239" s="55">
        <v>10.6</v>
      </c>
      <c r="R239" s="55">
        <v>1137.4000000000001</v>
      </c>
      <c r="S239" s="55">
        <v>2876.4</v>
      </c>
      <c r="T239" s="254" t="s">
        <v>743</v>
      </c>
      <c r="U239" s="254">
        <v>2805</v>
      </c>
      <c r="V239" s="254">
        <v>999</v>
      </c>
      <c r="W239" s="254">
        <v>50</v>
      </c>
      <c r="X239" s="254">
        <v>7</v>
      </c>
      <c r="Y239" s="254">
        <v>0</v>
      </c>
    </row>
    <row r="240" spans="1:25" x14ac:dyDescent="0.35">
      <c r="A240" s="52">
        <v>20031</v>
      </c>
      <c r="B240" s="253">
        <v>44539</v>
      </c>
      <c r="C240" s="254" t="s">
        <v>179</v>
      </c>
      <c r="D240" s="52" t="s">
        <v>709</v>
      </c>
      <c r="E240" s="54">
        <v>15</v>
      </c>
      <c r="F240" s="53">
        <v>0</v>
      </c>
      <c r="G240" s="55">
        <v>8.4</v>
      </c>
      <c r="H240" s="55">
        <v>1.3</v>
      </c>
      <c r="I240" s="55">
        <v>1</v>
      </c>
      <c r="J240" s="55">
        <v>0</v>
      </c>
      <c r="K240" s="55">
        <v>0</v>
      </c>
      <c r="L240" s="55">
        <v>0</v>
      </c>
      <c r="M240" s="55">
        <v>0</v>
      </c>
      <c r="N240" s="55">
        <v>1.4</v>
      </c>
      <c r="O240" s="55">
        <v>0.8</v>
      </c>
      <c r="P240" s="55">
        <v>1207.0999999999999</v>
      </c>
      <c r="Q240" s="55">
        <v>447.6</v>
      </c>
      <c r="R240" s="55">
        <v>1142.9000000000001</v>
      </c>
      <c r="S240" s="55">
        <v>2155.9</v>
      </c>
      <c r="T240" s="254" t="s">
        <v>748</v>
      </c>
      <c r="U240" s="254">
        <v>88989</v>
      </c>
      <c r="V240" s="254">
        <v>25027</v>
      </c>
      <c r="W240" s="254">
        <v>307</v>
      </c>
      <c r="X240" s="254">
        <v>10</v>
      </c>
      <c r="Y240" s="254">
        <v>0</v>
      </c>
    </row>
    <row r="241" spans="1:25" x14ac:dyDescent="0.35">
      <c r="A241" s="52">
        <v>20032</v>
      </c>
      <c r="B241" s="253">
        <v>44539</v>
      </c>
      <c r="C241" s="254" t="s">
        <v>180</v>
      </c>
      <c r="D241" s="52" t="s">
        <v>709</v>
      </c>
      <c r="E241" s="54">
        <v>15.1</v>
      </c>
      <c r="F241" s="53">
        <v>0</v>
      </c>
      <c r="G241" s="55">
        <v>8.4</v>
      </c>
      <c r="H241" s="55">
        <v>1.3</v>
      </c>
      <c r="I241" s="55">
        <v>1</v>
      </c>
      <c r="J241" s="55">
        <v>0.3</v>
      </c>
      <c r="K241" s="55">
        <v>0.1</v>
      </c>
      <c r="L241" s="55">
        <v>0</v>
      </c>
      <c r="M241" s="55">
        <v>0</v>
      </c>
      <c r="N241" s="55">
        <v>1.8</v>
      </c>
      <c r="O241" s="55">
        <v>1</v>
      </c>
      <c r="P241" s="55">
        <v>1189.8</v>
      </c>
      <c r="Q241" s="55">
        <v>438.1</v>
      </c>
      <c r="R241" s="55">
        <v>1122.7</v>
      </c>
      <c r="S241" s="55">
        <v>2076</v>
      </c>
      <c r="T241" s="254" t="s">
        <v>748</v>
      </c>
      <c r="U241" s="254">
        <v>80140</v>
      </c>
      <c r="V241" s="254">
        <v>24474</v>
      </c>
      <c r="W241" s="254">
        <v>297</v>
      </c>
      <c r="X241" s="254">
        <v>3</v>
      </c>
      <c r="Y241" s="254">
        <v>0</v>
      </c>
    </row>
    <row r="242" spans="1:25" x14ac:dyDescent="0.35">
      <c r="A242" s="52">
        <v>27338</v>
      </c>
      <c r="B242" s="253">
        <v>44544</v>
      </c>
      <c r="C242" s="254" t="s">
        <v>172</v>
      </c>
      <c r="D242" s="52" t="s">
        <v>746</v>
      </c>
      <c r="E242" s="54">
        <v>6</v>
      </c>
      <c r="F242" s="53">
        <v>0</v>
      </c>
      <c r="G242" s="55">
        <v>3.6</v>
      </c>
      <c r="H242" s="55">
        <v>1.6</v>
      </c>
      <c r="I242" s="55">
        <v>0.9</v>
      </c>
      <c r="J242" s="55">
        <v>0</v>
      </c>
      <c r="K242" s="55">
        <v>0</v>
      </c>
      <c r="L242" s="55">
        <v>0</v>
      </c>
      <c r="M242" s="55">
        <v>0</v>
      </c>
      <c r="N242" s="55">
        <v>0.4</v>
      </c>
      <c r="O242" s="55">
        <v>1.8</v>
      </c>
      <c r="P242" s="55">
        <v>1283.4000000000001</v>
      </c>
      <c r="Q242" s="55">
        <v>14.2</v>
      </c>
      <c r="R242" s="55">
        <v>1177.5999999999999</v>
      </c>
      <c r="S242" s="55">
        <v>3045</v>
      </c>
      <c r="T242" s="254" t="s">
        <v>789</v>
      </c>
      <c r="U242" s="254">
        <v>2865</v>
      </c>
      <c r="V242" s="254">
        <v>963</v>
      </c>
      <c r="W242" s="254">
        <v>9</v>
      </c>
      <c r="X242" s="254">
        <v>0</v>
      </c>
      <c r="Y242" s="254">
        <v>0</v>
      </c>
    </row>
    <row r="243" spans="1:25" x14ac:dyDescent="0.35">
      <c r="A243" s="52">
        <v>25826</v>
      </c>
      <c r="B243" s="253">
        <v>44546</v>
      </c>
      <c r="C243" s="254" t="s">
        <v>221</v>
      </c>
      <c r="D243" s="52" t="s">
        <v>782</v>
      </c>
      <c r="E243" s="54">
        <v>79.099999999999994</v>
      </c>
      <c r="F243" s="53">
        <v>0</v>
      </c>
      <c r="G243" s="55">
        <v>14.4</v>
      </c>
      <c r="H243" s="55">
        <v>0</v>
      </c>
      <c r="I243" s="55">
        <v>0.8</v>
      </c>
      <c r="J243" s="55">
        <v>0</v>
      </c>
      <c r="K243" s="55">
        <v>0.1</v>
      </c>
      <c r="L243" s="55">
        <v>0</v>
      </c>
      <c r="M243" s="55">
        <v>0</v>
      </c>
      <c r="N243" s="55">
        <v>0.3</v>
      </c>
      <c r="O243" s="55">
        <v>0</v>
      </c>
      <c r="P243" s="55">
        <v>214.9</v>
      </c>
      <c r="Q243" s="55">
        <v>0.1</v>
      </c>
      <c r="R243" s="55">
        <v>3.6</v>
      </c>
      <c r="S243" s="55">
        <v>5.6</v>
      </c>
      <c r="T243" s="254" t="s">
        <v>795</v>
      </c>
      <c r="U243" s="254">
        <v>13591</v>
      </c>
      <c r="V243" s="254">
        <v>6593</v>
      </c>
      <c r="W243" s="254">
        <v>2585</v>
      </c>
      <c r="X243" s="254">
        <v>12</v>
      </c>
      <c r="Y243" s="254">
        <v>0</v>
      </c>
    </row>
    <row r="244" spans="1:25" x14ac:dyDescent="0.35">
      <c r="A244" s="52">
        <v>26769</v>
      </c>
      <c r="B244" s="253">
        <v>44547</v>
      </c>
      <c r="C244" s="254" t="s">
        <v>162</v>
      </c>
      <c r="D244" s="52" t="s">
        <v>723</v>
      </c>
      <c r="E244" s="54">
        <v>15.1</v>
      </c>
      <c r="F244" s="53">
        <v>0</v>
      </c>
      <c r="G244" s="55">
        <v>10.199999999999999</v>
      </c>
      <c r="H244" s="55">
        <v>1.4</v>
      </c>
      <c r="I244" s="55">
        <v>1.4</v>
      </c>
      <c r="J244" s="55">
        <v>0</v>
      </c>
      <c r="K244" s="55">
        <v>0</v>
      </c>
      <c r="L244" s="55">
        <v>0</v>
      </c>
      <c r="M244" s="55">
        <v>0</v>
      </c>
      <c r="N244" s="55">
        <v>1.4</v>
      </c>
      <c r="O244" s="55">
        <v>0.3</v>
      </c>
      <c r="P244" s="55">
        <v>1314.8</v>
      </c>
      <c r="Q244" s="55">
        <v>478.9</v>
      </c>
      <c r="R244" s="55">
        <v>1219.4000000000001</v>
      </c>
      <c r="S244" s="55">
        <v>2357.1999999999998</v>
      </c>
      <c r="T244" s="254" t="s">
        <v>713</v>
      </c>
      <c r="U244" s="254">
        <v>77791</v>
      </c>
      <c r="V244" s="254">
        <v>23245</v>
      </c>
      <c r="W244" s="254">
        <v>242</v>
      </c>
      <c r="X244" s="254">
        <v>0</v>
      </c>
      <c r="Y244" s="254">
        <v>0</v>
      </c>
    </row>
    <row r="245" spans="1:25" x14ac:dyDescent="0.35">
      <c r="A245" s="52">
        <v>26770</v>
      </c>
      <c r="B245" s="253">
        <v>44547</v>
      </c>
      <c r="C245" s="254" t="s">
        <v>163</v>
      </c>
      <c r="D245" s="52" t="s">
        <v>723</v>
      </c>
      <c r="E245" s="54">
        <v>15.1</v>
      </c>
      <c r="F245" s="53">
        <v>0</v>
      </c>
      <c r="G245" s="55">
        <v>10</v>
      </c>
      <c r="H245" s="55">
        <v>1.3</v>
      </c>
      <c r="I245" s="55">
        <v>1.4</v>
      </c>
      <c r="J245" s="55">
        <v>0</v>
      </c>
      <c r="K245" s="55">
        <v>0</v>
      </c>
      <c r="L245" s="55">
        <v>0</v>
      </c>
      <c r="M245" s="55">
        <v>0</v>
      </c>
      <c r="N245" s="55">
        <v>1.2</v>
      </c>
      <c r="O245" s="55">
        <v>0.4</v>
      </c>
      <c r="P245" s="55">
        <v>1316.2</v>
      </c>
      <c r="Q245" s="55">
        <v>475.5</v>
      </c>
      <c r="R245" s="55">
        <v>1206.5</v>
      </c>
      <c r="S245" s="55">
        <v>2340.8000000000002</v>
      </c>
      <c r="T245" s="254" t="s">
        <v>713</v>
      </c>
      <c r="U245" s="254">
        <v>78938</v>
      </c>
      <c r="V245" s="254">
        <v>27313</v>
      </c>
      <c r="W245" s="254">
        <v>174</v>
      </c>
      <c r="X245" s="254">
        <v>0</v>
      </c>
      <c r="Y245" s="254">
        <v>0</v>
      </c>
    </row>
    <row r="246" spans="1:25" x14ac:dyDescent="0.35">
      <c r="A246" s="52">
        <v>26771</v>
      </c>
      <c r="B246" s="253">
        <v>44547</v>
      </c>
      <c r="C246" s="254" t="s">
        <v>164</v>
      </c>
      <c r="D246" s="52" t="s">
        <v>723</v>
      </c>
      <c r="E246" s="54">
        <v>15.1</v>
      </c>
      <c r="F246" s="53">
        <v>0</v>
      </c>
      <c r="G246" s="55">
        <v>10.199999999999999</v>
      </c>
      <c r="H246" s="55">
        <v>1.3</v>
      </c>
      <c r="I246" s="55">
        <v>1.4</v>
      </c>
      <c r="J246" s="55">
        <v>0</v>
      </c>
      <c r="K246" s="55">
        <v>0</v>
      </c>
      <c r="L246" s="55">
        <v>0</v>
      </c>
      <c r="M246" s="55">
        <v>0</v>
      </c>
      <c r="N246" s="55">
        <v>0.8</v>
      </c>
      <c r="O246" s="55">
        <v>0.5</v>
      </c>
      <c r="P246" s="55">
        <v>1311.8</v>
      </c>
      <c r="Q246" s="55">
        <v>485.5</v>
      </c>
      <c r="R246" s="55">
        <v>1233.7</v>
      </c>
      <c r="S246" s="55">
        <v>2390.9</v>
      </c>
      <c r="T246" s="254" t="s">
        <v>713</v>
      </c>
      <c r="U246" s="254">
        <v>77760</v>
      </c>
      <c r="V246" s="254">
        <v>23220</v>
      </c>
      <c r="W246" s="254">
        <v>231</v>
      </c>
      <c r="X246" s="254">
        <v>0</v>
      </c>
      <c r="Y246" s="254">
        <v>0</v>
      </c>
    </row>
    <row r="247" spans="1:25" x14ac:dyDescent="0.35">
      <c r="A247" s="52">
        <v>26772</v>
      </c>
      <c r="B247" s="253">
        <v>44548</v>
      </c>
      <c r="C247" s="254" t="s">
        <v>191</v>
      </c>
      <c r="D247" s="52" t="s">
        <v>723</v>
      </c>
      <c r="E247" s="54">
        <v>15.1</v>
      </c>
      <c r="F247" s="53">
        <v>0</v>
      </c>
      <c r="G247" s="55">
        <v>10.1</v>
      </c>
      <c r="H247" s="55">
        <v>1.3</v>
      </c>
      <c r="I247" s="55">
        <v>1.2</v>
      </c>
      <c r="J247" s="55">
        <v>0</v>
      </c>
      <c r="K247" s="55">
        <v>0</v>
      </c>
      <c r="L247" s="55">
        <v>0</v>
      </c>
      <c r="M247" s="55">
        <v>0</v>
      </c>
      <c r="N247" s="55">
        <v>1</v>
      </c>
      <c r="O247" s="55">
        <v>0.4</v>
      </c>
      <c r="P247" s="55">
        <v>1310.3</v>
      </c>
      <c r="Q247" s="55">
        <v>475.1</v>
      </c>
      <c r="R247" s="55">
        <v>1210.4000000000001</v>
      </c>
      <c r="S247" s="55">
        <v>2348.9</v>
      </c>
      <c r="T247" s="254" t="s">
        <v>748</v>
      </c>
      <c r="U247" s="254">
        <v>87868</v>
      </c>
      <c r="V247" s="254">
        <v>31576</v>
      </c>
      <c r="W247" s="254">
        <v>256</v>
      </c>
      <c r="X247" s="254">
        <v>0</v>
      </c>
      <c r="Y247" s="254">
        <v>0</v>
      </c>
    </row>
    <row r="248" spans="1:25" x14ac:dyDescent="0.35">
      <c r="A248" s="52">
        <v>26773</v>
      </c>
      <c r="B248" s="253">
        <v>44548</v>
      </c>
      <c r="C248" s="254" t="s">
        <v>171</v>
      </c>
      <c r="D248" s="52" t="s">
        <v>723</v>
      </c>
      <c r="E248" s="54">
        <v>15.1</v>
      </c>
      <c r="F248" s="53">
        <v>0</v>
      </c>
      <c r="G248" s="55">
        <v>9.6999999999999993</v>
      </c>
      <c r="H248" s="55">
        <v>1.6</v>
      </c>
      <c r="I248" s="55">
        <v>1.6</v>
      </c>
      <c r="J248" s="55">
        <v>0</v>
      </c>
      <c r="K248" s="55">
        <v>0</v>
      </c>
      <c r="L248" s="55">
        <v>0</v>
      </c>
      <c r="M248" s="55">
        <v>0</v>
      </c>
      <c r="N248" s="55">
        <v>1.6</v>
      </c>
      <c r="O248" s="55">
        <v>0.8</v>
      </c>
      <c r="P248" s="55">
        <v>1332.4</v>
      </c>
      <c r="Q248" s="55">
        <v>478.3</v>
      </c>
      <c r="R248" s="55">
        <v>1245.8</v>
      </c>
      <c r="S248" s="55">
        <v>2403.6999999999998</v>
      </c>
      <c r="T248" s="254" t="s">
        <v>797</v>
      </c>
      <c r="U248" s="254">
        <v>138312</v>
      </c>
      <c r="V248" s="254">
        <v>45805</v>
      </c>
      <c r="W248" s="254">
        <v>580</v>
      </c>
      <c r="X248" s="254">
        <v>20</v>
      </c>
      <c r="Y248" s="254">
        <v>0</v>
      </c>
    </row>
    <row r="249" spans="1:25" x14ac:dyDescent="0.35">
      <c r="A249" s="52">
        <v>27003</v>
      </c>
      <c r="B249" s="253">
        <v>44550</v>
      </c>
      <c r="C249" s="254" t="s">
        <v>181</v>
      </c>
      <c r="D249" s="52" t="s">
        <v>798</v>
      </c>
      <c r="E249" s="54">
        <v>11.3</v>
      </c>
      <c r="F249" s="53">
        <v>0</v>
      </c>
      <c r="G249" s="55">
        <v>3.5</v>
      </c>
      <c r="H249" s="55">
        <v>1.8</v>
      </c>
      <c r="I249" s="55">
        <v>1.2</v>
      </c>
      <c r="J249" s="55">
        <v>0</v>
      </c>
      <c r="K249" s="55">
        <v>0</v>
      </c>
      <c r="L249" s="55">
        <v>0</v>
      </c>
      <c r="M249" s="55">
        <v>0</v>
      </c>
      <c r="N249" s="55">
        <v>0</v>
      </c>
      <c r="O249" s="55">
        <v>2.7</v>
      </c>
      <c r="P249" s="55">
        <v>1375.9</v>
      </c>
      <c r="Q249" s="55">
        <v>12.4</v>
      </c>
      <c r="R249" s="55">
        <v>1302</v>
      </c>
      <c r="S249" s="55">
        <v>3442.6</v>
      </c>
      <c r="T249" s="254" t="s">
        <v>799</v>
      </c>
      <c r="U249" s="254">
        <v>7360</v>
      </c>
      <c r="V249" s="254">
        <v>3613</v>
      </c>
      <c r="W249" s="254">
        <v>2092</v>
      </c>
      <c r="X249" s="254">
        <v>1432</v>
      </c>
      <c r="Y249" s="254">
        <v>1372</v>
      </c>
    </row>
    <row r="250" spans="1:25" x14ac:dyDescent="0.35">
      <c r="A250" s="52">
        <v>27004</v>
      </c>
      <c r="B250" s="253">
        <v>44550</v>
      </c>
      <c r="C250" s="254" t="s">
        <v>182</v>
      </c>
      <c r="D250" s="52" t="s">
        <v>749</v>
      </c>
      <c r="E250" s="54">
        <v>25.1</v>
      </c>
      <c r="F250" s="53">
        <v>0</v>
      </c>
      <c r="G250" s="55">
        <v>8.3000000000000007</v>
      </c>
      <c r="H250" s="55">
        <v>1.6</v>
      </c>
      <c r="I250" s="55">
        <v>0.9</v>
      </c>
      <c r="J250" s="55">
        <v>0</v>
      </c>
      <c r="K250" s="55">
        <v>0</v>
      </c>
      <c r="L250" s="55">
        <v>0</v>
      </c>
      <c r="M250" s="55">
        <v>0</v>
      </c>
      <c r="N250" s="55">
        <v>1.3</v>
      </c>
      <c r="O250" s="55">
        <v>1.9</v>
      </c>
      <c r="P250" s="55">
        <v>1352.5</v>
      </c>
      <c r="Q250" s="55">
        <v>15.3</v>
      </c>
      <c r="R250" s="55">
        <v>1208.5</v>
      </c>
      <c r="S250" s="55">
        <v>3132.5</v>
      </c>
      <c r="T250" s="254" t="s">
        <v>747</v>
      </c>
      <c r="U250" s="254">
        <v>6758</v>
      </c>
      <c r="V250" s="254">
        <v>1954</v>
      </c>
      <c r="W250" s="254">
        <v>69</v>
      </c>
      <c r="X250" s="254">
        <v>0</v>
      </c>
      <c r="Y250" s="254">
        <v>0</v>
      </c>
    </row>
    <row r="251" spans="1:25" x14ac:dyDescent="0.35">
      <c r="A251" s="52">
        <v>27005</v>
      </c>
      <c r="B251" s="253">
        <v>44550</v>
      </c>
      <c r="C251" s="254" t="s">
        <v>183</v>
      </c>
      <c r="D251" s="52" t="s">
        <v>798</v>
      </c>
      <c r="E251" s="54">
        <v>11.2</v>
      </c>
      <c r="F251" s="53">
        <v>0</v>
      </c>
      <c r="G251" s="55">
        <v>3.7</v>
      </c>
      <c r="H251" s="55">
        <v>1.6</v>
      </c>
      <c r="I251" s="55">
        <v>0.9</v>
      </c>
      <c r="J251" s="55">
        <v>0</v>
      </c>
      <c r="K251" s="55">
        <v>0</v>
      </c>
      <c r="L251" s="55">
        <v>0</v>
      </c>
      <c r="M251" s="55">
        <v>0</v>
      </c>
      <c r="N251" s="55">
        <v>0.7</v>
      </c>
      <c r="O251" s="55">
        <v>2.1</v>
      </c>
      <c r="P251" s="55">
        <v>1380.3</v>
      </c>
      <c r="Q251" s="55">
        <v>11.9</v>
      </c>
      <c r="R251" s="55">
        <v>1225.4000000000001</v>
      </c>
      <c r="S251" s="55">
        <v>3185</v>
      </c>
      <c r="T251" s="254" t="s">
        <v>776</v>
      </c>
      <c r="U251" s="254">
        <v>5448</v>
      </c>
      <c r="V251" s="254">
        <v>1151</v>
      </c>
      <c r="W251" s="254">
        <v>52</v>
      </c>
      <c r="X251" s="254">
        <v>5</v>
      </c>
      <c r="Y251" s="254">
        <v>0</v>
      </c>
    </row>
    <row r="252" spans="1:25" x14ac:dyDescent="0.35">
      <c r="A252" s="52">
        <v>27006</v>
      </c>
      <c r="B252" s="253">
        <v>44550</v>
      </c>
      <c r="C252" s="254" t="s">
        <v>236</v>
      </c>
      <c r="D252" s="52" t="s">
        <v>798</v>
      </c>
      <c r="E252" s="54">
        <v>11.3</v>
      </c>
      <c r="F252" s="53">
        <v>0</v>
      </c>
      <c r="G252" s="55">
        <v>3.3</v>
      </c>
      <c r="H252" s="55">
        <v>1.6</v>
      </c>
      <c r="I252" s="55">
        <v>0.9</v>
      </c>
      <c r="J252" s="55">
        <v>0</v>
      </c>
      <c r="K252" s="55">
        <v>0</v>
      </c>
      <c r="L252" s="55">
        <v>0</v>
      </c>
      <c r="M252" s="55">
        <v>0</v>
      </c>
      <c r="N252" s="55">
        <v>1.2</v>
      </c>
      <c r="O252" s="55">
        <v>1.4</v>
      </c>
      <c r="P252" s="55">
        <v>1340.8</v>
      </c>
      <c r="Q252" s="55">
        <v>11</v>
      </c>
      <c r="R252" s="55">
        <v>1209.8</v>
      </c>
      <c r="S252" s="55">
        <v>3129.4</v>
      </c>
      <c r="T252" s="254" t="s">
        <v>800</v>
      </c>
      <c r="U252" s="254">
        <v>1640</v>
      </c>
      <c r="V252" s="254">
        <v>357</v>
      </c>
      <c r="W252" s="254">
        <v>8</v>
      </c>
      <c r="X252" s="254">
        <v>0</v>
      </c>
      <c r="Y252" s="254">
        <v>0</v>
      </c>
    </row>
    <row r="253" spans="1:25" x14ac:dyDescent="0.35">
      <c r="A253" s="52">
        <v>27007</v>
      </c>
      <c r="B253" s="253">
        <v>44551</v>
      </c>
      <c r="C253" s="254" t="s">
        <v>237</v>
      </c>
      <c r="D253" s="52" t="s">
        <v>749</v>
      </c>
      <c r="E253" s="54">
        <v>25</v>
      </c>
      <c r="F253" s="53">
        <v>0</v>
      </c>
      <c r="G253" s="55">
        <v>8.6999999999999993</v>
      </c>
      <c r="H253" s="55">
        <v>1.7</v>
      </c>
      <c r="I253" s="55">
        <v>0.9</v>
      </c>
      <c r="J253" s="55">
        <v>0</v>
      </c>
      <c r="K253" s="55">
        <v>0</v>
      </c>
      <c r="L253" s="55">
        <v>0</v>
      </c>
      <c r="M253" s="55">
        <v>0</v>
      </c>
      <c r="N253" s="55">
        <v>0.6</v>
      </c>
      <c r="O253" s="55">
        <v>1.4</v>
      </c>
      <c r="P253" s="55">
        <v>1418.2</v>
      </c>
      <c r="Q253" s="55">
        <v>12.4</v>
      </c>
      <c r="R253" s="55">
        <v>1253.8</v>
      </c>
      <c r="S253" s="55">
        <v>3247.6</v>
      </c>
      <c r="T253" s="254" t="s">
        <v>747</v>
      </c>
      <c r="U253" s="254">
        <v>5878</v>
      </c>
      <c r="V253" s="254">
        <v>1384</v>
      </c>
      <c r="W253" s="254">
        <v>75</v>
      </c>
      <c r="X253" s="254">
        <v>3</v>
      </c>
      <c r="Y253" s="254">
        <v>0</v>
      </c>
    </row>
    <row r="254" spans="1:25" x14ac:dyDescent="0.35">
      <c r="A254" s="52">
        <v>27008</v>
      </c>
      <c r="B254" s="253">
        <v>44551</v>
      </c>
      <c r="C254" s="254" t="s">
        <v>238</v>
      </c>
      <c r="D254" s="52" t="s">
        <v>798</v>
      </c>
      <c r="E254" s="54">
        <v>11.2</v>
      </c>
      <c r="F254" s="53">
        <v>0</v>
      </c>
      <c r="G254" s="55">
        <v>3.5</v>
      </c>
      <c r="H254" s="55">
        <v>1.9</v>
      </c>
      <c r="I254" s="55">
        <v>1</v>
      </c>
      <c r="J254" s="55">
        <v>0</v>
      </c>
      <c r="K254" s="55">
        <v>0</v>
      </c>
      <c r="L254" s="55">
        <v>0</v>
      </c>
      <c r="M254" s="55">
        <v>0</v>
      </c>
      <c r="N254" s="55">
        <v>0.8</v>
      </c>
      <c r="O254" s="55">
        <v>1.8</v>
      </c>
      <c r="P254" s="55">
        <v>1405.6</v>
      </c>
      <c r="Q254" s="55">
        <v>11.8</v>
      </c>
      <c r="R254" s="55">
        <v>1236.2</v>
      </c>
      <c r="S254" s="55">
        <v>3244.2</v>
      </c>
      <c r="T254" s="254" t="s">
        <v>801</v>
      </c>
      <c r="U254" s="254">
        <v>38675</v>
      </c>
      <c r="V254" s="254">
        <v>14145</v>
      </c>
      <c r="W254" s="254">
        <v>415</v>
      </c>
      <c r="X254" s="254">
        <v>8</v>
      </c>
      <c r="Y254" s="254">
        <v>0</v>
      </c>
    </row>
    <row r="255" spans="1:25" x14ac:dyDescent="0.35">
      <c r="A255" s="52">
        <v>27335</v>
      </c>
      <c r="B255" s="253">
        <v>44553</v>
      </c>
      <c r="C255" s="254" t="s">
        <v>239</v>
      </c>
      <c r="D255" s="52" t="s">
        <v>746</v>
      </c>
      <c r="E255" s="54">
        <v>6</v>
      </c>
      <c r="F255" s="53">
        <v>0</v>
      </c>
      <c r="G255" s="55">
        <v>3.9</v>
      </c>
      <c r="H255" s="55">
        <v>1.7</v>
      </c>
      <c r="I255" s="55">
        <v>1</v>
      </c>
      <c r="J255" s="55">
        <v>0</v>
      </c>
      <c r="K255" s="55">
        <v>0</v>
      </c>
      <c r="L255" s="55">
        <v>0</v>
      </c>
      <c r="M255" s="55">
        <v>0</v>
      </c>
      <c r="N255" s="55">
        <v>0.1</v>
      </c>
      <c r="O255" s="55">
        <v>2.2999999999999998</v>
      </c>
      <c r="P255" s="55">
        <v>1304.8</v>
      </c>
      <c r="Q255" s="55">
        <v>11.6</v>
      </c>
      <c r="R255" s="55">
        <v>1204.7</v>
      </c>
      <c r="S255" s="55">
        <v>3111</v>
      </c>
      <c r="T255" s="254" t="s">
        <v>743</v>
      </c>
      <c r="U255" s="254">
        <v>3050</v>
      </c>
      <c r="V255" s="254">
        <v>1010</v>
      </c>
      <c r="W255" s="254">
        <v>52</v>
      </c>
      <c r="X255" s="254">
        <v>0</v>
      </c>
      <c r="Y255" s="254">
        <v>0</v>
      </c>
    </row>
    <row r="256" spans="1:25" x14ac:dyDescent="0.35">
      <c r="A256" s="52">
        <v>27336</v>
      </c>
      <c r="B256" s="253">
        <v>44553</v>
      </c>
      <c r="C256" s="254" t="s">
        <v>240</v>
      </c>
      <c r="D256" s="52" t="s">
        <v>746</v>
      </c>
      <c r="E256" s="54">
        <v>6</v>
      </c>
      <c r="F256" s="53">
        <v>0</v>
      </c>
      <c r="G256" s="55">
        <v>4.0999999999999996</v>
      </c>
      <c r="H256" s="55">
        <v>1.6</v>
      </c>
      <c r="I256" s="55">
        <v>0.9</v>
      </c>
      <c r="J256" s="55">
        <v>0</v>
      </c>
      <c r="K256" s="55">
        <v>0</v>
      </c>
      <c r="L256" s="55">
        <v>0</v>
      </c>
      <c r="M256" s="55">
        <v>0</v>
      </c>
      <c r="N256" s="55">
        <v>0.6</v>
      </c>
      <c r="O256" s="55">
        <v>2.4</v>
      </c>
      <c r="P256" s="55">
        <v>1292.8</v>
      </c>
      <c r="Q256" s="55">
        <v>11.6</v>
      </c>
      <c r="R256" s="55">
        <v>1199.5</v>
      </c>
      <c r="S256" s="55">
        <v>3104.1</v>
      </c>
      <c r="T256" s="254" t="s">
        <v>802</v>
      </c>
      <c r="U256" s="254">
        <v>9523</v>
      </c>
      <c r="V256" s="254">
        <v>2861</v>
      </c>
      <c r="W256" s="254">
        <v>377</v>
      </c>
      <c r="X256" s="254">
        <v>351</v>
      </c>
      <c r="Y256" s="254">
        <v>0</v>
      </c>
    </row>
    <row r="257" spans="1:25" x14ac:dyDescent="0.35">
      <c r="A257" s="52">
        <v>27337</v>
      </c>
      <c r="B257" s="253">
        <v>44553</v>
      </c>
      <c r="C257" s="254" t="s">
        <v>241</v>
      </c>
      <c r="D257" s="52" t="s">
        <v>746</v>
      </c>
      <c r="E257" s="54">
        <v>6</v>
      </c>
      <c r="F257" s="53">
        <v>0</v>
      </c>
      <c r="G257" s="55">
        <v>3.8</v>
      </c>
      <c r="H257" s="55">
        <v>1.6</v>
      </c>
      <c r="I257" s="55">
        <v>1.1000000000000001</v>
      </c>
      <c r="J257" s="55">
        <v>0</v>
      </c>
      <c r="K257" s="55">
        <v>0</v>
      </c>
      <c r="L257" s="55">
        <v>0</v>
      </c>
      <c r="M257" s="55">
        <v>0</v>
      </c>
      <c r="N257" s="55">
        <v>0</v>
      </c>
      <c r="O257" s="55">
        <v>2.2999999999999998</v>
      </c>
      <c r="P257" s="55">
        <v>1286.5999999999999</v>
      </c>
      <c r="Q257" s="55">
        <v>11.7</v>
      </c>
      <c r="R257" s="55">
        <v>1189.7</v>
      </c>
      <c r="S257" s="55">
        <v>3064.2</v>
      </c>
      <c r="T257" s="254" t="s">
        <v>730</v>
      </c>
      <c r="U257" s="254">
        <v>2914</v>
      </c>
      <c r="V257" s="254">
        <v>1164</v>
      </c>
      <c r="W257" s="254">
        <v>38</v>
      </c>
      <c r="X257" s="254">
        <v>0</v>
      </c>
      <c r="Y257" s="254">
        <v>0</v>
      </c>
    </row>
    <row r="258" spans="1:25" x14ac:dyDescent="0.35">
      <c r="A258" s="52">
        <v>27772</v>
      </c>
      <c r="B258" s="253">
        <v>44560</v>
      </c>
      <c r="C258" s="254" t="s">
        <v>178</v>
      </c>
      <c r="D258" s="52" t="s">
        <v>720</v>
      </c>
      <c r="E258" s="54">
        <v>6</v>
      </c>
      <c r="F258" s="53">
        <v>0</v>
      </c>
      <c r="G258" s="55">
        <v>3.4</v>
      </c>
      <c r="H258" s="55">
        <v>1.5</v>
      </c>
      <c r="I258" s="55">
        <v>0.9</v>
      </c>
      <c r="J258" s="55">
        <v>0.1</v>
      </c>
      <c r="K258" s="55">
        <v>0</v>
      </c>
      <c r="L258" s="55">
        <v>0</v>
      </c>
      <c r="M258" s="55">
        <v>0</v>
      </c>
      <c r="N258" s="55">
        <v>0</v>
      </c>
      <c r="O258" s="55">
        <v>3</v>
      </c>
      <c r="P258" s="55">
        <v>1205.2</v>
      </c>
      <c r="Q258" s="55">
        <v>11.3</v>
      </c>
      <c r="R258" s="55">
        <v>1137</v>
      </c>
      <c r="S258" s="55">
        <v>2938.1</v>
      </c>
      <c r="T258" s="254" t="s">
        <v>788</v>
      </c>
      <c r="U258" s="254">
        <v>11157</v>
      </c>
      <c r="V258" s="254">
        <v>4680</v>
      </c>
      <c r="W258" s="254">
        <v>431</v>
      </c>
      <c r="X258" s="254">
        <v>48</v>
      </c>
      <c r="Y258" s="254">
        <v>12</v>
      </c>
    </row>
    <row r="259" spans="1:25" x14ac:dyDescent="0.35">
      <c r="A259" s="52">
        <v>27773</v>
      </c>
      <c r="B259" s="253">
        <v>44560</v>
      </c>
      <c r="C259" s="254" t="s">
        <v>179</v>
      </c>
      <c r="D259" s="52" t="s">
        <v>720</v>
      </c>
      <c r="E259" s="54">
        <v>6</v>
      </c>
      <c r="F259" s="53">
        <v>0</v>
      </c>
      <c r="G259" s="55">
        <v>3.1</v>
      </c>
      <c r="H259" s="55">
        <v>1.4</v>
      </c>
      <c r="I259" s="55">
        <v>1</v>
      </c>
      <c r="J259" s="55">
        <v>0</v>
      </c>
      <c r="K259" s="55">
        <v>0.1</v>
      </c>
      <c r="L259" s="55">
        <v>0</v>
      </c>
      <c r="M259" s="55">
        <v>0</v>
      </c>
      <c r="N259" s="55">
        <v>0</v>
      </c>
      <c r="O259" s="55">
        <v>2.4</v>
      </c>
      <c r="P259" s="55">
        <v>1182.0999999999999</v>
      </c>
      <c r="Q259" s="55">
        <v>10.9</v>
      </c>
      <c r="R259" s="55">
        <v>1112.5999999999999</v>
      </c>
      <c r="S259" s="55">
        <v>2855.5</v>
      </c>
      <c r="T259" s="254" t="s">
        <v>788</v>
      </c>
      <c r="U259" s="254">
        <v>10906</v>
      </c>
      <c r="V259" s="254">
        <v>4113</v>
      </c>
      <c r="W259" s="254">
        <v>393</v>
      </c>
      <c r="X259" s="254">
        <v>20</v>
      </c>
      <c r="Y259" s="254">
        <v>2</v>
      </c>
    </row>
    <row r="260" spans="1:25" x14ac:dyDescent="0.35">
      <c r="A260" s="52">
        <v>27774</v>
      </c>
      <c r="B260" s="253">
        <v>44560</v>
      </c>
      <c r="C260" s="254" t="s">
        <v>180</v>
      </c>
      <c r="D260" s="52" t="s">
        <v>720</v>
      </c>
      <c r="E260" s="54">
        <v>6</v>
      </c>
      <c r="F260" s="53">
        <v>0</v>
      </c>
      <c r="G260" s="55">
        <v>3.2</v>
      </c>
      <c r="H260" s="55">
        <v>1.4</v>
      </c>
      <c r="I260" s="55">
        <v>0.9</v>
      </c>
      <c r="J260" s="55">
        <v>0</v>
      </c>
      <c r="K260" s="55">
        <v>0</v>
      </c>
      <c r="L260" s="55">
        <v>0</v>
      </c>
      <c r="M260" s="55">
        <v>0</v>
      </c>
      <c r="N260" s="55">
        <v>0</v>
      </c>
      <c r="O260" s="55">
        <v>2.1</v>
      </c>
      <c r="P260" s="55">
        <v>1174.0999999999999</v>
      </c>
      <c r="Q260" s="55">
        <v>10.8</v>
      </c>
      <c r="R260" s="55">
        <v>1108.8</v>
      </c>
      <c r="S260" s="55">
        <v>2837.9</v>
      </c>
      <c r="T260" s="254" t="s">
        <v>788</v>
      </c>
      <c r="U260" s="254">
        <v>10963</v>
      </c>
      <c r="V260" s="254">
        <v>4176</v>
      </c>
      <c r="W260" s="254">
        <v>513</v>
      </c>
      <c r="X260" s="254">
        <v>31</v>
      </c>
      <c r="Y260" s="254">
        <v>0</v>
      </c>
    </row>
    <row r="261" spans="1:25" x14ac:dyDescent="0.35">
      <c r="A261" s="52">
        <v>27775</v>
      </c>
      <c r="B261" s="253">
        <v>44560</v>
      </c>
      <c r="C261" s="254" t="s">
        <v>184</v>
      </c>
      <c r="D261" s="52" t="s">
        <v>720</v>
      </c>
      <c r="E261" s="54">
        <v>6</v>
      </c>
      <c r="F261" s="53">
        <v>0</v>
      </c>
      <c r="G261" s="55">
        <v>4.0999999999999996</v>
      </c>
      <c r="H261" s="55">
        <v>1.4</v>
      </c>
      <c r="I261" s="55">
        <v>0.9</v>
      </c>
      <c r="J261" s="55">
        <v>0</v>
      </c>
      <c r="K261" s="55">
        <v>0</v>
      </c>
      <c r="L261" s="55">
        <v>0</v>
      </c>
      <c r="M261" s="55">
        <v>0</v>
      </c>
      <c r="N261" s="55">
        <v>0.1</v>
      </c>
      <c r="O261" s="55">
        <v>2.1</v>
      </c>
      <c r="P261" s="55">
        <v>1173.7</v>
      </c>
      <c r="Q261" s="55">
        <v>11.7</v>
      </c>
      <c r="R261" s="55">
        <v>1101.8</v>
      </c>
      <c r="S261" s="55">
        <v>2804.9</v>
      </c>
      <c r="T261" s="254" t="s">
        <v>803</v>
      </c>
      <c r="U261" s="254">
        <v>4720</v>
      </c>
      <c r="V261" s="254">
        <v>1427</v>
      </c>
      <c r="W261" s="254">
        <v>88</v>
      </c>
      <c r="X261" s="254">
        <v>2</v>
      </c>
      <c r="Y261" s="254">
        <v>0</v>
      </c>
    </row>
    <row r="262" spans="1:25" x14ac:dyDescent="0.35">
      <c r="A262" s="52">
        <v>27776</v>
      </c>
      <c r="B262" s="253">
        <v>44560</v>
      </c>
      <c r="C262" s="254" t="s">
        <v>177</v>
      </c>
      <c r="D262" s="52" t="s">
        <v>720</v>
      </c>
      <c r="E262" s="54">
        <v>6</v>
      </c>
      <c r="F262" s="53">
        <v>0</v>
      </c>
      <c r="G262" s="55">
        <v>3.2</v>
      </c>
      <c r="H262" s="55">
        <v>1.4</v>
      </c>
      <c r="I262" s="55">
        <v>0.9</v>
      </c>
      <c r="J262" s="55">
        <v>0</v>
      </c>
      <c r="K262" s="55">
        <v>0</v>
      </c>
      <c r="L262" s="55">
        <v>0</v>
      </c>
      <c r="M262" s="55">
        <v>0</v>
      </c>
      <c r="N262" s="55">
        <v>0</v>
      </c>
      <c r="O262" s="55">
        <v>1.7</v>
      </c>
      <c r="P262" s="55">
        <v>1154.2</v>
      </c>
      <c r="Q262" s="55">
        <v>10.5</v>
      </c>
      <c r="R262" s="55">
        <v>1086.0999999999999</v>
      </c>
      <c r="S262" s="55">
        <v>2757.7</v>
      </c>
      <c r="T262" s="254" t="s">
        <v>804</v>
      </c>
      <c r="U262" s="254">
        <v>16198</v>
      </c>
      <c r="V262" s="254">
        <v>4429</v>
      </c>
      <c r="W262" s="254">
        <v>34</v>
      </c>
      <c r="X262" s="254">
        <v>0</v>
      </c>
      <c r="Y262" s="254">
        <v>0</v>
      </c>
    </row>
    <row r="263" spans="1:25" x14ac:dyDescent="0.35">
      <c r="A263" s="1">
        <v>13960</v>
      </c>
      <c r="B263" s="12">
        <v>44568</v>
      </c>
      <c r="C263" s="1" t="s">
        <v>162</v>
      </c>
      <c r="D263" s="1" t="s">
        <v>723</v>
      </c>
      <c r="E263" s="40">
        <v>15</v>
      </c>
      <c r="F263" s="53">
        <v>0</v>
      </c>
      <c r="G263" s="1">
        <v>5.73939033</v>
      </c>
      <c r="H263" s="1">
        <v>2.0595521809999999</v>
      </c>
      <c r="I263" s="1">
        <v>1.75717437</v>
      </c>
      <c r="J263" s="1">
        <v>1.173546934E-2</v>
      </c>
      <c r="K263" s="1">
        <v>6.7017704730000004E-3</v>
      </c>
      <c r="L263" s="1">
        <v>0.1</v>
      </c>
      <c r="M263" s="1">
        <v>0.6</v>
      </c>
      <c r="N263" s="1">
        <v>1.705151358</v>
      </c>
      <c r="O263" s="1">
        <v>0.1</v>
      </c>
      <c r="P263" s="8">
        <v>1263.817534</v>
      </c>
      <c r="Q263" s="8">
        <v>494.00026750000001</v>
      </c>
      <c r="R263" s="8">
        <v>1203.9402230000001</v>
      </c>
      <c r="S263" s="8">
        <v>2516.8332300000002</v>
      </c>
      <c r="T263" s="13" t="s">
        <v>814</v>
      </c>
      <c r="U263" s="13">
        <v>36790.92</v>
      </c>
      <c r="V263" s="1">
        <v>8660.1</v>
      </c>
      <c r="W263" s="1">
        <v>110.79</v>
      </c>
      <c r="X263" s="1">
        <v>6.15</v>
      </c>
      <c r="Y263" s="1">
        <v>0</v>
      </c>
    </row>
    <row r="264" spans="1:25" x14ac:dyDescent="0.35">
      <c r="A264" s="1">
        <v>13961</v>
      </c>
      <c r="B264" s="12">
        <v>44568</v>
      </c>
      <c r="C264" s="1" t="s">
        <v>163</v>
      </c>
      <c r="D264" s="1" t="s">
        <v>749</v>
      </c>
      <c r="E264" s="40">
        <v>23.3</v>
      </c>
      <c r="F264" s="53">
        <v>0</v>
      </c>
      <c r="G264" s="1">
        <v>16.334027450000001</v>
      </c>
      <c r="H264" s="1">
        <v>1.4738373549999999</v>
      </c>
      <c r="I264" s="1">
        <v>1.4306148670000001</v>
      </c>
      <c r="J264" s="1">
        <v>0</v>
      </c>
      <c r="K264" s="1">
        <v>0</v>
      </c>
      <c r="L264" s="1">
        <v>0</v>
      </c>
      <c r="M264" s="1">
        <v>2.979612005E-2</v>
      </c>
      <c r="N264" s="1">
        <v>0.56055689710000001</v>
      </c>
      <c r="O264" s="1">
        <v>1.5490919780000001</v>
      </c>
      <c r="P264" s="8">
        <v>1009.29362</v>
      </c>
      <c r="Q264" s="8">
        <v>11.37041773</v>
      </c>
      <c r="R264" s="8">
        <v>1035.234201</v>
      </c>
      <c r="S264" s="8">
        <v>3626.1785810000001</v>
      </c>
      <c r="T264" s="1" t="s">
        <v>818</v>
      </c>
      <c r="U264" s="13">
        <v>45689.35</v>
      </c>
      <c r="V264" s="1">
        <v>15574.54</v>
      </c>
      <c r="W264" s="1">
        <v>819.91</v>
      </c>
      <c r="X264" s="1">
        <v>0</v>
      </c>
      <c r="Y264" s="1">
        <v>0</v>
      </c>
    </row>
    <row r="265" spans="1:25" x14ac:dyDescent="0.35">
      <c r="A265" s="1">
        <v>13962</v>
      </c>
      <c r="B265" s="12">
        <v>44568</v>
      </c>
      <c r="C265" s="1" t="s">
        <v>164</v>
      </c>
      <c r="D265" s="1" t="s">
        <v>723</v>
      </c>
      <c r="E265" s="40">
        <v>15</v>
      </c>
      <c r="F265" s="53">
        <v>0</v>
      </c>
      <c r="G265" s="1">
        <v>5.7899260159999999</v>
      </c>
      <c r="H265" s="1">
        <v>1.8915740009999999</v>
      </c>
      <c r="I265" s="1">
        <v>1.8367819860000001</v>
      </c>
      <c r="J265" s="1">
        <v>0</v>
      </c>
      <c r="K265" s="1">
        <v>0</v>
      </c>
      <c r="L265" s="1">
        <v>9.7907102869999995E-3</v>
      </c>
      <c r="M265" s="1">
        <v>0</v>
      </c>
      <c r="N265" s="1">
        <v>1.380138297</v>
      </c>
      <c r="O265" s="1">
        <v>0</v>
      </c>
      <c r="P265" s="8">
        <v>1238.1069649999999</v>
      </c>
      <c r="Q265" s="8">
        <v>488.3894449</v>
      </c>
      <c r="R265" s="8">
        <v>1190.2165010000001</v>
      </c>
      <c r="S265" s="8">
        <v>2496.1048500000002</v>
      </c>
      <c r="T265" s="13" t="s">
        <v>762</v>
      </c>
      <c r="U265" s="13">
        <v>41583.01</v>
      </c>
      <c r="V265" s="1">
        <v>11458.3</v>
      </c>
      <c r="W265" s="1">
        <v>209.27</v>
      </c>
      <c r="X265" s="1">
        <v>1.54</v>
      </c>
      <c r="Y265" s="1">
        <v>0</v>
      </c>
    </row>
    <row r="266" spans="1:25" x14ac:dyDescent="0.35">
      <c r="A266" s="52">
        <v>607</v>
      </c>
      <c r="B266" s="253">
        <v>44569</v>
      </c>
      <c r="C266" s="254" t="s">
        <v>178</v>
      </c>
      <c r="D266" s="52" t="s">
        <v>720</v>
      </c>
      <c r="E266" s="54">
        <v>5.9</v>
      </c>
      <c r="F266" s="53">
        <v>0</v>
      </c>
      <c r="G266" s="55">
        <v>4.8</v>
      </c>
      <c r="H266" s="55">
        <v>1.6</v>
      </c>
      <c r="I266" s="55">
        <v>0.9</v>
      </c>
      <c r="J266" s="55">
        <v>0</v>
      </c>
      <c r="K266" s="55">
        <v>0</v>
      </c>
      <c r="L266" s="55">
        <v>0</v>
      </c>
      <c r="M266" s="55">
        <v>0</v>
      </c>
      <c r="N266" s="55">
        <v>0</v>
      </c>
      <c r="O266" s="55">
        <v>2.2999999999999998</v>
      </c>
      <c r="P266" s="55">
        <v>1294.5999999999999</v>
      </c>
      <c r="Q266" s="55">
        <v>11.7</v>
      </c>
      <c r="R266" s="55">
        <v>1193</v>
      </c>
      <c r="S266" s="55">
        <v>3048.3</v>
      </c>
      <c r="T266" s="254" t="s">
        <v>761</v>
      </c>
      <c r="U266" s="254">
        <v>5198</v>
      </c>
      <c r="V266" s="254">
        <v>1674</v>
      </c>
      <c r="W266" s="254">
        <v>128</v>
      </c>
      <c r="X266" s="254">
        <v>0</v>
      </c>
      <c r="Y266" s="254">
        <v>0</v>
      </c>
    </row>
    <row r="267" spans="1:25" x14ac:dyDescent="0.35">
      <c r="A267" s="52">
        <v>608</v>
      </c>
      <c r="B267" s="253">
        <v>44569</v>
      </c>
      <c r="C267" s="254" t="s">
        <v>179</v>
      </c>
      <c r="D267" s="52" t="s">
        <v>709</v>
      </c>
      <c r="E267" s="54">
        <v>15.1</v>
      </c>
      <c r="F267" s="53">
        <v>0</v>
      </c>
      <c r="G267" s="55">
        <v>9.4</v>
      </c>
      <c r="H267" s="55">
        <v>1.3</v>
      </c>
      <c r="I267" s="55">
        <v>1.4</v>
      </c>
      <c r="J267" s="55">
        <v>0</v>
      </c>
      <c r="K267" s="55">
        <v>0</v>
      </c>
      <c r="L267" s="55">
        <v>0</v>
      </c>
      <c r="M267" s="55">
        <v>0</v>
      </c>
      <c r="N267" s="55">
        <v>1.3</v>
      </c>
      <c r="O267" s="55">
        <v>0</v>
      </c>
      <c r="P267" s="55">
        <v>1432.7</v>
      </c>
      <c r="Q267" s="55">
        <v>468.8</v>
      </c>
      <c r="R267" s="55">
        <v>1250.3</v>
      </c>
      <c r="S267" s="55">
        <v>2364.3000000000002</v>
      </c>
      <c r="T267" s="254" t="s">
        <v>748</v>
      </c>
      <c r="U267" s="254">
        <v>84121</v>
      </c>
      <c r="V267" s="254">
        <v>28848</v>
      </c>
      <c r="W267" s="254">
        <v>222</v>
      </c>
      <c r="X267" s="254">
        <v>2</v>
      </c>
      <c r="Y267" s="254">
        <v>0</v>
      </c>
    </row>
    <row r="268" spans="1:25" x14ac:dyDescent="0.35">
      <c r="A268" s="52">
        <v>609</v>
      </c>
      <c r="B268" s="253">
        <v>44569</v>
      </c>
      <c r="C268" s="254" t="s">
        <v>180</v>
      </c>
      <c r="D268" s="52" t="s">
        <v>720</v>
      </c>
      <c r="E268" s="54">
        <v>5.9</v>
      </c>
      <c r="F268" s="53">
        <v>0</v>
      </c>
      <c r="G268" s="55">
        <v>5</v>
      </c>
      <c r="H268" s="55">
        <v>1.6</v>
      </c>
      <c r="I268" s="55">
        <v>0.9</v>
      </c>
      <c r="J268" s="55">
        <v>0</v>
      </c>
      <c r="K268" s="55">
        <v>0</v>
      </c>
      <c r="L268" s="55">
        <v>0</v>
      </c>
      <c r="M268" s="55">
        <v>0</v>
      </c>
      <c r="N268" s="55">
        <v>0</v>
      </c>
      <c r="O268" s="55">
        <v>2.4</v>
      </c>
      <c r="P268" s="55">
        <v>1301.9000000000001</v>
      </c>
      <c r="Q268" s="55">
        <v>12.1</v>
      </c>
      <c r="R268" s="55">
        <v>1205.9000000000001</v>
      </c>
      <c r="S268" s="55">
        <v>3082.4</v>
      </c>
      <c r="T268" s="254" t="s">
        <v>753</v>
      </c>
      <c r="U268" s="254">
        <v>6938</v>
      </c>
      <c r="V268" s="254">
        <v>2610</v>
      </c>
      <c r="W268" s="254">
        <v>117</v>
      </c>
      <c r="X268" s="254">
        <v>0</v>
      </c>
      <c r="Y268" s="254">
        <v>0</v>
      </c>
    </row>
    <row r="269" spans="1:25" x14ac:dyDescent="0.35">
      <c r="A269" s="52">
        <v>610</v>
      </c>
      <c r="B269" s="253">
        <v>44570</v>
      </c>
      <c r="C269" s="254" t="s">
        <v>176</v>
      </c>
      <c r="D269" s="52" t="s">
        <v>709</v>
      </c>
      <c r="E269" s="54">
        <v>15</v>
      </c>
      <c r="F269" s="53">
        <v>0</v>
      </c>
      <c r="G269" s="55">
        <v>9.1999999999999993</v>
      </c>
      <c r="H269" s="55">
        <v>1.3</v>
      </c>
      <c r="I269" s="55">
        <v>1.3</v>
      </c>
      <c r="J269" s="55">
        <v>0.2</v>
      </c>
      <c r="K269" s="55">
        <v>0</v>
      </c>
      <c r="L269" s="55">
        <v>0</v>
      </c>
      <c r="M269" s="55">
        <v>0</v>
      </c>
      <c r="N269" s="55">
        <v>1.8</v>
      </c>
      <c r="O269" s="55">
        <v>0.4</v>
      </c>
      <c r="P269" s="55">
        <v>1430.4</v>
      </c>
      <c r="Q269" s="55">
        <v>474.4</v>
      </c>
      <c r="R269" s="55">
        <v>1244.5</v>
      </c>
      <c r="S269" s="55">
        <v>2292.1</v>
      </c>
      <c r="T269" s="254" t="s">
        <v>748</v>
      </c>
      <c r="U269" s="254">
        <v>94794</v>
      </c>
      <c r="V269" s="254">
        <v>33354</v>
      </c>
      <c r="W269" s="254">
        <v>271</v>
      </c>
      <c r="X269" s="254">
        <v>0</v>
      </c>
      <c r="Y269" s="254">
        <v>0</v>
      </c>
    </row>
    <row r="270" spans="1:25" x14ac:dyDescent="0.35">
      <c r="A270" s="52">
        <v>611</v>
      </c>
      <c r="B270" s="253">
        <v>44570</v>
      </c>
      <c r="C270" s="254" t="s">
        <v>177</v>
      </c>
      <c r="D270" s="52" t="s">
        <v>720</v>
      </c>
      <c r="E270" s="54">
        <v>6</v>
      </c>
      <c r="F270" s="53">
        <v>0</v>
      </c>
      <c r="G270" s="55">
        <v>4.5</v>
      </c>
      <c r="H270" s="55">
        <v>1.6</v>
      </c>
      <c r="I270" s="55">
        <v>1</v>
      </c>
      <c r="J270" s="55">
        <v>0</v>
      </c>
      <c r="K270" s="55">
        <v>0</v>
      </c>
      <c r="L270" s="55">
        <v>0</v>
      </c>
      <c r="M270" s="55">
        <v>0</v>
      </c>
      <c r="N270" s="55">
        <v>0.1</v>
      </c>
      <c r="O270" s="55">
        <v>2.1</v>
      </c>
      <c r="P270" s="55">
        <v>1289.3</v>
      </c>
      <c r="Q270" s="55">
        <v>11.8</v>
      </c>
      <c r="R270" s="55">
        <v>1186.8</v>
      </c>
      <c r="S270" s="55">
        <v>2980.4</v>
      </c>
      <c r="T270" s="254" t="s">
        <v>808</v>
      </c>
      <c r="U270" s="254">
        <v>6698</v>
      </c>
      <c r="V270" s="254">
        <v>2030</v>
      </c>
      <c r="W270" s="254">
        <v>854</v>
      </c>
      <c r="X270" s="254">
        <v>3</v>
      </c>
      <c r="Y270" s="254">
        <v>0</v>
      </c>
    </row>
    <row r="271" spans="1:25" x14ac:dyDescent="0.35">
      <c r="A271" s="52">
        <v>1358</v>
      </c>
      <c r="B271" s="253">
        <v>44578</v>
      </c>
      <c r="C271" s="254" t="s">
        <v>179</v>
      </c>
      <c r="D271" s="52" t="s">
        <v>709</v>
      </c>
      <c r="E271" s="54">
        <v>15.3</v>
      </c>
      <c r="F271" s="53">
        <v>0</v>
      </c>
      <c r="G271" s="55">
        <v>9.1</v>
      </c>
      <c r="H271" s="55">
        <v>1.5</v>
      </c>
      <c r="I271" s="55">
        <v>1.5</v>
      </c>
      <c r="J271" s="55">
        <v>0</v>
      </c>
      <c r="K271" s="55">
        <v>0.1</v>
      </c>
      <c r="L271" s="55">
        <v>0</v>
      </c>
      <c r="M271" s="55">
        <v>0</v>
      </c>
      <c r="N271" s="55">
        <v>1.3</v>
      </c>
      <c r="O271" s="55">
        <v>0</v>
      </c>
      <c r="P271" s="55">
        <v>1493.2</v>
      </c>
      <c r="Q271" s="55">
        <v>485.7</v>
      </c>
      <c r="R271" s="55">
        <v>1291.4000000000001</v>
      </c>
      <c r="S271" s="55">
        <v>2522.1999999999998</v>
      </c>
      <c r="T271" s="254" t="s">
        <v>748</v>
      </c>
      <c r="U271" s="254">
        <v>91080</v>
      </c>
      <c r="V271" s="254">
        <v>28960</v>
      </c>
      <c r="W271" s="254">
        <v>177</v>
      </c>
      <c r="X271" s="254">
        <v>0</v>
      </c>
      <c r="Y271" s="254">
        <v>0</v>
      </c>
    </row>
    <row r="272" spans="1:25" x14ac:dyDescent="0.35">
      <c r="A272" s="52">
        <v>1359</v>
      </c>
      <c r="B272" s="253">
        <v>44578</v>
      </c>
      <c r="C272" s="254" t="s">
        <v>180</v>
      </c>
      <c r="D272" s="52" t="s">
        <v>757</v>
      </c>
      <c r="E272" s="54">
        <v>25.7</v>
      </c>
      <c r="F272" s="53">
        <v>0</v>
      </c>
      <c r="G272" s="55">
        <v>8.9</v>
      </c>
      <c r="H272" s="55">
        <v>1.8</v>
      </c>
      <c r="I272" s="55">
        <v>1</v>
      </c>
      <c r="J272" s="55">
        <v>0</v>
      </c>
      <c r="K272" s="55">
        <v>0</v>
      </c>
      <c r="L272" s="55">
        <v>0.1</v>
      </c>
      <c r="M272" s="55">
        <v>0.1</v>
      </c>
      <c r="N272" s="55">
        <v>0</v>
      </c>
      <c r="O272" s="55">
        <v>0.5</v>
      </c>
      <c r="P272" s="55">
        <v>1400.2</v>
      </c>
      <c r="Q272" s="55">
        <v>16.8</v>
      </c>
      <c r="R272" s="55">
        <v>1289</v>
      </c>
      <c r="S272" s="55">
        <v>3458.7</v>
      </c>
      <c r="T272" s="254" t="s">
        <v>761</v>
      </c>
      <c r="U272" s="254">
        <v>6132</v>
      </c>
      <c r="V272" s="254">
        <v>2046</v>
      </c>
      <c r="W272" s="254">
        <v>135</v>
      </c>
      <c r="X272" s="254">
        <v>0</v>
      </c>
      <c r="Y272" s="254">
        <v>0</v>
      </c>
    </row>
    <row r="273" spans="1:25" x14ac:dyDescent="0.35">
      <c r="A273" s="52">
        <v>1360</v>
      </c>
      <c r="B273" s="253">
        <v>44579</v>
      </c>
      <c r="C273" s="254" t="s">
        <v>185</v>
      </c>
      <c r="D273" s="52" t="s">
        <v>709</v>
      </c>
      <c r="E273" s="54">
        <v>15.2</v>
      </c>
      <c r="F273" s="53">
        <v>0</v>
      </c>
      <c r="G273" s="55">
        <v>9.1999999999999993</v>
      </c>
      <c r="H273" s="55">
        <v>1.5</v>
      </c>
      <c r="I273" s="55">
        <v>1.5</v>
      </c>
      <c r="J273" s="55">
        <v>0</v>
      </c>
      <c r="K273" s="55">
        <v>0</v>
      </c>
      <c r="L273" s="55">
        <v>0</v>
      </c>
      <c r="M273" s="55">
        <v>0</v>
      </c>
      <c r="N273" s="55">
        <v>1.3</v>
      </c>
      <c r="O273" s="55">
        <v>0</v>
      </c>
      <c r="P273" s="55">
        <v>1500.7</v>
      </c>
      <c r="Q273" s="55">
        <v>489.9</v>
      </c>
      <c r="R273" s="55">
        <v>1301.8</v>
      </c>
      <c r="S273" s="55">
        <v>2553</v>
      </c>
      <c r="T273" s="254" t="s">
        <v>794</v>
      </c>
      <c r="U273" s="254">
        <v>26640</v>
      </c>
      <c r="V273" s="254">
        <v>6546</v>
      </c>
      <c r="W273" s="254">
        <v>223</v>
      </c>
      <c r="X273" s="254">
        <v>3</v>
      </c>
      <c r="Y273" s="254">
        <v>0</v>
      </c>
    </row>
    <row r="274" spans="1:25" x14ac:dyDescent="0.35">
      <c r="A274" s="52">
        <v>1361</v>
      </c>
      <c r="B274" s="253">
        <v>44579</v>
      </c>
      <c r="C274" s="254" t="s">
        <v>215</v>
      </c>
      <c r="D274" s="52" t="s">
        <v>757</v>
      </c>
      <c r="E274" s="54">
        <v>25.6</v>
      </c>
      <c r="F274" s="53">
        <v>0</v>
      </c>
      <c r="G274" s="55">
        <v>8.5</v>
      </c>
      <c r="H274" s="55">
        <v>1.7</v>
      </c>
      <c r="I274" s="55">
        <v>1.1000000000000001</v>
      </c>
      <c r="J274" s="55">
        <v>0</v>
      </c>
      <c r="K274" s="55">
        <v>0</v>
      </c>
      <c r="L274" s="55">
        <v>0</v>
      </c>
      <c r="M274" s="55">
        <v>0.1</v>
      </c>
      <c r="N274" s="55">
        <v>0</v>
      </c>
      <c r="O274" s="55">
        <v>0</v>
      </c>
      <c r="P274" s="55">
        <v>1348.1</v>
      </c>
      <c r="Q274" s="55">
        <v>13</v>
      </c>
      <c r="R274" s="55">
        <v>1242.9000000000001</v>
      </c>
      <c r="S274" s="55">
        <v>3322</v>
      </c>
      <c r="T274" s="254" t="s">
        <v>725</v>
      </c>
      <c r="U274" s="254">
        <v>3982</v>
      </c>
      <c r="V274" s="254">
        <v>1503</v>
      </c>
      <c r="W274" s="254">
        <v>66</v>
      </c>
      <c r="X274" s="254">
        <v>3</v>
      </c>
      <c r="Y274" s="254">
        <v>0</v>
      </c>
    </row>
    <row r="275" spans="1:25" x14ac:dyDescent="0.35">
      <c r="A275" s="1">
        <v>13963</v>
      </c>
      <c r="B275" s="12">
        <v>44599</v>
      </c>
      <c r="C275" s="1" t="s">
        <v>171</v>
      </c>
      <c r="D275" s="1" t="s">
        <v>723</v>
      </c>
      <c r="E275" s="40">
        <v>15</v>
      </c>
      <c r="F275" s="53">
        <v>0</v>
      </c>
      <c r="G275" s="1">
        <v>6.5521878759999996</v>
      </c>
      <c r="H275" s="1">
        <v>1.831329118</v>
      </c>
      <c r="I275" s="1">
        <v>1.7002474279999999</v>
      </c>
      <c r="J275" s="1">
        <v>0</v>
      </c>
      <c r="K275" s="1">
        <v>0</v>
      </c>
      <c r="L275" s="1">
        <v>1.2297573629999999E-2</v>
      </c>
      <c r="M275" s="1">
        <v>0</v>
      </c>
      <c r="N275" s="1">
        <v>1.489528781</v>
      </c>
      <c r="O275" s="1">
        <v>0.1</v>
      </c>
      <c r="P275" s="8">
        <v>1250.7242160000001</v>
      </c>
      <c r="Q275" s="8">
        <v>488.9802042</v>
      </c>
      <c r="R275" s="8">
        <v>1191.615955</v>
      </c>
      <c r="S275" s="8">
        <v>2459.4012229999998</v>
      </c>
      <c r="T275" s="13" t="s">
        <v>762</v>
      </c>
      <c r="U275" s="13">
        <v>46603.82</v>
      </c>
      <c r="V275" s="1">
        <v>12597.85</v>
      </c>
      <c r="W275" s="1">
        <v>295.82</v>
      </c>
      <c r="X275" s="1">
        <v>3.08</v>
      </c>
      <c r="Y275" s="1">
        <v>0</v>
      </c>
    </row>
    <row r="276" spans="1:25" x14ac:dyDescent="0.35">
      <c r="A276" s="1">
        <v>13964</v>
      </c>
      <c r="B276" s="12">
        <v>44599</v>
      </c>
      <c r="C276" s="1" t="s">
        <v>237</v>
      </c>
      <c r="D276" s="1" t="s">
        <v>749</v>
      </c>
      <c r="E276" s="40">
        <v>23.3</v>
      </c>
      <c r="F276" s="53">
        <v>0</v>
      </c>
      <c r="G276" s="1">
        <v>16.41333886</v>
      </c>
      <c r="H276" s="1">
        <v>1.5029554780000001</v>
      </c>
      <c r="I276" s="1">
        <v>1.47937352</v>
      </c>
      <c r="J276" s="1">
        <v>1.5716553309999999E-2</v>
      </c>
      <c r="K276" s="1">
        <v>0.27600992190000001</v>
      </c>
      <c r="L276" s="1">
        <v>7.2182683950000007E-2</v>
      </c>
      <c r="M276" s="1" t="s">
        <v>819</v>
      </c>
      <c r="N276" s="1">
        <v>0.35251670750000003</v>
      </c>
      <c r="O276" s="1">
        <v>1.004859379</v>
      </c>
      <c r="P276" s="8">
        <v>1022.837528</v>
      </c>
      <c r="Q276" s="8">
        <v>12.50525945</v>
      </c>
      <c r="R276" s="8">
        <v>1042.4703280000001</v>
      </c>
      <c r="S276" s="8">
        <v>3563.865937</v>
      </c>
      <c r="T276" s="1" t="s">
        <v>820</v>
      </c>
      <c r="U276" s="13">
        <v>18541.86</v>
      </c>
      <c r="V276" s="1">
        <v>5336.46</v>
      </c>
      <c r="W276" s="1">
        <v>293.67</v>
      </c>
      <c r="X276" s="1">
        <v>3.08</v>
      </c>
      <c r="Y276" s="1">
        <v>0</v>
      </c>
    </row>
    <row r="277" spans="1:25" x14ac:dyDescent="0.35">
      <c r="A277" s="1">
        <v>13965</v>
      </c>
      <c r="B277" s="12">
        <v>44599</v>
      </c>
      <c r="C277" s="1" t="s">
        <v>191</v>
      </c>
      <c r="D277" s="1" t="s">
        <v>723</v>
      </c>
      <c r="E277" s="40">
        <v>15</v>
      </c>
      <c r="F277" s="53">
        <v>0</v>
      </c>
      <c r="G277" s="1">
        <v>5.6</v>
      </c>
      <c r="H277" s="1">
        <v>1.844236507</v>
      </c>
      <c r="I277" s="1">
        <v>1.5920108079999999</v>
      </c>
      <c r="J277" s="1">
        <v>0</v>
      </c>
      <c r="K277" s="1">
        <v>0</v>
      </c>
      <c r="L277" s="1">
        <v>2.5604478890000001E-2</v>
      </c>
      <c r="M277" s="1">
        <v>0</v>
      </c>
      <c r="N277" s="1">
        <v>1.7730486139999999</v>
      </c>
      <c r="O277" s="1">
        <v>0.3</v>
      </c>
      <c r="P277" s="8">
        <v>1238.8046039999999</v>
      </c>
      <c r="Q277" s="8">
        <v>491.06820010000001</v>
      </c>
      <c r="R277" s="8">
        <v>1195.7740429999999</v>
      </c>
      <c r="S277" s="8">
        <v>2488.5989650000001</v>
      </c>
      <c r="T277" s="13" t="s">
        <v>762</v>
      </c>
      <c r="U277" s="13">
        <v>48134.19</v>
      </c>
      <c r="V277" s="1">
        <v>13418.91</v>
      </c>
      <c r="W277" s="1">
        <v>232.35</v>
      </c>
      <c r="X277" s="1">
        <v>0</v>
      </c>
      <c r="Y277" s="1">
        <v>0</v>
      </c>
    </row>
    <row r="278" spans="1:25" x14ac:dyDescent="0.35">
      <c r="A278" s="52">
        <v>4138</v>
      </c>
      <c r="B278" s="253">
        <v>44618</v>
      </c>
      <c r="C278" s="254" t="s">
        <v>173</v>
      </c>
      <c r="D278" s="52" t="s">
        <v>709</v>
      </c>
      <c r="E278" s="54">
        <v>15</v>
      </c>
      <c r="F278" s="53">
        <v>0</v>
      </c>
      <c r="G278" s="55">
        <v>11.4</v>
      </c>
      <c r="H278" s="55">
        <v>1.6</v>
      </c>
      <c r="I278" s="55">
        <v>1.6</v>
      </c>
      <c r="J278" s="55">
        <v>0</v>
      </c>
      <c r="K278" s="55">
        <v>0</v>
      </c>
      <c r="L278" s="55">
        <v>0</v>
      </c>
      <c r="M278" s="55">
        <v>0</v>
      </c>
      <c r="N278" s="55">
        <v>1.9</v>
      </c>
      <c r="O278" s="55">
        <v>0.4</v>
      </c>
      <c r="P278" s="55">
        <v>1389.3</v>
      </c>
      <c r="Q278" s="55">
        <v>496.5</v>
      </c>
      <c r="R278" s="55">
        <v>1262</v>
      </c>
      <c r="S278" s="55">
        <v>2392.1</v>
      </c>
      <c r="T278" s="254" t="s">
        <v>710</v>
      </c>
      <c r="U278" s="254">
        <v>76470</v>
      </c>
      <c r="V278" s="254">
        <v>31615</v>
      </c>
      <c r="W278" s="254">
        <v>466</v>
      </c>
      <c r="X278" s="254">
        <v>0</v>
      </c>
      <c r="Y278" s="254">
        <v>0</v>
      </c>
    </row>
    <row r="279" spans="1:25" x14ac:dyDescent="0.35">
      <c r="A279" s="52">
        <v>4139</v>
      </c>
      <c r="B279" s="253">
        <v>44618</v>
      </c>
      <c r="C279" s="254" t="s">
        <v>174</v>
      </c>
      <c r="D279" s="52" t="s">
        <v>709</v>
      </c>
      <c r="E279" s="54">
        <v>15.1</v>
      </c>
      <c r="F279" s="53">
        <v>0</v>
      </c>
      <c r="G279" s="55">
        <v>8.1</v>
      </c>
      <c r="H279" s="55">
        <v>1.5</v>
      </c>
      <c r="I279" s="55">
        <v>1.6</v>
      </c>
      <c r="J279" s="55">
        <v>0</v>
      </c>
      <c r="K279" s="55">
        <v>0</v>
      </c>
      <c r="L279" s="55">
        <v>0</v>
      </c>
      <c r="M279" s="55">
        <v>0</v>
      </c>
      <c r="N279" s="55">
        <v>2.1</v>
      </c>
      <c r="O279" s="55">
        <v>0.1</v>
      </c>
      <c r="P279" s="55">
        <v>1396.5</v>
      </c>
      <c r="Q279" s="55">
        <v>497.9</v>
      </c>
      <c r="R279" s="55">
        <v>1275.5999999999999</v>
      </c>
      <c r="S279" s="55">
        <v>2402.1999999999998</v>
      </c>
      <c r="T279" s="254" t="s">
        <v>713</v>
      </c>
      <c r="U279" s="254">
        <v>77328</v>
      </c>
      <c r="V279" s="254">
        <v>30742</v>
      </c>
      <c r="W279" s="254">
        <v>232</v>
      </c>
      <c r="X279" s="254">
        <v>0</v>
      </c>
      <c r="Y279" s="254">
        <v>0</v>
      </c>
    </row>
    <row r="280" spans="1:25" x14ac:dyDescent="0.35">
      <c r="A280" s="52">
        <v>4140</v>
      </c>
      <c r="B280" s="253">
        <v>44618</v>
      </c>
      <c r="C280" s="254" t="s">
        <v>175</v>
      </c>
      <c r="D280" s="52" t="s">
        <v>709</v>
      </c>
      <c r="E280" s="54">
        <v>15</v>
      </c>
      <c r="F280" s="53">
        <v>0</v>
      </c>
      <c r="G280" s="55">
        <v>0</v>
      </c>
      <c r="H280" s="55">
        <v>0</v>
      </c>
      <c r="I280" s="55">
        <v>0</v>
      </c>
      <c r="J280" s="55">
        <v>0</v>
      </c>
      <c r="K280" s="55">
        <v>0</v>
      </c>
      <c r="L280" s="55">
        <v>0</v>
      </c>
      <c r="M280" s="55">
        <v>0.7</v>
      </c>
      <c r="N280" s="55">
        <v>5.7</v>
      </c>
      <c r="O280" s="55">
        <v>0</v>
      </c>
      <c r="P280" s="55">
        <v>0</v>
      </c>
      <c r="Q280" s="55">
        <v>0</v>
      </c>
      <c r="R280" s="55">
        <v>0</v>
      </c>
      <c r="S280" s="55">
        <v>0</v>
      </c>
      <c r="T280" s="254" t="s">
        <v>710</v>
      </c>
      <c r="U280" s="254">
        <v>78442</v>
      </c>
      <c r="V280" s="254">
        <v>30264</v>
      </c>
      <c r="W280" s="254">
        <v>394</v>
      </c>
      <c r="X280" s="254">
        <v>0</v>
      </c>
      <c r="Y280" s="254">
        <v>0</v>
      </c>
    </row>
    <row r="281" spans="1:25" x14ac:dyDescent="0.35">
      <c r="A281" s="52">
        <v>4141</v>
      </c>
      <c r="B281" s="253">
        <v>44619</v>
      </c>
      <c r="C281" s="254" t="s">
        <v>185</v>
      </c>
      <c r="D281" s="52" t="s">
        <v>709</v>
      </c>
      <c r="E281" s="54">
        <v>15.2</v>
      </c>
      <c r="F281" s="53">
        <v>0</v>
      </c>
      <c r="G281" s="55">
        <v>0</v>
      </c>
      <c r="H281" s="55">
        <v>0</v>
      </c>
      <c r="I281" s="55">
        <v>0</v>
      </c>
      <c r="J281" s="55">
        <v>0</v>
      </c>
      <c r="K281" s="55">
        <v>0</v>
      </c>
      <c r="L281" s="55">
        <v>0</v>
      </c>
      <c r="M281" s="55">
        <v>0.6</v>
      </c>
      <c r="N281" s="55">
        <v>5.5</v>
      </c>
      <c r="O281" s="55">
        <v>0</v>
      </c>
      <c r="P281" s="55">
        <v>0</v>
      </c>
      <c r="Q281" s="55">
        <v>0</v>
      </c>
      <c r="R281" s="55">
        <v>0</v>
      </c>
      <c r="S281" s="55">
        <v>0</v>
      </c>
      <c r="T281" s="254" t="s">
        <v>716</v>
      </c>
      <c r="U281" s="254">
        <v>86988</v>
      </c>
      <c r="V281" s="254">
        <v>32257</v>
      </c>
      <c r="W281" s="254">
        <v>120</v>
      </c>
      <c r="X281" s="254">
        <v>0</v>
      </c>
      <c r="Y281" s="254">
        <v>0</v>
      </c>
    </row>
    <row r="282" spans="1:25" x14ac:dyDescent="0.35">
      <c r="A282" s="52">
        <v>4142</v>
      </c>
      <c r="B282" s="253">
        <v>44619</v>
      </c>
      <c r="C282" s="254" t="s">
        <v>176</v>
      </c>
      <c r="D282" s="52" t="s">
        <v>709</v>
      </c>
      <c r="E282" s="54">
        <v>15</v>
      </c>
      <c r="F282" s="53">
        <v>0</v>
      </c>
      <c r="G282" s="55">
        <v>12.1</v>
      </c>
      <c r="H282" s="55">
        <v>1.5</v>
      </c>
      <c r="I282" s="55">
        <v>1.5</v>
      </c>
      <c r="J282" s="55">
        <v>0</v>
      </c>
      <c r="K282" s="55">
        <v>0.2</v>
      </c>
      <c r="L282" s="55">
        <v>0.1</v>
      </c>
      <c r="M282" s="55">
        <v>0</v>
      </c>
      <c r="N282" s="55">
        <v>1.6</v>
      </c>
      <c r="O282" s="55">
        <v>0.1</v>
      </c>
      <c r="P282" s="55">
        <v>1429</v>
      </c>
      <c r="Q282" s="55">
        <v>494.3</v>
      </c>
      <c r="R282" s="55">
        <v>1284.4000000000001</v>
      </c>
      <c r="S282" s="55">
        <v>2445</v>
      </c>
      <c r="T282" s="254" t="s">
        <v>718</v>
      </c>
      <c r="U282" s="254">
        <v>78655</v>
      </c>
      <c r="V282" s="254">
        <v>23917</v>
      </c>
      <c r="W282" s="254">
        <v>157</v>
      </c>
      <c r="X282" s="254">
        <v>0</v>
      </c>
      <c r="Y282" s="254">
        <v>0</v>
      </c>
    </row>
    <row r="283" spans="1:25" x14ac:dyDescent="0.35">
      <c r="A283" s="1">
        <v>14129</v>
      </c>
      <c r="B283" s="12">
        <v>44627</v>
      </c>
      <c r="C283" s="1" t="s">
        <v>181</v>
      </c>
      <c r="D283" s="1" t="s">
        <v>723</v>
      </c>
      <c r="E283" s="40">
        <v>15</v>
      </c>
      <c r="F283" s="53">
        <v>0</v>
      </c>
      <c r="G283" s="258">
        <v>4.9713576049999997</v>
      </c>
      <c r="H283" s="258">
        <v>1.90180292</v>
      </c>
      <c r="I283" s="258">
        <v>1.6782755810000001</v>
      </c>
      <c r="J283" s="258">
        <v>0.1128267423</v>
      </c>
      <c r="K283" s="258">
        <v>0.34907822379999998</v>
      </c>
      <c r="L283" s="258">
        <v>1.7610263059999999E-2</v>
      </c>
      <c r="M283" s="258">
        <v>0</v>
      </c>
      <c r="N283" s="258">
        <v>1.333460935</v>
      </c>
      <c r="O283" s="258">
        <v>0.62651096419999996</v>
      </c>
      <c r="P283" s="8">
        <v>1203.1046249999999</v>
      </c>
      <c r="Q283" s="8">
        <v>492.63405080000001</v>
      </c>
      <c r="R283" s="258">
        <v>1187.89041</v>
      </c>
      <c r="S283" s="258">
        <v>2430.4597979999999</v>
      </c>
      <c r="T283" s="13" t="s">
        <v>814</v>
      </c>
      <c r="U283" s="13">
        <v>39138.06</v>
      </c>
      <c r="V283" s="1">
        <v>9940.74</v>
      </c>
      <c r="W283" s="1">
        <v>109.25</v>
      </c>
      <c r="X283" s="1">
        <v>4.62</v>
      </c>
      <c r="Y283" s="1">
        <v>0</v>
      </c>
    </row>
    <row r="284" spans="1:25" x14ac:dyDescent="0.35">
      <c r="A284" s="1">
        <v>14130</v>
      </c>
      <c r="B284" s="12">
        <v>44627</v>
      </c>
      <c r="C284" s="1" t="s">
        <v>182</v>
      </c>
      <c r="D284" s="1" t="s">
        <v>746</v>
      </c>
      <c r="E284" s="40">
        <v>6</v>
      </c>
      <c r="F284" s="53">
        <v>0</v>
      </c>
      <c r="G284" s="258">
        <v>14.872477659999999</v>
      </c>
      <c r="H284" s="258">
        <v>1.232409342</v>
      </c>
      <c r="I284" s="258">
        <v>1.177520468</v>
      </c>
      <c r="J284" s="258">
        <v>3.3342411930000003E-2</v>
      </c>
      <c r="K284" s="258">
        <v>0.12514061039999999</v>
      </c>
      <c r="L284" s="258">
        <v>0</v>
      </c>
      <c r="M284" s="258">
        <v>0.14092583489999999</v>
      </c>
      <c r="N284" s="258">
        <v>0.1807097097</v>
      </c>
      <c r="O284" s="258">
        <v>1.7797369359999999</v>
      </c>
      <c r="P284" s="8">
        <v>964.46895440000003</v>
      </c>
      <c r="Q284" s="8">
        <v>10.93439674</v>
      </c>
      <c r="R284" s="8">
        <v>1018.7712780000001</v>
      </c>
      <c r="S284" s="8">
        <v>3475.4124390000002</v>
      </c>
      <c r="T284" s="1" t="s">
        <v>797</v>
      </c>
      <c r="U284" s="13">
        <v>112432.45</v>
      </c>
      <c r="V284" s="1">
        <v>43573.77</v>
      </c>
      <c r="W284" s="1">
        <v>401.61</v>
      </c>
      <c r="X284" s="1">
        <v>0</v>
      </c>
      <c r="Y284" s="1">
        <v>0</v>
      </c>
    </row>
    <row r="285" spans="1:25" x14ac:dyDescent="0.35">
      <c r="A285" s="1">
        <v>14131</v>
      </c>
      <c r="B285" s="12">
        <v>44627</v>
      </c>
      <c r="C285" s="1" t="s">
        <v>183</v>
      </c>
      <c r="D285" s="1" t="s">
        <v>723</v>
      </c>
      <c r="E285" s="40">
        <v>15</v>
      </c>
      <c r="F285" s="53">
        <v>0</v>
      </c>
      <c r="G285" s="258">
        <v>5.7308216200000004</v>
      </c>
      <c r="H285" s="258">
        <v>1.9135603560000001</v>
      </c>
      <c r="I285" s="258">
        <v>1.716442711</v>
      </c>
      <c r="J285" s="258">
        <v>6.3545414159999994E-2</v>
      </c>
      <c r="K285" s="258">
        <v>0.1130470118</v>
      </c>
      <c r="L285" s="258">
        <v>0</v>
      </c>
      <c r="M285" s="258">
        <v>0</v>
      </c>
      <c r="N285" s="258">
        <v>1.4518326020000001</v>
      </c>
      <c r="O285" s="258">
        <v>0.35889096679999999</v>
      </c>
      <c r="P285" s="8">
        <v>1198.4251650000001</v>
      </c>
      <c r="Q285" s="8">
        <v>492.58271200000001</v>
      </c>
      <c r="R285" s="8">
        <v>1190.4511869999999</v>
      </c>
      <c r="S285" s="8">
        <v>2427.211069</v>
      </c>
      <c r="T285" s="13" t="s">
        <v>812</v>
      </c>
      <c r="U285" s="13">
        <v>39967.39</v>
      </c>
      <c r="V285" s="1">
        <v>10708.25</v>
      </c>
      <c r="W285" s="1">
        <v>212.34</v>
      </c>
      <c r="X285" s="1">
        <v>0</v>
      </c>
      <c r="Y285" s="1">
        <v>0</v>
      </c>
    </row>
    <row r="286" spans="1:25" x14ac:dyDescent="0.35">
      <c r="A286" s="52">
        <v>5096</v>
      </c>
      <c r="B286" s="253">
        <v>44631</v>
      </c>
      <c r="C286" s="254" t="s">
        <v>185</v>
      </c>
      <c r="D286" s="52" t="s">
        <v>709</v>
      </c>
      <c r="E286" s="54">
        <v>14.9</v>
      </c>
      <c r="F286" s="53">
        <v>0</v>
      </c>
      <c r="G286" s="55">
        <v>9.1999999999999993</v>
      </c>
      <c r="H286" s="55">
        <v>1.6</v>
      </c>
      <c r="I286" s="55">
        <v>1.6</v>
      </c>
      <c r="J286" s="55">
        <v>0.4</v>
      </c>
      <c r="K286" s="55">
        <v>0.2</v>
      </c>
      <c r="L286" s="55">
        <v>0</v>
      </c>
      <c r="M286" s="55">
        <v>0</v>
      </c>
      <c r="N286" s="55">
        <v>1.7</v>
      </c>
      <c r="O286" s="55">
        <v>0.3</v>
      </c>
      <c r="P286" s="55">
        <v>1445.5</v>
      </c>
      <c r="Q286" s="55">
        <v>500</v>
      </c>
      <c r="R286" s="55">
        <v>1275.2</v>
      </c>
      <c r="S286" s="55">
        <v>2456.6</v>
      </c>
      <c r="T286" s="254" t="s">
        <v>764</v>
      </c>
      <c r="U286" s="254">
        <v>82081</v>
      </c>
      <c r="V286" s="254">
        <v>28617</v>
      </c>
      <c r="W286" s="254">
        <v>345</v>
      </c>
      <c r="X286" s="254">
        <v>5</v>
      </c>
      <c r="Y286" s="254">
        <v>0</v>
      </c>
    </row>
    <row r="287" spans="1:25" x14ac:dyDescent="0.35">
      <c r="A287" s="52">
        <v>5097</v>
      </c>
      <c r="B287" s="253">
        <v>44631</v>
      </c>
      <c r="C287" s="254" t="s">
        <v>221</v>
      </c>
      <c r="D287" s="52" t="s">
        <v>782</v>
      </c>
      <c r="E287" s="54">
        <v>78.5</v>
      </c>
      <c r="F287" s="53">
        <v>0</v>
      </c>
      <c r="G287" s="55">
        <v>18.8</v>
      </c>
      <c r="H287" s="55">
        <v>0</v>
      </c>
      <c r="I287" s="55">
        <v>0.7</v>
      </c>
      <c r="J287" s="55">
        <v>0.2</v>
      </c>
      <c r="K287" s="55">
        <v>0.2</v>
      </c>
      <c r="L287" s="55">
        <v>0</v>
      </c>
      <c r="M287" s="55">
        <v>0.2</v>
      </c>
      <c r="N287" s="55">
        <v>0.5</v>
      </c>
      <c r="O287" s="55">
        <v>0</v>
      </c>
      <c r="P287" s="55">
        <v>270.60000000000002</v>
      </c>
      <c r="Q287" s="55">
        <v>2.9</v>
      </c>
      <c r="R287" s="55">
        <v>10.9</v>
      </c>
      <c r="S287" s="55">
        <v>9.4</v>
      </c>
      <c r="T287" s="254" t="s">
        <v>761</v>
      </c>
      <c r="U287" s="254">
        <v>5354</v>
      </c>
      <c r="V287" s="254">
        <v>1691</v>
      </c>
      <c r="W287" s="254">
        <v>98</v>
      </c>
      <c r="X287" s="254">
        <v>0</v>
      </c>
      <c r="Y287" s="254">
        <v>0</v>
      </c>
    </row>
    <row r="288" spans="1:25" x14ac:dyDescent="0.35">
      <c r="A288" s="52">
        <v>5098</v>
      </c>
      <c r="B288" s="253">
        <v>44631</v>
      </c>
      <c r="C288" s="254" t="s">
        <v>176</v>
      </c>
      <c r="D288" s="52" t="s">
        <v>709</v>
      </c>
      <c r="E288" s="54">
        <v>14.9</v>
      </c>
      <c r="F288" s="53">
        <v>0</v>
      </c>
      <c r="G288" s="55">
        <v>9.6</v>
      </c>
      <c r="H288" s="55">
        <v>1.6</v>
      </c>
      <c r="I288" s="55">
        <v>1.4</v>
      </c>
      <c r="J288" s="55">
        <v>0</v>
      </c>
      <c r="K288" s="55">
        <v>0</v>
      </c>
      <c r="L288" s="55">
        <v>0</v>
      </c>
      <c r="M288" s="55">
        <v>0</v>
      </c>
      <c r="N288" s="55">
        <v>1.6</v>
      </c>
      <c r="O288" s="55">
        <v>0</v>
      </c>
      <c r="P288" s="55">
        <v>1475</v>
      </c>
      <c r="Q288" s="55">
        <v>509.1</v>
      </c>
      <c r="R288" s="55">
        <v>1283.0999999999999</v>
      </c>
      <c r="S288" s="55">
        <v>2494.9</v>
      </c>
      <c r="T288" s="254" t="s">
        <v>713</v>
      </c>
      <c r="U288" s="254">
        <v>79238</v>
      </c>
      <c r="V288" s="254">
        <v>29932</v>
      </c>
      <c r="W288" s="254">
        <v>292</v>
      </c>
      <c r="X288" s="254">
        <v>0</v>
      </c>
      <c r="Y288" s="254">
        <v>0</v>
      </c>
    </row>
    <row r="289" spans="1:25" x14ac:dyDescent="0.35">
      <c r="A289" s="52">
        <v>5093</v>
      </c>
      <c r="B289" s="253">
        <v>44632</v>
      </c>
      <c r="C289" s="254" t="s">
        <v>173</v>
      </c>
      <c r="D289" s="52" t="s">
        <v>709</v>
      </c>
      <c r="E289" s="54">
        <v>14.9</v>
      </c>
      <c r="F289" s="53">
        <v>0</v>
      </c>
      <c r="G289" s="55">
        <v>9.6999999999999993</v>
      </c>
      <c r="H289" s="55">
        <v>1.6</v>
      </c>
      <c r="I289" s="55">
        <v>1.3</v>
      </c>
      <c r="J289" s="55">
        <v>0.1</v>
      </c>
      <c r="K289" s="55">
        <v>0</v>
      </c>
      <c r="L289" s="55">
        <v>0</v>
      </c>
      <c r="M289" s="55">
        <v>0</v>
      </c>
      <c r="N289" s="55">
        <v>2.4</v>
      </c>
      <c r="O289" s="55">
        <v>0</v>
      </c>
      <c r="P289" s="55">
        <v>1461.5</v>
      </c>
      <c r="Q289" s="55">
        <v>507.7</v>
      </c>
      <c r="R289" s="55">
        <v>1301.3</v>
      </c>
      <c r="S289" s="55">
        <v>2474.6999999999998</v>
      </c>
      <c r="T289" s="254" t="s">
        <v>710</v>
      </c>
      <c r="U289" s="254">
        <v>68929</v>
      </c>
      <c r="V289" s="254">
        <v>25132</v>
      </c>
      <c r="W289" s="254">
        <v>636</v>
      </c>
      <c r="X289" s="254">
        <v>3</v>
      </c>
      <c r="Y289" s="254">
        <v>0</v>
      </c>
    </row>
    <row r="290" spans="1:25" x14ac:dyDescent="0.35">
      <c r="A290" s="52">
        <v>5094</v>
      </c>
      <c r="B290" s="253">
        <v>44632</v>
      </c>
      <c r="C290" s="254" t="s">
        <v>174</v>
      </c>
      <c r="D290" s="52" t="s">
        <v>782</v>
      </c>
      <c r="E290" s="54">
        <v>78.7</v>
      </c>
      <c r="F290" s="53">
        <v>0</v>
      </c>
      <c r="G290" s="55">
        <v>20.399999999999999</v>
      </c>
      <c r="H290" s="55">
        <v>0</v>
      </c>
      <c r="I290" s="55">
        <v>0.5</v>
      </c>
      <c r="J290" s="55">
        <v>0.2</v>
      </c>
      <c r="K290" s="55">
        <v>0.2</v>
      </c>
      <c r="L290" s="55">
        <v>0</v>
      </c>
      <c r="M290" s="55">
        <v>0.1</v>
      </c>
      <c r="N290" s="55">
        <v>0.8</v>
      </c>
      <c r="O290" s="55">
        <v>0</v>
      </c>
      <c r="P290" s="55">
        <v>268.7</v>
      </c>
      <c r="Q290" s="55">
        <v>2.2000000000000002</v>
      </c>
      <c r="R290" s="55">
        <v>10.9</v>
      </c>
      <c r="S290" s="55">
        <v>8.5</v>
      </c>
      <c r="T290" s="254" t="s">
        <v>758</v>
      </c>
      <c r="U290" s="254">
        <v>12794</v>
      </c>
      <c r="V290" s="254">
        <v>4463</v>
      </c>
      <c r="W290" s="254">
        <v>246</v>
      </c>
      <c r="X290" s="254">
        <v>3</v>
      </c>
      <c r="Y290" s="254">
        <v>0</v>
      </c>
    </row>
    <row r="291" spans="1:25" x14ac:dyDescent="0.35">
      <c r="A291" s="52">
        <v>5095</v>
      </c>
      <c r="B291" s="253">
        <v>44632</v>
      </c>
      <c r="C291" s="254" t="s">
        <v>175</v>
      </c>
      <c r="D291" s="52" t="s">
        <v>709</v>
      </c>
      <c r="E291" s="54">
        <v>14.9</v>
      </c>
      <c r="F291" s="53">
        <v>0</v>
      </c>
      <c r="G291" s="55">
        <v>10.199999999999999</v>
      </c>
      <c r="H291" s="55">
        <v>1.7</v>
      </c>
      <c r="I291" s="55">
        <v>1.4</v>
      </c>
      <c r="J291" s="55">
        <v>0</v>
      </c>
      <c r="K291" s="55">
        <v>0.2</v>
      </c>
      <c r="L291" s="55">
        <v>0</v>
      </c>
      <c r="M291" s="55">
        <v>0</v>
      </c>
      <c r="N291" s="55">
        <v>2.2000000000000002</v>
      </c>
      <c r="O291" s="55">
        <v>0</v>
      </c>
      <c r="P291" s="55">
        <v>1489.7</v>
      </c>
      <c r="Q291" s="55">
        <v>510</v>
      </c>
      <c r="R291" s="55">
        <v>1304.3</v>
      </c>
      <c r="S291" s="55">
        <v>2503</v>
      </c>
      <c r="T291" s="254" t="s">
        <v>710</v>
      </c>
      <c r="U291" s="254">
        <v>66222</v>
      </c>
      <c r="V291" s="254">
        <v>24257</v>
      </c>
      <c r="W291" s="254">
        <v>605</v>
      </c>
      <c r="X291" s="254">
        <v>0</v>
      </c>
      <c r="Y291" s="254">
        <v>0</v>
      </c>
    </row>
    <row r="292" spans="1:25" x14ac:dyDescent="0.35">
      <c r="A292" s="52">
        <v>5276</v>
      </c>
      <c r="B292" s="253">
        <v>44633</v>
      </c>
      <c r="C292" s="254" t="s">
        <v>178</v>
      </c>
      <c r="D292" s="52" t="s">
        <v>720</v>
      </c>
      <c r="E292" s="54">
        <v>6</v>
      </c>
      <c r="F292" s="53">
        <v>0</v>
      </c>
      <c r="G292" s="55">
        <v>9.9</v>
      </c>
      <c r="H292" s="55">
        <v>1.5</v>
      </c>
      <c r="I292" s="55">
        <v>1</v>
      </c>
      <c r="J292" s="55">
        <v>0.7</v>
      </c>
      <c r="K292" s="55">
        <v>0.1</v>
      </c>
      <c r="L292" s="55">
        <v>0.1</v>
      </c>
      <c r="M292" s="55">
        <v>0.3</v>
      </c>
      <c r="N292" s="55">
        <v>0.2</v>
      </c>
      <c r="O292" s="55">
        <v>0.6</v>
      </c>
      <c r="P292" s="55">
        <v>1090.4000000000001</v>
      </c>
      <c r="Q292" s="55">
        <v>13.1</v>
      </c>
      <c r="R292" s="55">
        <v>1051.7</v>
      </c>
      <c r="S292" s="55">
        <v>3609.6</v>
      </c>
      <c r="T292" s="254" t="s">
        <v>713</v>
      </c>
      <c r="U292" s="254">
        <v>55761</v>
      </c>
      <c r="V292" s="254">
        <v>25173</v>
      </c>
      <c r="W292" s="254">
        <v>311</v>
      </c>
      <c r="X292" s="254">
        <v>0</v>
      </c>
      <c r="Y292" s="254">
        <v>0</v>
      </c>
    </row>
    <row r="293" spans="1:25" x14ac:dyDescent="0.35">
      <c r="A293" s="52">
        <v>5277</v>
      </c>
      <c r="B293" s="253">
        <v>44633</v>
      </c>
      <c r="C293" s="254" t="s">
        <v>179</v>
      </c>
      <c r="D293" s="52" t="s">
        <v>720</v>
      </c>
      <c r="E293" s="54">
        <v>6</v>
      </c>
      <c r="F293" s="53">
        <v>0</v>
      </c>
      <c r="G293" s="55">
        <v>3.5</v>
      </c>
      <c r="H293" s="55">
        <v>1.7</v>
      </c>
      <c r="I293" s="55">
        <v>1.1000000000000001</v>
      </c>
      <c r="J293" s="55">
        <v>0.3</v>
      </c>
      <c r="K293" s="55">
        <v>0</v>
      </c>
      <c r="L293" s="55">
        <v>0.1</v>
      </c>
      <c r="M293" s="55">
        <v>0.1</v>
      </c>
      <c r="N293" s="55">
        <v>0</v>
      </c>
      <c r="O293" s="55">
        <v>1.3</v>
      </c>
      <c r="P293" s="55">
        <v>1270.7</v>
      </c>
      <c r="Q293" s="55">
        <v>15.2</v>
      </c>
      <c r="R293" s="55">
        <v>1231.7</v>
      </c>
      <c r="S293" s="55">
        <v>3267.5</v>
      </c>
      <c r="T293" s="254" t="s">
        <v>730</v>
      </c>
      <c r="U293" s="254">
        <v>4364</v>
      </c>
      <c r="V293" s="254">
        <v>1196</v>
      </c>
      <c r="W293" s="254">
        <v>23</v>
      </c>
      <c r="X293" s="254">
        <v>2</v>
      </c>
      <c r="Y293" s="254">
        <v>0</v>
      </c>
    </row>
    <row r="294" spans="1:25" x14ac:dyDescent="0.35">
      <c r="A294" s="52">
        <v>5278</v>
      </c>
      <c r="B294" s="253">
        <v>44633</v>
      </c>
      <c r="C294" s="254" t="s">
        <v>180</v>
      </c>
      <c r="D294" s="52" t="s">
        <v>720</v>
      </c>
      <c r="E294" s="54">
        <v>6.1</v>
      </c>
      <c r="F294" s="53">
        <v>0</v>
      </c>
      <c r="G294" s="55">
        <v>3.2</v>
      </c>
      <c r="H294" s="55">
        <v>1.7</v>
      </c>
      <c r="I294" s="55">
        <v>1.1000000000000001</v>
      </c>
      <c r="J294" s="55">
        <v>0.1</v>
      </c>
      <c r="K294" s="55">
        <v>0.4</v>
      </c>
      <c r="L294" s="55">
        <v>0.1</v>
      </c>
      <c r="M294" s="55">
        <v>0.2</v>
      </c>
      <c r="N294" s="55">
        <v>0.7</v>
      </c>
      <c r="O294" s="55">
        <v>1.2</v>
      </c>
      <c r="P294" s="55">
        <v>1269.5</v>
      </c>
      <c r="Q294" s="55">
        <v>11.8</v>
      </c>
      <c r="R294" s="55">
        <v>1234.5999999999999</v>
      </c>
      <c r="S294" s="55">
        <v>3301.9</v>
      </c>
      <c r="T294" s="254" t="s">
        <v>796</v>
      </c>
      <c r="U294" s="254">
        <v>10622</v>
      </c>
      <c r="V294" s="254">
        <v>4053</v>
      </c>
      <c r="W294" s="254">
        <v>55</v>
      </c>
      <c r="X294" s="254">
        <v>0</v>
      </c>
      <c r="Y294" s="254">
        <v>0</v>
      </c>
    </row>
    <row r="295" spans="1:25" x14ac:dyDescent="0.35">
      <c r="A295" s="52">
        <v>5279</v>
      </c>
      <c r="B295" s="253">
        <v>44633</v>
      </c>
      <c r="C295" s="254" t="s">
        <v>184</v>
      </c>
      <c r="D295" s="52" t="s">
        <v>720</v>
      </c>
      <c r="E295" s="54">
        <v>6.1</v>
      </c>
      <c r="F295" s="53">
        <v>0</v>
      </c>
      <c r="G295" s="55">
        <v>11</v>
      </c>
      <c r="H295" s="55">
        <v>1.1000000000000001</v>
      </c>
      <c r="I295" s="55">
        <v>0.9</v>
      </c>
      <c r="J295" s="55">
        <v>0.2</v>
      </c>
      <c r="K295" s="55">
        <v>0.3</v>
      </c>
      <c r="L295" s="55">
        <v>0.1</v>
      </c>
      <c r="M295" s="55">
        <v>0</v>
      </c>
      <c r="N295" s="55">
        <v>0.2</v>
      </c>
      <c r="O295" s="55">
        <v>0.7</v>
      </c>
      <c r="P295" s="55">
        <v>1092.5</v>
      </c>
      <c r="Q295" s="55">
        <v>13.5</v>
      </c>
      <c r="R295" s="55">
        <v>1054.2</v>
      </c>
      <c r="S295" s="55">
        <v>3690.6</v>
      </c>
      <c r="T295" s="254" t="s">
        <v>710</v>
      </c>
      <c r="U295" s="254">
        <v>56231</v>
      </c>
      <c r="V295" s="254">
        <v>25704</v>
      </c>
      <c r="W295" s="254">
        <v>329</v>
      </c>
      <c r="X295" s="254">
        <v>2</v>
      </c>
      <c r="Y295" s="254">
        <v>0</v>
      </c>
    </row>
    <row r="296" spans="1:25" x14ac:dyDescent="0.35">
      <c r="A296" s="52">
        <v>5280</v>
      </c>
      <c r="B296" s="253">
        <v>44633</v>
      </c>
      <c r="C296" s="254" t="s">
        <v>177</v>
      </c>
      <c r="D296" s="52" t="s">
        <v>720</v>
      </c>
      <c r="E296" s="54">
        <v>6.1</v>
      </c>
      <c r="F296" s="53">
        <v>0</v>
      </c>
      <c r="G296" s="55">
        <v>8.6</v>
      </c>
      <c r="H296" s="55">
        <v>1.2</v>
      </c>
      <c r="I296" s="55">
        <v>1</v>
      </c>
      <c r="J296" s="55">
        <v>0.1</v>
      </c>
      <c r="K296" s="55">
        <v>0</v>
      </c>
      <c r="L296" s="55">
        <v>0.1</v>
      </c>
      <c r="M296" s="55">
        <v>0.1</v>
      </c>
      <c r="N296" s="55">
        <v>0.1</v>
      </c>
      <c r="O296" s="55">
        <v>0.5</v>
      </c>
      <c r="P296" s="55">
        <v>1125.3</v>
      </c>
      <c r="Q296" s="55">
        <v>14.3</v>
      </c>
      <c r="R296" s="55">
        <v>1088.5999999999999</v>
      </c>
      <c r="S296" s="55">
        <v>3721</v>
      </c>
      <c r="T296" s="254" t="s">
        <v>801</v>
      </c>
      <c r="U296" s="254">
        <v>37236</v>
      </c>
      <c r="V296" s="254">
        <v>16060</v>
      </c>
      <c r="W296" s="254">
        <v>391</v>
      </c>
      <c r="X296" s="254">
        <v>0</v>
      </c>
      <c r="Y296" s="254">
        <v>0</v>
      </c>
    </row>
    <row r="297" spans="1:25" x14ac:dyDescent="0.35">
      <c r="A297" s="52">
        <v>5619</v>
      </c>
      <c r="B297" s="253">
        <v>44638</v>
      </c>
      <c r="C297" s="254" t="s">
        <v>178</v>
      </c>
      <c r="D297" s="52" t="s">
        <v>720</v>
      </c>
      <c r="E297" s="54">
        <v>6</v>
      </c>
      <c r="F297" s="53">
        <v>0</v>
      </c>
      <c r="G297" s="55">
        <v>7.6</v>
      </c>
      <c r="H297" s="55">
        <v>1.8</v>
      </c>
      <c r="I297" s="55">
        <v>0.9</v>
      </c>
      <c r="J297" s="55">
        <v>0.3</v>
      </c>
      <c r="K297" s="55">
        <v>0.5</v>
      </c>
      <c r="L297" s="55">
        <v>0</v>
      </c>
      <c r="M297" s="55">
        <v>0</v>
      </c>
      <c r="N297" s="55">
        <v>0</v>
      </c>
      <c r="O297" s="55">
        <v>1.3</v>
      </c>
      <c r="P297" s="55">
        <v>1208</v>
      </c>
      <c r="Q297" s="55">
        <v>11.5</v>
      </c>
      <c r="R297" s="55">
        <v>1225.0999999999999</v>
      </c>
      <c r="S297" s="55">
        <v>3085.3</v>
      </c>
      <c r="T297" s="254" t="s">
        <v>761</v>
      </c>
      <c r="U297" s="254">
        <v>6314</v>
      </c>
      <c r="V297" s="254">
        <v>2265</v>
      </c>
      <c r="W297" s="254">
        <v>128</v>
      </c>
      <c r="X297" s="254">
        <v>3</v>
      </c>
      <c r="Y297" s="254">
        <v>0</v>
      </c>
    </row>
    <row r="298" spans="1:25" x14ac:dyDescent="0.35">
      <c r="A298" s="52">
        <v>5620</v>
      </c>
      <c r="B298" s="253">
        <v>44638</v>
      </c>
      <c r="C298" s="254" t="s">
        <v>179</v>
      </c>
      <c r="D298" s="52" t="s">
        <v>709</v>
      </c>
      <c r="E298" s="54">
        <v>14.9</v>
      </c>
      <c r="F298" s="53">
        <v>0</v>
      </c>
      <c r="G298" s="55">
        <v>9</v>
      </c>
      <c r="H298" s="55">
        <v>1.5</v>
      </c>
      <c r="I298" s="55">
        <v>1.3</v>
      </c>
      <c r="J298" s="55">
        <v>0.8</v>
      </c>
      <c r="K298" s="55">
        <v>0.3</v>
      </c>
      <c r="L298" s="55">
        <v>0</v>
      </c>
      <c r="M298" s="55">
        <v>0</v>
      </c>
      <c r="N298" s="55">
        <v>1.4</v>
      </c>
      <c r="O298" s="55">
        <v>0.1</v>
      </c>
      <c r="P298" s="55">
        <v>1306.3</v>
      </c>
      <c r="Q298" s="55">
        <v>476.8</v>
      </c>
      <c r="R298" s="55">
        <v>1306.2</v>
      </c>
      <c r="S298" s="55">
        <v>2267.9</v>
      </c>
      <c r="T298" s="254" t="s">
        <v>748</v>
      </c>
      <c r="U298" s="254">
        <v>85547</v>
      </c>
      <c r="V298" s="254">
        <v>31186</v>
      </c>
      <c r="W298" s="254">
        <v>313</v>
      </c>
      <c r="X298" s="254">
        <v>12</v>
      </c>
      <c r="Y298" s="254">
        <v>0</v>
      </c>
    </row>
    <row r="299" spans="1:25" x14ac:dyDescent="0.35">
      <c r="A299" s="52">
        <v>5621</v>
      </c>
      <c r="B299" s="253">
        <v>44638</v>
      </c>
      <c r="C299" s="254" t="s">
        <v>180</v>
      </c>
      <c r="D299" s="52" t="s">
        <v>757</v>
      </c>
      <c r="E299" s="54">
        <v>25.2</v>
      </c>
      <c r="F299" s="53">
        <v>0</v>
      </c>
      <c r="G299" s="55">
        <v>18.600000000000001</v>
      </c>
      <c r="H299" s="55">
        <v>1</v>
      </c>
      <c r="I299" s="55">
        <v>0.9</v>
      </c>
      <c r="J299" s="55">
        <v>0</v>
      </c>
      <c r="K299" s="55">
        <v>0</v>
      </c>
      <c r="L299" s="55">
        <v>0.1</v>
      </c>
      <c r="M299" s="55">
        <v>0</v>
      </c>
      <c r="N299" s="55">
        <v>0</v>
      </c>
      <c r="O299" s="55">
        <v>0.6</v>
      </c>
      <c r="P299" s="55">
        <v>1088.7</v>
      </c>
      <c r="Q299" s="55">
        <v>17.5</v>
      </c>
      <c r="R299" s="55">
        <v>1092.0999999999999</v>
      </c>
      <c r="S299" s="55">
        <v>3405.8</v>
      </c>
      <c r="T299" s="254" t="s">
        <v>810</v>
      </c>
      <c r="U299" s="254">
        <v>28939</v>
      </c>
      <c r="V299" s="254">
        <v>9943</v>
      </c>
      <c r="W299" s="254">
        <v>400</v>
      </c>
      <c r="X299" s="254">
        <v>0</v>
      </c>
      <c r="Y299" s="254">
        <v>0</v>
      </c>
    </row>
    <row r="300" spans="1:25" x14ac:dyDescent="0.35">
      <c r="A300" s="52">
        <v>5622</v>
      </c>
      <c r="B300" s="253">
        <v>44639</v>
      </c>
      <c r="C300" s="254" t="s">
        <v>216</v>
      </c>
      <c r="D300" s="52" t="s">
        <v>757</v>
      </c>
      <c r="E300" s="54">
        <v>25.4</v>
      </c>
      <c r="F300" s="53">
        <v>0</v>
      </c>
      <c r="G300" s="55">
        <v>9.9</v>
      </c>
      <c r="H300" s="55">
        <v>1.6</v>
      </c>
      <c r="I300" s="55">
        <v>1</v>
      </c>
      <c r="J300" s="55">
        <v>0</v>
      </c>
      <c r="K300" s="55">
        <v>0</v>
      </c>
      <c r="L300" s="55">
        <v>0.1</v>
      </c>
      <c r="M300" s="55">
        <v>0</v>
      </c>
      <c r="N300" s="55">
        <v>0</v>
      </c>
      <c r="O300" s="55">
        <v>1.8</v>
      </c>
      <c r="P300" s="55">
        <v>1209.7</v>
      </c>
      <c r="Q300" s="55">
        <v>17.2</v>
      </c>
      <c r="R300" s="55">
        <v>1276</v>
      </c>
      <c r="S300" s="55">
        <v>3014.9</v>
      </c>
      <c r="T300" s="254" t="s">
        <v>803</v>
      </c>
      <c r="U300" s="254">
        <v>4407</v>
      </c>
      <c r="V300" s="254">
        <v>1332</v>
      </c>
      <c r="W300" s="254">
        <v>89</v>
      </c>
      <c r="X300" s="254">
        <v>0</v>
      </c>
      <c r="Y300" s="254">
        <v>0</v>
      </c>
    </row>
    <row r="301" spans="1:25" x14ac:dyDescent="0.35">
      <c r="A301" s="52">
        <v>5623</v>
      </c>
      <c r="B301" s="253">
        <v>44639</v>
      </c>
      <c r="C301" s="254" t="s">
        <v>185</v>
      </c>
      <c r="D301" s="52" t="s">
        <v>709</v>
      </c>
      <c r="E301" s="54">
        <v>14.9</v>
      </c>
      <c r="F301" s="53">
        <v>0</v>
      </c>
      <c r="G301" s="55">
        <v>11.2</v>
      </c>
      <c r="H301" s="55">
        <v>1.4</v>
      </c>
      <c r="I301" s="55">
        <v>1.4</v>
      </c>
      <c r="J301" s="55">
        <v>0</v>
      </c>
      <c r="K301" s="55">
        <v>0</v>
      </c>
      <c r="L301" s="55">
        <v>0.1</v>
      </c>
      <c r="M301" s="55">
        <v>0</v>
      </c>
      <c r="N301" s="55">
        <v>1.6</v>
      </c>
      <c r="O301" s="55">
        <v>0</v>
      </c>
      <c r="P301" s="55">
        <v>1329.5</v>
      </c>
      <c r="Q301" s="55">
        <v>485.5</v>
      </c>
      <c r="R301" s="55">
        <v>1320.1</v>
      </c>
      <c r="S301" s="55">
        <v>2294.9</v>
      </c>
      <c r="T301" s="254" t="s">
        <v>764</v>
      </c>
      <c r="U301" s="254">
        <v>83233</v>
      </c>
      <c r="V301" s="254">
        <v>32098</v>
      </c>
      <c r="W301" s="254">
        <v>399</v>
      </c>
      <c r="X301" s="254">
        <v>0</v>
      </c>
      <c r="Y301" s="254">
        <v>0</v>
      </c>
    </row>
    <row r="302" spans="1:25" x14ac:dyDescent="0.35">
      <c r="A302" s="52">
        <v>5624</v>
      </c>
      <c r="B302" s="253">
        <v>44639</v>
      </c>
      <c r="C302" s="254" t="s">
        <v>184</v>
      </c>
      <c r="D302" s="52" t="s">
        <v>720</v>
      </c>
      <c r="E302" s="54">
        <v>6</v>
      </c>
      <c r="F302" s="53">
        <v>0</v>
      </c>
      <c r="G302" s="55">
        <v>9.4</v>
      </c>
      <c r="H302" s="55">
        <v>1.4</v>
      </c>
      <c r="I302" s="55">
        <v>0.9</v>
      </c>
      <c r="J302" s="55">
        <v>0</v>
      </c>
      <c r="K302" s="55">
        <v>0</v>
      </c>
      <c r="L302" s="55">
        <v>0</v>
      </c>
      <c r="M302" s="55">
        <v>0</v>
      </c>
      <c r="N302" s="55">
        <v>0</v>
      </c>
      <c r="O302" s="55">
        <v>1.3</v>
      </c>
      <c r="P302" s="55">
        <v>1174.7</v>
      </c>
      <c r="Q302" s="55">
        <v>14</v>
      </c>
      <c r="R302" s="55">
        <v>1233.3</v>
      </c>
      <c r="S302" s="55">
        <v>3198</v>
      </c>
      <c r="T302" s="254" t="s">
        <v>811</v>
      </c>
      <c r="U302" s="254">
        <v>24570</v>
      </c>
      <c r="V302" s="254">
        <v>10505</v>
      </c>
      <c r="W302" s="254">
        <v>152</v>
      </c>
      <c r="X302" s="254">
        <v>0</v>
      </c>
      <c r="Y302" s="254">
        <v>0</v>
      </c>
    </row>
    <row r="303" spans="1:25" x14ac:dyDescent="0.35">
      <c r="A303" s="52">
        <v>4538</v>
      </c>
      <c r="B303" s="253">
        <v>44654</v>
      </c>
      <c r="C303" s="254" t="s">
        <v>185</v>
      </c>
      <c r="D303" s="52" t="s">
        <v>720</v>
      </c>
      <c r="E303" s="54">
        <v>6.2</v>
      </c>
      <c r="F303" s="53">
        <v>0</v>
      </c>
      <c r="G303" s="55">
        <v>11.1</v>
      </c>
      <c r="H303" s="55">
        <v>1.1000000000000001</v>
      </c>
      <c r="I303" s="55">
        <v>0.9</v>
      </c>
      <c r="J303" s="55">
        <v>0</v>
      </c>
      <c r="K303" s="55">
        <v>0</v>
      </c>
      <c r="L303" s="55">
        <v>0</v>
      </c>
      <c r="M303" s="55">
        <v>0</v>
      </c>
      <c r="N303" s="55">
        <v>0</v>
      </c>
      <c r="O303" s="55">
        <v>1.2</v>
      </c>
      <c r="P303" s="55">
        <v>1112.3</v>
      </c>
      <c r="Q303" s="55">
        <v>13.8</v>
      </c>
      <c r="R303" s="55">
        <v>1036.7</v>
      </c>
      <c r="S303" s="55">
        <v>3308.3</v>
      </c>
      <c r="T303" s="254" t="s">
        <v>801</v>
      </c>
      <c r="U303" s="254">
        <v>36414</v>
      </c>
      <c r="V303" s="254">
        <v>14311</v>
      </c>
      <c r="W303" s="254">
        <v>326</v>
      </c>
      <c r="X303" s="254">
        <v>0</v>
      </c>
      <c r="Y303" s="254">
        <v>0</v>
      </c>
    </row>
    <row r="304" spans="1:25" x14ac:dyDescent="0.35">
      <c r="A304" s="52">
        <v>4539</v>
      </c>
      <c r="B304" s="253">
        <v>44654</v>
      </c>
      <c r="C304" s="254" t="s">
        <v>184</v>
      </c>
      <c r="D304" s="52" t="s">
        <v>709</v>
      </c>
      <c r="E304" s="54">
        <v>15.1</v>
      </c>
      <c r="F304" s="53">
        <v>0</v>
      </c>
      <c r="G304" s="55">
        <v>9</v>
      </c>
      <c r="H304" s="55">
        <v>1.4</v>
      </c>
      <c r="I304" s="55">
        <v>1.5</v>
      </c>
      <c r="J304" s="55">
        <v>0</v>
      </c>
      <c r="K304" s="55">
        <v>0</v>
      </c>
      <c r="L304" s="55">
        <v>0</v>
      </c>
      <c r="M304" s="55">
        <v>0</v>
      </c>
      <c r="N304" s="55">
        <v>1.3</v>
      </c>
      <c r="O304" s="55">
        <v>0.8</v>
      </c>
      <c r="P304" s="55">
        <v>1472.2</v>
      </c>
      <c r="Q304" s="55">
        <v>511.4</v>
      </c>
      <c r="R304" s="55">
        <v>1292.3</v>
      </c>
      <c r="S304" s="55">
        <v>2363</v>
      </c>
      <c r="T304" s="254" t="s">
        <v>713</v>
      </c>
      <c r="U304" s="254">
        <v>72416</v>
      </c>
      <c r="V304" s="254">
        <v>26958</v>
      </c>
      <c r="W304" s="254">
        <v>166</v>
      </c>
      <c r="X304" s="254">
        <v>0</v>
      </c>
      <c r="Y304" s="254">
        <v>0</v>
      </c>
    </row>
    <row r="305" spans="1:25" x14ac:dyDescent="0.35">
      <c r="A305" s="52">
        <v>4540</v>
      </c>
      <c r="B305" s="253">
        <v>44654</v>
      </c>
      <c r="C305" s="254" t="s">
        <v>176</v>
      </c>
      <c r="D305" s="52" t="s">
        <v>709</v>
      </c>
      <c r="E305" s="54">
        <v>15.1</v>
      </c>
      <c r="F305" s="53">
        <v>0</v>
      </c>
      <c r="G305" s="55">
        <v>9.1</v>
      </c>
      <c r="H305" s="55">
        <v>1.5</v>
      </c>
      <c r="I305" s="55">
        <v>1.6</v>
      </c>
      <c r="J305" s="55">
        <v>0.1</v>
      </c>
      <c r="K305" s="55">
        <v>0</v>
      </c>
      <c r="L305" s="55">
        <v>0</v>
      </c>
      <c r="M305" s="55">
        <v>0</v>
      </c>
      <c r="N305" s="55">
        <v>0.8</v>
      </c>
      <c r="O305" s="55">
        <v>0.9</v>
      </c>
      <c r="P305" s="55">
        <v>1464.7</v>
      </c>
      <c r="Q305" s="55">
        <v>517.29999999999995</v>
      </c>
      <c r="R305" s="55">
        <v>1297.3</v>
      </c>
      <c r="S305" s="55">
        <v>2375.5</v>
      </c>
      <c r="T305" s="254" t="s">
        <v>764</v>
      </c>
      <c r="U305" s="254">
        <v>81398</v>
      </c>
      <c r="V305" s="254">
        <v>32184</v>
      </c>
      <c r="W305" s="254">
        <v>357</v>
      </c>
      <c r="X305" s="254">
        <v>0</v>
      </c>
      <c r="Y305" s="254">
        <v>0</v>
      </c>
    </row>
    <row r="306" spans="1:25" x14ac:dyDescent="0.35">
      <c r="A306" s="1">
        <v>14132</v>
      </c>
      <c r="B306" s="12">
        <v>44658</v>
      </c>
      <c r="C306" s="1" t="s">
        <v>191</v>
      </c>
      <c r="D306" s="1" t="s">
        <v>723</v>
      </c>
      <c r="E306" s="40">
        <v>15</v>
      </c>
      <c r="F306" s="53">
        <v>0</v>
      </c>
      <c r="G306" s="8">
        <v>5.0800947670000003</v>
      </c>
      <c r="H306" s="8">
        <v>1.8420837649999999</v>
      </c>
      <c r="I306" s="8">
        <v>1.632615803</v>
      </c>
      <c r="J306" s="8">
        <v>0.14438433510000001</v>
      </c>
      <c r="K306" s="8">
        <v>0.35221121350000001</v>
      </c>
      <c r="L306" s="8">
        <v>5.9369673939999999E-2</v>
      </c>
      <c r="M306" s="8">
        <v>0</v>
      </c>
      <c r="N306" s="8">
        <v>1.7962689860000001</v>
      </c>
      <c r="O306" s="8">
        <v>0</v>
      </c>
      <c r="P306" s="8">
        <v>1200.437518</v>
      </c>
      <c r="Q306" s="8">
        <v>481.65374079999998</v>
      </c>
      <c r="R306" s="8">
        <v>1165.960761</v>
      </c>
      <c r="S306" s="8">
        <v>2372.4360029999998</v>
      </c>
      <c r="T306" s="1" t="s">
        <v>815</v>
      </c>
      <c r="U306" s="1">
        <v>41493.18</v>
      </c>
      <c r="V306" s="1">
        <v>11476.67</v>
      </c>
      <c r="W306" s="1">
        <v>118.6</v>
      </c>
      <c r="X306" s="1">
        <v>0</v>
      </c>
      <c r="Y306" s="1">
        <v>0</v>
      </c>
    </row>
    <row r="307" spans="1:25" x14ac:dyDescent="0.35">
      <c r="A307" s="1">
        <v>14133</v>
      </c>
      <c r="B307" s="12">
        <v>44658</v>
      </c>
      <c r="C307" s="1" t="s">
        <v>172</v>
      </c>
      <c r="D307" s="1" t="s">
        <v>746</v>
      </c>
      <c r="E307" s="40">
        <v>6</v>
      </c>
      <c r="F307" s="53">
        <v>0</v>
      </c>
      <c r="G307" s="8">
        <v>14.637653459999999</v>
      </c>
      <c r="H307" s="8">
        <v>1.3189833950000001</v>
      </c>
      <c r="I307" s="8">
        <v>1.525305701</v>
      </c>
      <c r="J307" s="8">
        <v>2.5477869199999999E-2</v>
      </c>
      <c r="K307" s="8">
        <v>0</v>
      </c>
      <c r="L307" s="8">
        <v>4.0861690639999997E-2</v>
      </c>
      <c r="M307" s="8">
        <v>0</v>
      </c>
      <c r="N307" s="8">
        <v>0.2488372439</v>
      </c>
      <c r="O307" s="8">
        <v>1.224300911</v>
      </c>
      <c r="P307" s="8">
        <v>966.54092820000005</v>
      </c>
      <c r="Q307" s="8">
        <v>10.949879109999999</v>
      </c>
      <c r="R307" s="8">
        <v>1011.340234</v>
      </c>
      <c r="S307" s="8">
        <v>3433.4720349999998</v>
      </c>
      <c r="T307" s="1" t="s">
        <v>710</v>
      </c>
      <c r="U307" s="1">
        <v>78130.47</v>
      </c>
      <c r="V307" s="1">
        <v>32054.66</v>
      </c>
      <c r="W307" s="1">
        <v>509.32</v>
      </c>
      <c r="X307" s="1">
        <v>0</v>
      </c>
      <c r="Y307" s="1">
        <v>0</v>
      </c>
    </row>
    <row r="308" spans="1:25" x14ac:dyDescent="0.35">
      <c r="A308" s="1">
        <v>14134</v>
      </c>
      <c r="B308" s="12">
        <v>44658</v>
      </c>
      <c r="C308" s="1" t="s">
        <v>171</v>
      </c>
      <c r="D308" s="1" t="s">
        <v>723</v>
      </c>
      <c r="E308" s="40">
        <v>15</v>
      </c>
      <c r="F308" s="53">
        <v>0</v>
      </c>
      <c r="G308" s="8">
        <v>5.1946353829999996</v>
      </c>
      <c r="H308" s="8">
        <v>1.978138738</v>
      </c>
      <c r="I308" s="8">
        <v>1.5537135289999999</v>
      </c>
      <c r="J308" s="8">
        <v>3.3050855740000003E-2</v>
      </c>
      <c r="K308" s="8">
        <v>0.21592629050000001</v>
      </c>
      <c r="L308" s="8">
        <v>1.1050341789999999E-3</v>
      </c>
      <c r="M308" s="8">
        <v>0</v>
      </c>
      <c r="N308" s="8">
        <v>1.4544864630000001</v>
      </c>
      <c r="O308" s="8">
        <v>0</v>
      </c>
      <c r="P308" s="8">
        <v>1178.2198900000001</v>
      </c>
      <c r="Q308" s="8">
        <v>477.86408490000002</v>
      </c>
      <c r="R308" s="8">
        <v>1178.786846</v>
      </c>
      <c r="S308" s="8">
        <v>2319.6279869999998</v>
      </c>
      <c r="T308" s="1" t="s">
        <v>767</v>
      </c>
      <c r="U308" s="1">
        <v>41420.089999999997</v>
      </c>
      <c r="V308" s="1">
        <v>10306.17</v>
      </c>
      <c r="W308" s="1">
        <v>52.32</v>
      </c>
      <c r="X308" s="1">
        <v>0</v>
      </c>
      <c r="Y308" s="1">
        <v>0</v>
      </c>
    </row>
    <row r="309" spans="1:25" x14ac:dyDescent="0.35">
      <c r="A309" s="1">
        <v>7256</v>
      </c>
      <c r="B309" s="12">
        <v>44659</v>
      </c>
      <c r="C309" s="1" t="s">
        <v>173</v>
      </c>
      <c r="D309" s="1" t="s">
        <v>709</v>
      </c>
      <c r="E309" s="1">
        <v>15.2</v>
      </c>
      <c r="F309" s="53">
        <v>0</v>
      </c>
      <c r="G309" s="1">
        <v>4.8</v>
      </c>
      <c r="H309" s="1">
        <v>1.5</v>
      </c>
      <c r="I309" s="1">
        <v>1.5</v>
      </c>
      <c r="J309" s="1">
        <v>0.1</v>
      </c>
      <c r="K309" s="1">
        <v>0</v>
      </c>
      <c r="L309" s="1">
        <v>0</v>
      </c>
      <c r="M309" s="1">
        <v>0</v>
      </c>
      <c r="N309" s="1">
        <v>1.9</v>
      </c>
      <c r="O309" s="1">
        <v>0.4</v>
      </c>
      <c r="P309" s="1">
        <v>1398.4</v>
      </c>
      <c r="Q309" s="1">
        <v>480.8</v>
      </c>
      <c r="R309" s="1">
        <v>1206.7</v>
      </c>
      <c r="S309" s="1">
        <v>2317.3000000000002</v>
      </c>
      <c r="T309" s="1" t="s">
        <v>710</v>
      </c>
      <c r="U309" s="1">
        <v>73046</v>
      </c>
      <c r="V309" s="1">
        <v>25904</v>
      </c>
      <c r="W309" s="1">
        <v>322</v>
      </c>
      <c r="X309" s="1">
        <v>8</v>
      </c>
      <c r="Y309" s="1">
        <v>0</v>
      </c>
    </row>
    <row r="310" spans="1:25" x14ac:dyDescent="0.35">
      <c r="A310" s="1">
        <v>7257</v>
      </c>
      <c r="B310" s="12">
        <v>44659</v>
      </c>
      <c r="C310" s="1" t="s">
        <v>174</v>
      </c>
      <c r="D310" s="1" t="s">
        <v>709</v>
      </c>
      <c r="E310" s="1">
        <v>15.3</v>
      </c>
      <c r="F310" s="53">
        <v>0</v>
      </c>
      <c r="G310" s="1">
        <v>4.2</v>
      </c>
      <c r="H310" s="1">
        <v>1.5</v>
      </c>
      <c r="I310" s="1">
        <v>1.3</v>
      </c>
      <c r="J310" s="1">
        <v>0</v>
      </c>
      <c r="K310" s="1">
        <v>0</v>
      </c>
      <c r="L310" s="1">
        <v>0</v>
      </c>
      <c r="M310" s="1">
        <v>0</v>
      </c>
      <c r="N310" s="1">
        <v>1.5</v>
      </c>
      <c r="O310" s="1">
        <v>0.3</v>
      </c>
      <c r="P310" s="1">
        <v>1374</v>
      </c>
      <c r="Q310" s="1">
        <v>473.2</v>
      </c>
      <c r="R310" s="1">
        <v>1184.5</v>
      </c>
      <c r="S310" s="1">
        <v>2276.9</v>
      </c>
      <c r="T310" s="1" t="s">
        <v>713</v>
      </c>
      <c r="U310" s="1">
        <v>69370</v>
      </c>
      <c r="V310" s="1">
        <v>22243</v>
      </c>
      <c r="W310" s="1">
        <v>175</v>
      </c>
      <c r="X310" s="1">
        <v>0</v>
      </c>
      <c r="Y310" s="1">
        <v>0</v>
      </c>
    </row>
    <row r="311" spans="1:25" x14ac:dyDescent="0.35">
      <c r="A311" s="1">
        <v>7258</v>
      </c>
      <c r="B311" s="12">
        <v>44659</v>
      </c>
      <c r="C311" s="1" t="s">
        <v>175</v>
      </c>
      <c r="D311" s="1" t="s">
        <v>735</v>
      </c>
      <c r="E311" s="1">
        <v>11.3</v>
      </c>
      <c r="F311" s="53">
        <v>0</v>
      </c>
      <c r="G311" s="1">
        <v>8.6999999999999993</v>
      </c>
      <c r="H311" s="1">
        <v>0.9</v>
      </c>
      <c r="I311" s="1">
        <v>0.8</v>
      </c>
      <c r="J311" s="1">
        <v>0</v>
      </c>
      <c r="K311" s="1">
        <v>0</v>
      </c>
      <c r="L311" s="1">
        <v>0</v>
      </c>
      <c r="M311" s="1">
        <v>0</v>
      </c>
      <c r="N311" s="1">
        <v>0.7</v>
      </c>
      <c r="O311" s="1">
        <v>0.4</v>
      </c>
      <c r="P311" s="1">
        <v>1119.4000000000001</v>
      </c>
      <c r="Q311" s="1">
        <v>15.8</v>
      </c>
      <c r="R311" s="1">
        <v>1015.1</v>
      </c>
      <c r="S311" s="1">
        <v>3499.9</v>
      </c>
      <c r="T311" s="1" t="s">
        <v>764</v>
      </c>
      <c r="U311" s="1">
        <v>82623</v>
      </c>
      <c r="V311" s="1">
        <v>39561</v>
      </c>
      <c r="W311" s="1">
        <v>563</v>
      </c>
      <c r="X311" s="1">
        <v>17</v>
      </c>
      <c r="Y311" s="1">
        <v>0</v>
      </c>
    </row>
    <row r="312" spans="1:25" x14ac:dyDescent="0.35">
      <c r="A312" s="1">
        <v>7259</v>
      </c>
      <c r="B312" s="12">
        <v>44660</v>
      </c>
      <c r="C312" s="1" t="s">
        <v>185</v>
      </c>
      <c r="D312" s="1" t="s">
        <v>709</v>
      </c>
      <c r="E312" s="1">
        <v>15.3</v>
      </c>
      <c r="F312" s="53">
        <v>0</v>
      </c>
      <c r="G312" s="1">
        <v>4.3</v>
      </c>
      <c r="H312" s="1">
        <v>1.4</v>
      </c>
      <c r="I312" s="1">
        <v>1.3</v>
      </c>
      <c r="J312" s="1">
        <v>0</v>
      </c>
      <c r="K312" s="1">
        <v>0</v>
      </c>
      <c r="L312" s="1">
        <v>0</v>
      </c>
      <c r="M312" s="1">
        <v>0</v>
      </c>
      <c r="N312" s="1">
        <v>1.7</v>
      </c>
      <c r="O312" s="1">
        <v>0.3</v>
      </c>
      <c r="P312" s="1">
        <v>1402.5</v>
      </c>
      <c r="Q312" s="1">
        <v>478.5</v>
      </c>
      <c r="R312" s="1">
        <v>1199.5999999999999</v>
      </c>
      <c r="S312" s="1">
        <v>2315.1</v>
      </c>
      <c r="T312" s="1" t="s">
        <v>713</v>
      </c>
      <c r="U312" s="1">
        <v>79235</v>
      </c>
      <c r="V312" s="1">
        <v>30021</v>
      </c>
      <c r="W312" s="1">
        <v>279</v>
      </c>
      <c r="X312" s="1">
        <v>0</v>
      </c>
      <c r="Y312" s="1">
        <v>0</v>
      </c>
    </row>
    <row r="313" spans="1:25" x14ac:dyDescent="0.35">
      <c r="A313" s="1">
        <v>7260</v>
      </c>
      <c r="B313" s="12">
        <v>44660</v>
      </c>
      <c r="C313" s="1" t="s">
        <v>176</v>
      </c>
      <c r="D313" s="1" t="s">
        <v>709</v>
      </c>
      <c r="E313" s="1">
        <v>15.2</v>
      </c>
      <c r="F313" s="53">
        <v>0</v>
      </c>
      <c r="G313" s="1">
        <v>4.8</v>
      </c>
      <c r="H313" s="1">
        <v>1.5</v>
      </c>
      <c r="I313" s="1">
        <v>1.4</v>
      </c>
      <c r="J313" s="1">
        <v>0</v>
      </c>
      <c r="K313" s="1">
        <v>0</v>
      </c>
      <c r="L313" s="1">
        <v>0</v>
      </c>
      <c r="M313" s="1">
        <v>0</v>
      </c>
      <c r="N313" s="1">
        <v>1.8</v>
      </c>
      <c r="O313" s="1">
        <v>0.5</v>
      </c>
      <c r="P313" s="1">
        <v>1419.8</v>
      </c>
      <c r="Q313" s="1">
        <v>490.8</v>
      </c>
      <c r="R313" s="1">
        <v>1238</v>
      </c>
      <c r="S313" s="1">
        <v>2386.1999999999998</v>
      </c>
      <c r="T313" s="1" t="s">
        <v>764</v>
      </c>
      <c r="U313" s="1">
        <v>82585</v>
      </c>
      <c r="V313" s="1">
        <v>30280</v>
      </c>
      <c r="W313" s="1">
        <v>472</v>
      </c>
      <c r="X313" s="1">
        <v>0</v>
      </c>
      <c r="Y313" s="1">
        <v>0</v>
      </c>
    </row>
    <row r="314" spans="1:25" x14ac:dyDescent="0.35">
      <c r="A314" s="1">
        <v>7261</v>
      </c>
      <c r="B314" s="12">
        <v>44660</v>
      </c>
      <c r="C314" s="1" t="s">
        <v>216</v>
      </c>
      <c r="D314" s="1" t="s">
        <v>735</v>
      </c>
      <c r="E314" s="1">
        <v>11.4</v>
      </c>
      <c r="F314" s="53">
        <v>0</v>
      </c>
      <c r="G314" s="1">
        <v>7.1</v>
      </c>
      <c r="H314" s="1">
        <v>1.2</v>
      </c>
      <c r="I314" s="1">
        <v>0.9</v>
      </c>
      <c r="J314" s="1">
        <v>0</v>
      </c>
      <c r="K314" s="1">
        <v>0</v>
      </c>
      <c r="L314" s="1">
        <v>0</v>
      </c>
      <c r="M314" s="1">
        <v>0</v>
      </c>
      <c r="N314" s="1">
        <v>1</v>
      </c>
      <c r="O314" s="1">
        <v>1.3</v>
      </c>
      <c r="P314" s="1">
        <v>1182.3</v>
      </c>
      <c r="Q314" s="1">
        <v>14.6</v>
      </c>
      <c r="R314" s="1">
        <v>1108.2</v>
      </c>
      <c r="S314" s="1">
        <v>3426.2</v>
      </c>
      <c r="T314" s="1" t="s">
        <v>727</v>
      </c>
      <c r="U314" s="1">
        <v>63260</v>
      </c>
      <c r="V314" s="1">
        <v>20476</v>
      </c>
      <c r="W314" s="1">
        <v>45</v>
      </c>
      <c r="X314" s="1">
        <v>0</v>
      </c>
      <c r="Y314" s="1">
        <v>0</v>
      </c>
    </row>
    <row r="315" spans="1:25" x14ac:dyDescent="0.35">
      <c r="A315" s="1">
        <v>7323</v>
      </c>
      <c r="B315" s="12">
        <v>44660</v>
      </c>
      <c r="C315" s="12" t="s">
        <v>178</v>
      </c>
      <c r="D315" s="1" t="s">
        <v>720</v>
      </c>
      <c r="E315" s="1">
        <v>6.2</v>
      </c>
      <c r="F315" s="53">
        <v>0</v>
      </c>
      <c r="G315" s="1">
        <v>10.9</v>
      </c>
      <c r="H315" s="1">
        <v>1.6</v>
      </c>
      <c r="I315" s="1">
        <v>0.9</v>
      </c>
      <c r="J315" s="1">
        <v>0.1</v>
      </c>
      <c r="K315" s="1">
        <v>0</v>
      </c>
      <c r="L315" s="1">
        <v>0</v>
      </c>
      <c r="M315" s="1">
        <v>0</v>
      </c>
      <c r="N315" s="1">
        <v>0.4</v>
      </c>
      <c r="O315" s="1">
        <v>1.5</v>
      </c>
      <c r="P315" s="1">
        <v>1131.9000000000001</v>
      </c>
      <c r="Q315" s="1">
        <v>13.4</v>
      </c>
      <c r="R315" s="1">
        <v>1057.0999999999999</v>
      </c>
      <c r="S315" s="1">
        <v>3575.5</v>
      </c>
      <c r="T315" s="1" t="s">
        <v>713</v>
      </c>
      <c r="U315" s="1">
        <v>59592</v>
      </c>
      <c r="V315" s="1">
        <v>22913</v>
      </c>
      <c r="W315" s="1">
        <v>209</v>
      </c>
      <c r="X315" s="1">
        <v>5</v>
      </c>
      <c r="Y315" s="1">
        <v>0</v>
      </c>
    </row>
    <row r="316" spans="1:25" x14ac:dyDescent="0.35">
      <c r="A316" s="1">
        <v>7324</v>
      </c>
      <c r="B316" s="12">
        <v>44660</v>
      </c>
      <c r="C316" s="12" t="s">
        <v>179</v>
      </c>
      <c r="D316" s="1" t="s">
        <v>720</v>
      </c>
      <c r="E316" s="1">
        <v>6.2</v>
      </c>
      <c r="F316" s="53">
        <v>0</v>
      </c>
      <c r="G316" s="1">
        <v>10.6</v>
      </c>
      <c r="H316" s="1">
        <v>1</v>
      </c>
      <c r="I316" s="1">
        <v>0.8</v>
      </c>
      <c r="J316" s="1">
        <v>0.1</v>
      </c>
      <c r="K316" s="1">
        <v>0</v>
      </c>
      <c r="L316" s="1">
        <v>0</v>
      </c>
      <c r="M316" s="1">
        <v>0</v>
      </c>
      <c r="N316" s="1">
        <v>0.6</v>
      </c>
      <c r="O316" s="1">
        <v>1.3</v>
      </c>
      <c r="P316" s="1">
        <v>1124.0999999999999</v>
      </c>
      <c r="Q316" s="1">
        <v>13</v>
      </c>
      <c r="R316" s="1">
        <v>1040.5</v>
      </c>
      <c r="S316" s="1">
        <v>3578.5</v>
      </c>
      <c r="T316" s="1" t="s">
        <v>713</v>
      </c>
      <c r="U316" s="1">
        <v>65440</v>
      </c>
      <c r="V316" s="1">
        <v>23305</v>
      </c>
      <c r="W316" s="1">
        <v>226</v>
      </c>
      <c r="X316" s="1">
        <v>3</v>
      </c>
      <c r="Y316" s="1">
        <v>0</v>
      </c>
    </row>
    <row r="317" spans="1:25" x14ac:dyDescent="0.35">
      <c r="A317" s="1">
        <v>7325</v>
      </c>
      <c r="B317" s="12">
        <v>44660</v>
      </c>
      <c r="C317" s="12" t="s">
        <v>180</v>
      </c>
      <c r="D317" s="1" t="s">
        <v>720</v>
      </c>
      <c r="E317" s="1">
        <v>621</v>
      </c>
      <c r="F317" s="53">
        <v>0</v>
      </c>
      <c r="G317" s="1">
        <v>10.9</v>
      </c>
      <c r="H317" s="1">
        <v>1</v>
      </c>
      <c r="I317" s="1">
        <v>0.7</v>
      </c>
      <c r="J317" s="1">
        <v>0.2</v>
      </c>
      <c r="K317" s="1">
        <v>0</v>
      </c>
      <c r="L317" s="1">
        <v>0</v>
      </c>
      <c r="M317" s="1">
        <v>0</v>
      </c>
      <c r="N317" s="1">
        <v>0.7</v>
      </c>
      <c r="O317" s="1">
        <v>1.3</v>
      </c>
      <c r="P317" s="1">
        <v>1123.3</v>
      </c>
      <c r="Q317" s="1">
        <v>12.8</v>
      </c>
      <c r="R317" s="1">
        <v>1022.9</v>
      </c>
      <c r="S317" s="1">
        <v>3522.7</v>
      </c>
      <c r="T317" s="1" t="s">
        <v>710</v>
      </c>
      <c r="U317" s="1">
        <v>69721</v>
      </c>
      <c r="V317" s="1">
        <v>25315</v>
      </c>
      <c r="W317" s="1">
        <v>505</v>
      </c>
      <c r="X317" s="1">
        <v>34</v>
      </c>
      <c r="Y317" s="1">
        <v>0</v>
      </c>
    </row>
    <row r="318" spans="1:25" x14ac:dyDescent="0.35">
      <c r="A318" s="1">
        <v>7326</v>
      </c>
      <c r="B318" s="12">
        <v>44661</v>
      </c>
      <c r="C318" s="12" t="s">
        <v>184</v>
      </c>
      <c r="D318" s="1" t="s">
        <v>720</v>
      </c>
      <c r="E318" s="1">
        <v>6.2</v>
      </c>
      <c r="F318" s="53">
        <v>0</v>
      </c>
      <c r="G318" s="1">
        <v>9</v>
      </c>
      <c r="H318" s="1">
        <v>1.3</v>
      </c>
      <c r="I318" s="1">
        <v>0.8</v>
      </c>
      <c r="J318" s="1">
        <v>0.1</v>
      </c>
      <c r="K318" s="1">
        <v>0</v>
      </c>
      <c r="L318" s="1">
        <v>0</v>
      </c>
      <c r="M318" s="1">
        <v>0</v>
      </c>
      <c r="N318" s="1">
        <v>0.5</v>
      </c>
      <c r="O318" s="1">
        <v>1.7</v>
      </c>
      <c r="P318" s="1">
        <v>1230.9000000000001</v>
      </c>
      <c r="Q318" s="1">
        <v>13.7</v>
      </c>
      <c r="R318" s="1">
        <v>1161.2</v>
      </c>
      <c r="S318" s="1">
        <v>3383.6</v>
      </c>
      <c r="T318" s="1" t="s">
        <v>811</v>
      </c>
      <c r="U318" s="1">
        <v>34461</v>
      </c>
      <c r="V318" s="1">
        <v>13101</v>
      </c>
      <c r="W318" s="1">
        <v>126</v>
      </c>
      <c r="X318" s="1">
        <v>0</v>
      </c>
      <c r="Y318" s="1">
        <v>0</v>
      </c>
    </row>
    <row r="319" spans="1:25" x14ac:dyDescent="0.35">
      <c r="A319" s="1">
        <v>7327</v>
      </c>
      <c r="B319" s="12">
        <v>44661</v>
      </c>
      <c r="C319" s="12" t="s">
        <v>177</v>
      </c>
      <c r="D319" s="1" t="s">
        <v>720</v>
      </c>
      <c r="E319" s="1">
        <v>6.2</v>
      </c>
      <c r="F319" s="53">
        <v>0</v>
      </c>
      <c r="G319" s="1">
        <v>9.1999999999999993</v>
      </c>
      <c r="H319" s="1">
        <v>1.2</v>
      </c>
      <c r="I319" s="1">
        <v>0.8</v>
      </c>
      <c r="J319" s="1">
        <v>0.1</v>
      </c>
      <c r="K319" s="1">
        <v>0</v>
      </c>
      <c r="L319" s="1">
        <v>0</v>
      </c>
      <c r="M319" s="1">
        <v>0</v>
      </c>
      <c r="N319" s="1">
        <v>0.2</v>
      </c>
      <c r="O319" s="1">
        <v>1.7</v>
      </c>
      <c r="P319" s="1">
        <v>1205.4000000000001</v>
      </c>
      <c r="Q319" s="1">
        <v>13.8</v>
      </c>
      <c r="R319" s="1">
        <v>1127.2</v>
      </c>
      <c r="S319" s="1">
        <v>3405.7</v>
      </c>
      <c r="T319" s="1" t="s">
        <v>812</v>
      </c>
      <c r="U319" s="1">
        <v>37355</v>
      </c>
      <c r="V319" s="1">
        <v>14139</v>
      </c>
      <c r="W319" s="1">
        <v>197</v>
      </c>
      <c r="X319" s="1">
        <v>0</v>
      </c>
      <c r="Y319" s="1">
        <v>0</v>
      </c>
    </row>
    <row r="320" spans="1:25" x14ac:dyDescent="0.35">
      <c r="A320" s="1">
        <v>7793</v>
      </c>
      <c r="B320" s="12">
        <v>44666</v>
      </c>
      <c r="C320" s="12" t="s">
        <v>178</v>
      </c>
      <c r="D320" s="1" t="s">
        <v>720</v>
      </c>
      <c r="E320" s="1">
        <v>6.4</v>
      </c>
      <c r="F320" s="53">
        <v>0</v>
      </c>
      <c r="G320" s="1">
        <v>9.5</v>
      </c>
      <c r="H320" s="1">
        <v>1.3</v>
      </c>
      <c r="I320" s="1">
        <v>1.1000000000000001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1.1000000000000001</v>
      </c>
      <c r="P320" s="1">
        <v>1155.5999999999999</v>
      </c>
      <c r="Q320" s="1">
        <v>12.3</v>
      </c>
      <c r="R320" s="1">
        <v>1095.5999999999999</v>
      </c>
      <c r="S320" s="1">
        <v>3678.3</v>
      </c>
      <c r="T320" s="1" t="s">
        <v>713</v>
      </c>
      <c r="U320" s="1">
        <v>77053</v>
      </c>
      <c r="V320" s="1">
        <v>30236</v>
      </c>
      <c r="W320" s="1">
        <v>285</v>
      </c>
      <c r="X320" s="1">
        <v>0</v>
      </c>
      <c r="Y320" s="1">
        <v>0</v>
      </c>
    </row>
    <row r="321" spans="1:25" x14ac:dyDescent="0.35">
      <c r="A321" s="1">
        <v>7794</v>
      </c>
      <c r="B321" s="12">
        <v>44666</v>
      </c>
      <c r="C321" s="12" t="s">
        <v>179</v>
      </c>
      <c r="D321" s="1" t="s">
        <v>720</v>
      </c>
      <c r="E321" s="1">
        <v>6.3</v>
      </c>
      <c r="F321" s="53">
        <v>0</v>
      </c>
      <c r="G321" s="1">
        <v>9.4</v>
      </c>
      <c r="H321" s="1">
        <v>1.5</v>
      </c>
      <c r="I321" s="1">
        <v>1.1000000000000001</v>
      </c>
      <c r="J321" s="1">
        <v>0.3</v>
      </c>
      <c r="K321" s="1">
        <v>0</v>
      </c>
      <c r="L321" s="1">
        <v>0</v>
      </c>
      <c r="M321" s="1">
        <v>0</v>
      </c>
      <c r="N321" s="1">
        <v>0.1</v>
      </c>
      <c r="O321" s="1">
        <v>0.7</v>
      </c>
      <c r="P321" s="1">
        <v>1106.9000000000001</v>
      </c>
      <c r="Q321" s="1">
        <v>12.1</v>
      </c>
      <c r="R321" s="1">
        <v>1033.5</v>
      </c>
      <c r="S321" s="1">
        <v>3564.1</v>
      </c>
      <c r="T321" s="1" t="s">
        <v>713</v>
      </c>
      <c r="U321" s="1">
        <v>71184</v>
      </c>
      <c r="V321" s="1">
        <v>29266</v>
      </c>
      <c r="W321" s="1">
        <v>165</v>
      </c>
      <c r="X321" s="1">
        <v>5</v>
      </c>
      <c r="Y321" s="1">
        <v>0</v>
      </c>
    </row>
    <row r="322" spans="1:25" x14ac:dyDescent="0.35">
      <c r="A322" s="1">
        <v>7795</v>
      </c>
      <c r="B322" s="12">
        <v>44666</v>
      </c>
      <c r="C322" s="12" t="s">
        <v>180</v>
      </c>
      <c r="D322" s="1" t="s">
        <v>720</v>
      </c>
      <c r="E322" s="1">
        <v>6.4</v>
      </c>
      <c r="F322" s="53">
        <v>0</v>
      </c>
      <c r="G322" s="1">
        <v>8.8000000000000007</v>
      </c>
      <c r="H322" s="1">
        <v>1.1000000000000001</v>
      </c>
      <c r="I322" s="1">
        <v>0.9</v>
      </c>
      <c r="J322" s="1">
        <v>0</v>
      </c>
      <c r="K322" s="1">
        <v>0</v>
      </c>
      <c r="L322" s="1">
        <v>0</v>
      </c>
      <c r="M322" s="1">
        <v>0</v>
      </c>
      <c r="N322" s="1">
        <v>0.4</v>
      </c>
      <c r="O322" s="1">
        <v>0.6</v>
      </c>
      <c r="P322" s="1">
        <v>1124.7</v>
      </c>
      <c r="Q322" s="1">
        <v>11.7</v>
      </c>
      <c r="R322" s="1">
        <v>1037</v>
      </c>
      <c r="S322" s="1">
        <v>3562.8</v>
      </c>
      <c r="T322" s="1" t="s">
        <v>713</v>
      </c>
      <c r="U322" s="1">
        <v>75445</v>
      </c>
      <c r="V322" s="1">
        <v>29868</v>
      </c>
      <c r="W322" s="1">
        <v>191</v>
      </c>
      <c r="X322" s="1">
        <v>0</v>
      </c>
      <c r="Y322" s="1">
        <v>0</v>
      </c>
    </row>
    <row r="323" spans="1:25" x14ac:dyDescent="0.35">
      <c r="A323" s="1">
        <v>7796</v>
      </c>
      <c r="B323" s="12">
        <v>44666</v>
      </c>
      <c r="C323" s="12" t="s">
        <v>177</v>
      </c>
      <c r="D323" s="1" t="s">
        <v>720</v>
      </c>
      <c r="E323" s="1">
        <v>6.3</v>
      </c>
      <c r="F323" s="53">
        <v>0</v>
      </c>
      <c r="G323" s="1">
        <v>8.5</v>
      </c>
      <c r="H323" s="1">
        <v>1.1000000000000001</v>
      </c>
      <c r="I323" s="1">
        <v>0.8</v>
      </c>
      <c r="J323" s="1">
        <v>0</v>
      </c>
      <c r="K323" s="1">
        <v>0</v>
      </c>
      <c r="L323" s="1">
        <v>0</v>
      </c>
      <c r="M323" s="1">
        <v>0</v>
      </c>
      <c r="N323" s="1">
        <v>0.2</v>
      </c>
      <c r="O323" s="1">
        <v>0.5</v>
      </c>
      <c r="P323" s="1">
        <v>1157.0999999999999</v>
      </c>
      <c r="Q323" s="1">
        <v>12.4</v>
      </c>
      <c r="R323" s="1">
        <v>1074.3</v>
      </c>
      <c r="S323" s="1">
        <v>3587.3</v>
      </c>
      <c r="T323" s="1" t="s">
        <v>718</v>
      </c>
      <c r="U323" s="1">
        <v>57130</v>
      </c>
      <c r="V323" s="1">
        <v>21287</v>
      </c>
      <c r="W323" s="1">
        <v>140</v>
      </c>
      <c r="X323" s="1">
        <v>0</v>
      </c>
      <c r="Y323" s="1">
        <v>0</v>
      </c>
    </row>
    <row r="324" spans="1:25" x14ac:dyDescent="0.35">
      <c r="A324" s="1">
        <v>7797</v>
      </c>
      <c r="B324" s="12">
        <v>44666</v>
      </c>
      <c r="C324" s="12" t="s">
        <v>184</v>
      </c>
      <c r="D324" s="1" t="s">
        <v>720</v>
      </c>
      <c r="E324" s="1">
        <v>6.4</v>
      </c>
      <c r="F324" s="53">
        <v>0</v>
      </c>
      <c r="G324" s="1">
        <v>4.9000000000000004</v>
      </c>
      <c r="H324" s="1">
        <v>1.3</v>
      </c>
      <c r="I324" s="1">
        <v>0.7</v>
      </c>
      <c r="J324" s="1">
        <v>0</v>
      </c>
      <c r="K324" s="1">
        <v>0</v>
      </c>
      <c r="L324" s="1">
        <v>0</v>
      </c>
      <c r="M324" s="1">
        <v>0</v>
      </c>
      <c r="N324" s="1">
        <v>0.5</v>
      </c>
      <c r="O324" s="1">
        <v>0.9</v>
      </c>
      <c r="P324" s="1">
        <v>1209.0999999999999</v>
      </c>
      <c r="Q324" s="1">
        <v>13.2</v>
      </c>
      <c r="R324" s="1">
        <v>1149.0999999999999</v>
      </c>
      <c r="S324" s="1">
        <v>3421.8</v>
      </c>
      <c r="T324" s="1" t="s">
        <v>813</v>
      </c>
      <c r="U324" s="1">
        <v>34299</v>
      </c>
      <c r="V324" s="1">
        <v>13061</v>
      </c>
      <c r="W324" s="1">
        <v>72</v>
      </c>
      <c r="X324" s="1">
        <v>0</v>
      </c>
      <c r="Y324" s="1">
        <v>0</v>
      </c>
    </row>
    <row r="325" spans="1:25" x14ac:dyDescent="0.35">
      <c r="A325" s="1">
        <v>7812</v>
      </c>
      <c r="B325" s="12">
        <v>44667</v>
      </c>
      <c r="C325" s="12" t="s">
        <v>249</v>
      </c>
      <c r="D325" s="1" t="s">
        <v>709</v>
      </c>
      <c r="E325" s="1">
        <v>15.3</v>
      </c>
      <c r="F325" s="53">
        <v>0</v>
      </c>
      <c r="G325" s="1">
        <v>8.4</v>
      </c>
      <c r="H325" s="1">
        <v>1.7</v>
      </c>
      <c r="I325" s="1">
        <v>1.4</v>
      </c>
      <c r="J325" s="1">
        <v>0.4</v>
      </c>
      <c r="K325" s="1">
        <v>0</v>
      </c>
      <c r="L325" s="1">
        <v>0</v>
      </c>
      <c r="M325" s="1">
        <v>0</v>
      </c>
      <c r="N325" s="1">
        <v>2.4</v>
      </c>
      <c r="O325" s="1">
        <v>1.4</v>
      </c>
      <c r="P325" s="1">
        <v>1346.8</v>
      </c>
      <c r="Q325" s="1">
        <v>501.6</v>
      </c>
      <c r="R325" s="1">
        <v>1255.9000000000001</v>
      </c>
      <c r="S325" s="1">
        <v>2380.1999999999998</v>
      </c>
      <c r="T325" s="1" t="s">
        <v>713</v>
      </c>
      <c r="U325" s="1">
        <v>72610</v>
      </c>
      <c r="V325" s="1">
        <v>23659</v>
      </c>
      <c r="W325" s="1">
        <v>182</v>
      </c>
      <c r="X325" s="1">
        <v>0</v>
      </c>
      <c r="Y325" s="1">
        <v>0</v>
      </c>
    </row>
    <row r="326" spans="1:25" x14ac:dyDescent="0.35">
      <c r="A326" s="1">
        <v>7813</v>
      </c>
      <c r="B326" s="12">
        <v>44667</v>
      </c>
      <c r="C326" s="12" t="s">
        <v>250</v>
      </c>
      <c r="D326" s="1" t="s">
        <v>735</v>
      </c>
      <c r="E326" s="1">
        <v>11.4</v>
      </c>
      <c r="F326" s="53">
        <v>0</v>
      </c>
      <c r="G326" s="1">
        <v>14.3</v>
      </c>
      <c r="H326" s="1">
        <v>1.2</v>
      </c>
      <c r="I326" s="1">
        <v>1</v>
      </c>
      <c r="J326" s="1">
        <v>0</v>
      </c>
      <c r="K326" s="1">
        <v>0.2</v>
      </c>
      <c r="L326" s="1">
        <v>0</v>
      </c>
      <c r="M326" s="1">
        <v>0</v>
      </c>
      <c r="N326" s="1">
        <v>0.8</v>
      </c>
      <c r="O326" s="1">
        <v>1.5</v>
      </c>
      <c r="P326" s="1">
        <v>1089.5999999999999</v>
      </c>
      <c r="Q326" s="1">
        <v>14.3</v>
      </c>
      <c r="R326" s="1">
        <v>1051.0999999999999</v>
      </c>
      <c r="S326" s="1">
        <v>3574.8</v>
      </c>
      <c r="T326" s="1" t="s">
        <v>748</v>
      </c>
      <c r="U326" s="1">
        <v>100707</v>
      </c>
      <c r="V326" s="1">
        <v>38062</v>
      </c>
      <c r="W326" s="1">
        <v>203</v>
      </c>
      <c r="X326" s="1">
        <v>0</v>
      </c>
      <c r="Y326" s="1">
        <v>0</v>
      </c>
    </row>
    <row r="327" spans="1:25" x14ac:dyDescent="0.35">
      <c r="A327" s="1">
        <v>7814</v>
      </c>
      <c r="B327" s="12">
        <v>44667</v>
      </c>
      <c r="C327" s="12" t="s">
        <v>251</v>
      </c>
      <c r="D327" s="1" t="s">
        <v>757</v>
      </c>
      <c r="E327" s="1">
        <v>25.1</v>
      </c>
      <c r="F327" s="53">
        <v>0</v>
      </c>
      <c r="G327" s="1">
        <v>14.1</v>
      </c>
      <c r="H327" s="1">
        <v>1.2</v>
      </c>
      <c r="I327" s="1">
        <v>1</v>
      </c>
      <c r="J327" s="1">
        <v>0.1</v>
      </c>
      <c r="K327" s="1">
        <v>0</v>
      </c>
      <c r="L327" s="1">
        <v>0</v>
      </c>
      <c r="M327" s="1">
        <v>0</v>
      </c>
      <c r="N327" s="1">
        <v>0.9</v>
      </c>
      <c r="O327" s="1">
        <v>1.5</v>
      </c>
      <c r="P327" s="1">
        <v>1116.5999999999999</v>
      </c>
      <c r="Q327" s="1">
        <v>13.8</v>
      </c>
      <c r="R327" s="1">
        <v>1067.0999999999999</v>
      </c>
      <c r="S327" s="1">
        <v>3636</v>
      </c>
      <c r="T327" s="1" t="s">
        <v>814</v>
      </c>
      <c r="U327" s="1">
        <v>21214</v>
      </c>
      <c r="V327" s="1">
        <v>6579</v>
      </c>
      <c r="W327" s="1">
        <v>113</v>
      </c>
      <c r="X327" s="1">
        <v>0</v>
      </c>
      <c r="Y327" s="1">
        <v>0</v>
      </c>
    </row>
    <row r="328" spans="1:25" x14ac:dyDescent="0.35">
      <c r="A328" s="1">
        <v>7815</v>
      </c>
      <c r="B328" s="12">
        <v>44668</v>
      </c>
      <c r="C328" s="12" t="s">
        <v>185</v>
      </c>
      <c r="D328" s="1" t="s">
        <v>709</v>
      </c>
      <c r="E328" s="1">
        <v>15.3</v>
      </c>
      <c r="F328" s="53">
        <v>0</v>
      </c>
      <c r="G328" s="1">
        <v>9.1</v>
      </c>
      <c r="H328" s="1">
        <v>1.6</v>
      </c>
      <c r="I328" s="1">
        <v>1.5</v>
      </c>
      <c r="J328" s="1">
        <v>0</v>
      </c>
      <c r="K328" s="1">
        <v>0</v>
      </c>
      <c r="L328" s="1">
        <v>0</v>
      </c>
      <c r="M328" s="1">
        <v>0</v>
      </c>
      <c r="N328" s="1">
        <v>1.9</v>
      </c>
      <c r="O328" s="1">
        <v>1.4</v>
      </c>
      <c r="P328" s="1">
        <v>1400.7</v>
      </c>
      <c r="Q328" s="1">
        <v>506.5</v>
      </c>
      <c r="R328" s="1">
        <v>1271.4000000000001</v>
      </c>
      <c r="S328" s="1">
        <v>2421</v>
      </c>
      <c r="T328" s="1" t="s">
        <v>713</v>
      </c>
      <c r="U328" s="1">
        <v>75196</v>
      </c>
      <c r="V328" s="1">
        <v>24901</v>
      </c>
      <c r="W328" s="1">
        <v>242</v>
      </c>
      <c r="X328" s="1">
        <v>0</v>
      </c>
      <c r="Y328" s="1">
        <v>0</v>
      </c>
    </row>
    <row r="329" spans="1:25" x14ac:dyDescent="0.35">
      <c r="A329" s="1">
        <v>7816</v>
      </c>
      <c r="B329" s="12">
        <v>44668</v>
      </c>
      <c r="C329" s="12" t="s">
        <v>252</v>
      </c>
      <c r="D329" s="1" t="s">
        <v>735</v>
      </c>
      <c r="E329" s="1">
        <v>11.4</v>
      </c>
      <c r="F329" s="53">
        <v>0</v>
      </c>
      <c r="G329" s="1">
        <v>11.1</v>
      </c>
      <c r="H329" s="1">
        <v>1.2</v>
      </c>
      <c r="I329" s="1">
        <v>0.8</v>
      </c>
      <c r="J329" s="1">
        <v>0</v>
      </c>
      <c r="K329" s="1">
        <v>0.1</v>
      </c>
      <c r="L329" s="1">
        <v>0</v>
      </c>
      <c r="M329" s="1">
        <v>0</v>
      </c>
      <c r="N329" s="1">
        <v>0.8</v>
      </c>
      <c r="O329" s="1">
        <v>1.9</v>
      </c>
      <c r="P329" s="1">
        <v>1151.4000000000001</v>
      </c>
      <c r="Q329" s="1">
        <v>14.5</v>
      </c>
      <c r="R329" s="1">
        <v>1112.0999999999999</v>
      </c>
      <c r="S329" s="1">
        <v>3468.8</v>
      </c>
      <c r="T329" s="1" t="s">
        <v>718</v>
      </c>
      <c r="U329" s="1">
        <v>78713</v>
      </c>
      <c r="V329" s="1">
        <v>29484</v>
      </c>
      <c r="W329" s="1">
        <v>114</v>
      </c>
      <c r="X329" s="1">
        <v>0</v>
      </c>
      <c r="Y329" s="1">
        <v>0</v>
      </c>
    </row>
    <row r="330" spans="1:25" x14ac:dyDescent="0.35">
      <c r="A330" s="1">
        <v>7817</v>
      </c>
      <c r="B330" s="12">
        <v>44668</v>
      </c>
      <c r="C330" s="12" t="s">
        <v>215</v>
      </c>
      <c r="D330" s="1" t="s">
        <v>757</v>
      </c>
      <c r="E330" s="1">
        <v>25.2</v>
      </c>
      <c r="F330" s="53">
        <v>0</v>
      </c>
      <c r="G330" s="1">
        <v>11.5</v>
      </c>
      <c r="H330" s="1">
        <v>1.4</v>
      </c>
      <c r="I330" s="1">
        <v>0.9</v>
      </c>
      <c r="J330" s="1">
        <v>0</v>
      </c>
      <c r="K330" s="1">
        <v>0.2</v>
      </c>
      <c r="L330" s="1">
        <v>0</v>
      </c>
      <c r="M330" s="1">
        <v>0</v>
      </c>
      <c r="N330" s="1">
        <v>0.4</v>
      </c>
      <c r="O330" s="1">
        <v>2.2000000000000002</v>
      </c>
      <c r="P330" s="1">
        <v>1243.2</v>
      </c>
      <c r="Q330" s="1">
        <v>17.2</v>
      </c>
      <c r="R330" s="1">
        <v>1193.8</v>
      </c>
      <c r="S330" s="1">
        <v>3370.1</v>
      </c>
      <c r="T330" s="1" t="s">
        <v>814</v>
      </c>
      <c r="U330" s="1">
        <v>33377</v>
      </c>
      <c r="V330" s="1">
        <v>8790</v>
      </c>
      <c r="W330" s="1">
        <v>134</v>
      </c>
      <c r="X330" s="1">
        <v>0</v>
      </c>
      <c r="Y330" s="1">
        <v>0</v>
      </c>
    </row>
    <row r="331" spans="1:25" x14ac:dyDescent="0.35">
      <c r="A331" s="1">
        <v>8179</v>
      </c>
      <c r="B331" s="12">
        <v>44672</v>
      </c>
      <c r="C331" s="1" t="s">
        <v>178</v>
      </c>
      <c r="D331" s="1" t="s">
        <v>720</v>
      </c>
      <c r="E331" s="1">
        <v>6.4</v>
      </c>
      <c r="F331" s="53">
        <v>0</v>
      </c>
      <c r="G331" s="1">
        <v>10.199999999999999</v>
      </c>
      <c r="H331" s="1">
        <v>1.3</v>
      </c>
      <c r="I331" s="1">
        <v>0.8</v>
      </c>
      <c r="J331" s="1">
        <v>0.1</v>
      </c>
      <c r="K331" s="1">
        <v>0</v>
      </c>
      <c r="L331" s="1">
        <v>0</v>
      </c>
      <c r="M331" s="1">
        <v>0.2</v>
      </c>
      <c r="N331" s="1">
        <v>1</v>
      </c>
      <c r="O331" s="1">
        <v>1.3</v>
      </c>
      <c r="P331" s="1">
        <v>1082.3</v>
      </c>
      <c r="Q331" s="1">
        <v>13.7</v>
      </c>
      <c r="R331" s="1">
        <v>1030.5999999999999</v>
      </c>
      <c r="S331" s="1">
        <v>3472</v>
      </c>
      <c r="T331" s="1" t="s">
        <v>718</v>
      </c>
      <c r="U331" s="1">
        <v>77319</v>
      </c>
      <c r="V331" s="1">
        <v>30285</v>
      </c>
      <c r="W331" s="1">
        <v>143</v>
      </c>
      <c r="X331" s="1">
        <v>0</v>
      </c>
      <c r="Y331" s="1">
        <v>0</v>
      </c>
    </row>
    <row r="332" spans="1:25" x14ac:dyDescent="0.35">
      <c r="A332" s="1">
        <v>8180</v>
      </c>
      <c r="B332" s="12">
        <v>44672</v>
      </c>
      <c r="C332" s="1" t="s">
        <v>179</v>
      </c>
      <c r="D332" s="1" t="s">
        <v>709</v>
      </c>
      <c r="E332" s="1">
        <v>15.3</v>
      </c>
      <c r="F332" s="53">
        <v>0</v>
      </c>
      <c r="G332" s="1">
        <v>4.7</v>
      </c>
      <c r="H332" s="1">
        <v>1.8</v>
      </c>
      <c r="I332" s="1">
        <v>1.2</v>
      </c>
      <c r="J332" s="1">
        <v>0.1</v>
      </c>
      <c r="K332" s="1">
        <v>0</v>
      </c>
      <c r="L332" s="1">
        <v>0</v>
      </c>
      <c r="M332" s="1">
        <v>0</v>
      </c>
      <c r="N332" s="1">
        <v>2.1</v>
      </c>
      <c r="O332" s="1">
        <v>0.8</v>
      </c>
      <c r="P332" s="1">
        <v>1326.9</v>
      </c>
      <c r="Q332" s="1">
        <v>468.8</v>
      </c>
      <c r="R332" s="1">
        <v>1184.4000000000001</v>
      </c>
      <c r="S332" s="1">
        <v>2225.5</v>
      </c>
      <c r="T332" s="1" t="s">
        <v>797</v>
      </c>
      <c r="U332" s="1">
        <v>149957</v>
      </c>
      <c r="V332" s="1">
        <v>50373</v>
      </c>
      <c r="W332" s="1">
        <v>393</v>
      </c>
      <c r="X332" s="1">
        <v>15</v>
      </c>
      <c r="Y332" s="1">
        <v>0</v>
      </c>
    </row>
    <row r="333" spans="1:25" x14ac:dyDescent="0.35">
      <c r="A333" s="1">
        <v>8181</v>
      </c>
      <c r="B333" s="12">
        <v>44672</v>
      </c>
      <c r="C333" s="1" t="s">
        <v>184</v>
      </c>
      <c r="D333" s="1" t="s">
        <v>720</v>
      </c>
      <c r="E333" s="1">
        <v>6.3</v>
      </c>
      <c r="F333" s="53">
        <v>0</v>
      </c>
      <c r="G333" s="1">
        <v>8.8000000000000007</v>
      </c>
      <c r="H333" s="1">
        <v>1.1000000000000001</v>
      </c>
      <c r="I333" s="1">
        <v>0.7</v>
      </c>
      <c r="J333" s="1">
        <v>0.1</v>
      </c>
      <c r="K333" s="1">
        <v>0</v>
      </c>
      <c r="L333" s="1">
        <v>0</v>
      </c>
      <c r="M333" s="1">
        <v>0</v>
      </c>
      <c r="N333" s="1">
        <v>0.5</v>
      </c>
      <c r="O333" s="1">
        <v>1.2</v>
      </c>
      <c r="P333" s="1">
        <v>1121.5999999999999</v>
      </c>
      <c r="Q333" s="1">
        <v>14.4</v>
      </c>
      <c r="R333" s="1">
        <v>1064.0999999999999</v>
      </c>
      <c r="S333" s="1">
        <v>3448.1</v>
      </c>
      <c r="T333" s="1" t="s">
        <v>713</v>
      </c>
      <c r="U333" s="1">
        <v>67478</v>
      </c>
      <c r="V333" s="1">
        <v>26147</v>
      </c>
      <c r="W333" s="1">
        <v>226</v>
      </c>
      <c r="X333" s="1">
        <v>0</v>
      </c>
      <c r="Y333" s="1">
        <v>0</v>
      </c>
    </row>
    <row r="334" spans="1:25" x14ac:dyDescent="0.35">
      <c r="A334" s="1">
        <v>8182</v>
      </c>
      <c r="B334" s="12">
        <v>44672</v>
      </c>
      <c r="C334" s="1" t="s">
        <v>176</v>
      </c>
      <c r="D334" s="1" t="s">
        <v>709</v>
      </c>
      <c r="E334" s="1">
        <v>15.1</v>
      </c>
      <c r="F334" s="53">
        <v>0</v>
      </c>
      <c r="G334" s="1">
        <v>5.4</v>
      </c>
      <c r="H334" s="1">
        <v>1.7</v>
      </c>
      <c r="I334" s="1">
        <v>1.3</v>
      </c>
      <c r="J334" s="1">
        <v>0.1</v>
      </c>
      <c r="K334" s="1">
        <v>0</v>
      </c>
      <c r="L334" s="1">
        <v>0</v>
      </c>
      <c r="M334" s="1">
        <v>0</v>
      </c>
      <c r="N334" s="1">
        <v>2.1</v>
      </c>
      <c r="O334" s="1">
        <v>0.9</v>
      </c>
      <c r="P334" s="1">
        <v>1409.9</v>
      </c>
      <c r="Q334" s="1">
        <v>494.4</v>
      </c>
      <c r="R334" s="1">
        <v>1263.4000000000001</v>
      </c>
      <c r="S334" s="1">
        <v>2367.6999999999998</v>
      </c>
      <c r="T334" s="1" t="s">
        <v>713</v>
      </c>
      <c r="U334" s="1">
        <v>74473</v>
      </c>
      <c r="V334" s="1">
        <v>26017</v>
      </c>
      <c r="W334" s="1">
        <v>212</v>
      </c>
      <c r="X334" s="1">
        <v>0</v>
      </c>
      <c r="Y334" s="1">
        <v>0</v>
      </c>
    </row>
    <row r="335" spans="1:25" x14ac:dyDescent="0.35">
      <c r="A335" s="1">
        <v>8507</v>
      </c>
      <c r="B335" s="12">
        <v>44676</v>
      </c>
      <c r="C335" s="1" t="s">
        <v>249</v>
      </c>
      <c r="D335" s="1" t="s">
        <v>720</v>
      </c>
      <c r="E335" s="1">
        <v>6.2</v>
      </c>
      <c r="F335" s="53">
        <v>0</v>
      </c>
      <c r="G335" s="1">
        <v>8.1999999999999993</v>
      </c>
      <c r="H335" s="1">
        <v>1.3</v>
      </c>
      <c r="I335" s="1">
        <v>1.3</v>
      </c>
      <c r="J335" s="1">
        <v>0</v>
      </c>
      <c r="K335" s="1">
        <v>0</v>
      </c>
      <c r="L335" s="1">
        <v>0</v>
      </c>
      <c r="M335" s="1">
        <v>0</v>
      </c>
      <c r="N335" s="1">
        <v>0.1</v>
      </c>
      <c r="O335" s="1">
        <v>1.1000000000000001</v>
      </c>
      <c r="P335" s="1">
        <v>1012.8</v>
      </c>
      <c r="Q335" s="1">
        <v>9.6999999999999993</v>
      </c>
      <c r="R335" s="1">
        <v>949.7</v>
      </c>
      <c r="S335" s="1">
        <v>3189.5</v>
      </c>
      <c r="T335" s="1" t="s">
        <v>810</v>
      </c>
      <c r="U335" s="1">
        <v>24487</v>
      </c>
      <c r="V335" s="1">
        <v>9881</v>
      </c>
      <c r="W335" s="1">
        <v>492</v>
      </c>
      <c r="X335" s="1">
        <v>0</v>
      </c>
      <c r="Y335" s="1">
        <v>0</v>
      </c>
    </row>
    <row r="336" spans="1:25" x14ac:dyDescent="0.35">
      <c r="A336" s="1">
        <v>8508</v>
      </c>
      <c r="B336" s="12">
        <v>44676</v>
      </c>
      <c r="C336" s="1" t="s">
        <v>250</v>
      </c>
      <c r="D336" s="1" t="s">
        <v>720</v>
      </c>
      <c r="E336" s="1">
        <v>6.1</v>
      </c>
      <c r="F336" s="53">
        <v>0</v>
      </c>
      <c r="G336" s="1">
        <v>7.6</v>
      </c>
      <c r="H336" s="1">
        <v>1.1000000000000001</v>
      </c>
      <c r="I336" s="1">
        <v>1.3</v>
      </c>
      <c r="J336" s="1">
        <v>0</v>
      </c>
      <c r="K336" s="1">
        <v>0.1</v>
      </c>
      <c r="L336" s="1">
        <v>0</v>
      </c>
      <c r="M336" s="1">
        <v>0</v>
      </c>
      <c r="N336" s="1">
        <v>0</v>
      </c>
      <c r="O336" s="1">
        <v>0.9</v>
      </c>
      <c r="P336" s="1">
        <v>1001.8</v>
      </c>
      <c r="Q336" s="1">
        <v>9.5</v>
      </c>
      <c r="R336" s="1">
        <v>939</v>
      </c>
      <c r="S336" s="1">
        <v>3133</v>
      </c>
      <c r="T336" s="1" t="s">
        <v>801</v>
      </c>
      <c r="U336" s="1">
        <v>24340</v>
      </c>
      <c r="V336" s="1">
        <v>10568</v>
      </c>
      <c r="W336" s="1">
        <v>529</v>
      </c>
      <c r="X336" s="1">
        <v>0</v>
      </c>
      <c r="Y336" s="1">
        <v>0</v>
      </c>
    </row>
    <row r="337" spans="1:25" x14ac:dyDescent="0.35">
      <c r="A337" s="1">
        <v>8509</v>
      </c>
      <c r="B337" s="12">
        <v>44676</v>
      </c>
      <c r="C337" s="1" t="s">
        <v>251</v>
      </c>
      <c r="D337" s="1" t="s">
        <v>720</v>
      </c>
      <c r="E337" s="1">
        <v>6.1</v>
      </c>
      <c r="F337" s="53">
        <v>0</v>
      </c>
      <c r="G337" s="1">
        <v>7.3</v>
      </c>
      <c r="H337" s="1">
        <v>1.1000000000000001</v>
      </c>
      <c r="I337" s="1">
        <v>1.4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0.9</v>
      </c>
      <c r="P337" s="1">
        <v>993</v>
      </c>
      <c r="Q337" s="1">
        <v>9.4</v>
      </c>
      <c r="R337" s="1">
        <v>927.7</v>
      </c>
      <c r="S337" s="1">
        <v>3111.8</v>
      </c>
      <c r="T337" s="1" t="s">
        <v>801</v>
      </c>
      <c r="U337" s="1">
        <v>24115</v>
      </c>
      <c r="V337" s="1">
        <v>10745</v>
      </c>
      <c r="W337" s="1">
        <v>579</v>
      </c>
      <c r="X337" s="1">
        <v>0</v>
      </c>
      <c r="Y337" s="1">
        <v>0</v>
      </c>
    </row>
    <row r="338" spans="1:25" x14ac:dyDescent="0.35">
      <c r="A338" s="1">
        <v>8510</v>
      </c>
      <c r="B338" s="12">
        <v>44676</v>
      </c>
      <c r="C338" s="1" t="s">
        <v>184</v>
      </c>
      <c r="D338" s="1" t="s">
        <v>720</v>
      </c>
      <c r="E338" s="1">
        <v>6.1</v>
      </c>
      <c r="F338" s="53">
        <v>0</v>
      </c>
      <c r="G338" s="1">
        <v>10.1</v>
      </c>
      <c r="H338" s="1">
        <v>1.4</v>
      </c>
      <c r="I338" s="1">
        <v>0.9</v>
      </c>
      <c r="J338" s="1">
        <v>0.1</v>
      </c>
      <c r="K338" s="1">
        <v>0</v>
      </c>
      <c r="L338" s="1">
        <v>0</v>
      </c>
      <c r="M338" s="1">
        <v>0</v>
      </c>
      <c r="N338" s="1">
        <v>0.3</v>
      </c>
      <c r="O338" s="1">
        <v>0.9</v>
      </c>
      <c r="P338" s="1">
        <v>1021.5</v>
      </c>
      <c r="Q338" s="1">
        <v>12.2</v>
      </c>
      <c r="R338" s="1">
        <v>934.5</v>
      </c>
      <c r="S338" s="1">
        <v>3075.4</v>
      </c>
      <c r="T338" s="1" t="s">
        <v>713</v>
      </c>
      <c r="U338" s="1">
        <v>75279</v>
      </c>
      <c r="V338" s="1">
        <v>29528</v>
      </c>
      <c r="W338" s="1">
        <v>208</v>
      </c>
      <c r="X338" s="1">
        <v>0</v>
      </c>
      <c r="Y338" s="1">
        <v>0</v>
      </c>
    </row>
    <row r="339" spans="1:25" x14ac:dyDescent="0.35">
      <c r="A339" s="1">
        <v>8718</v>
      </c>
      <c r="B339" s="12">
        <v>44679</v>
      </c>
      <c r="C339" s="1" t="s">
        <v>162</v>
      </c>
      <c r="D339" s="1" t="s">
        <v>723</v>
      </c>
      <c r="E339" s="1">
        <v>15.5</v>
      </c>
      <c r="F339" s="53">
        <v>0</v>
      </c>
      <c r="G339" s="1">
        <v>6.3</v>
      </c>
      <c r="H339" s="1">
        <v>1.4</v>
      </c>
      <c r="I339" s="1">
        <v>1.2</v>
      </c>
      <c r="J339" s="1">
        <v>0</v>
      </c>
      <c r="K339" s="1">
        <v>0</v>
      </c>
      <c r="L339" s="1">
        <v>0</v>
      </c>
      <c r="M339" s="1">
        <v>0</v>
      </c>
      <c r="N339" s="1">
        <v>1.3</v>
      </c>
      <c r="O339" s="1">
        <v>0.1</v>
      </c>
      <c r="P339" s="1">
        <v>1103.3</v>
      </c>
      <c r="Q339" s="1">
        <v>445.6</v>
      </c>
      <c r="R339" s="1">
        <v>1136.5</v>
      </c>
      <c r="S339" s="1">
        <v>2118.8000000000002</v>
      </c>
      <c r="T339" s="1" t="s">
        <v>713</v>
      </c>
      <c r="U339" s="1">
        <v>67319</v>
      </c>
      <c r="V339" s="1">
        <v>22403</v>
      </c>
      <c r="W339" s="1">
        <v>162</v>
      </c>
      <c r="X339" s="1">
        <v>0</v>
      </c>
      <c r="Y339" s="1">
        <v>0</v>
      </c>
    </row>
    <row r="340" spans="1:25" x14ac:dyDescent="0.35">
      <c r="A340" s="1">
        <v>8719</v>
      </c>
      <c r="B340" s="12">
        <v>44679</v>
      </c>
      <c r="C340" s="1" t="s">
        <v>163</v>
      </c>
      <c r="D340" s="1" t="s">
        <v>746</v>
      </c>
      <c r="E340" s="1">
        <v>6.1</v>
      </c>
      <c r="F340" s="53">
        <v>0</v>
      </c>
      <c r="G340" s="1">
        <v>9.4</v>
      </c>
      <c r="H340" s="1">
        <v>0.9</v>
      </c>
      <c r="I340" s="1">
        <v>1.1000000000000001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0.9</v>
      </c>
      <c r="P340" s="1">
        <v>854.5</v>
      </c>
      <c r="Q340" s="1">
        <v>9.9</v>
      </c>
      <c r="R340" s="1">
        <v>930.5</v>
      </c>
      <c r="S340" s="1">
        <v>3103.8</v>
      </c>
      <c r="T340" s="1" t="s">
        <v>801</v>
      </c>
      <c r="U340" s="1">
        <v>31907</v>
      </c>
      <c r="V340" s="1">
        <v>12277</v>
      </c>
      <c r="W340" s="1">
        <v>523</v>
      </c>
      <c r="X340" s="1">
        <v>0</v>
      </c>
      <c r="Y340" s="1">
        <v>0</v>
      </c>
    </row>
    <row r="341" spans="1:25" x14ac:dyDescent="0.35">
      <c r="A341" s="1">
        <v>8720</v>
      </c>
      <c r="B341" s="12">
        <v>44679</v>
      </c>
      <c r="C341" s="1" t="s">
        <v>164</v>
      </c>
      <c r="D341" s="1" t="s">
        <v>746</v>
      </c>
      <c r="E341" s="1">
        <v>6.1</v>
      </c>
      <c r="F341" s="53">
        <v>0</v>
      </c>
      <c r="G341" s="1">
        <v>9.6999999999999993</v>
      </c>
      <c r="H341" s="1">
        <v>1</v>
      </c>
      <c r="I341" s="1">
        <v>1.2</v>
      </c>
      <c r="J341" s="1">
        <v>0.2</v>
      </c>
      <c r="K341" s="1">
        <v>0</v>
      </c>
      <c r="L341" s="1">
        <v>0</v>
      </c>
      <c r="M341" s="1">
        <v>0</v>
      </c>
      <c r="N341" s="1">
        <v>0.1</v>
      </c>
      <c r="O341" s="1">
        <v>1.1000000000000001</v>
      </c>
      <c r="P341" s="1">
        <v>868.3</v>
      </c>
      <c r="Q341" s="1">
        <v>9.5</v>
      </c>
      <c r="R341" s="1">
        <v>963.5</v>
      </c>
      <c r="S341" s="1">
        <v>3278</v>
      </c>
      <c r="T341" s="1" t="s">
        <v>801</v>
      </c>
      <c r="U341" s="1">
        <v>30113</v>
      </c>
      <c r="V341" s="1">
        <v>11982</v>
      </c>
      <c r="W341" s="1">
        <v>566</v>
      </c>
      <c r="X341" s="1">
        <v>0</v>
      </c>
      <c r="Y341" s="1">
        <v>0</v>
      </c>
    </row>
    <row r="342" spans="1:25" x14ac:dyDescent="0.35">
      <c r="A342" s="1">
        <v>8721</v>
      </c>
      <c r="B342" s="12">
        <v>44679</v>
      </c>
      <c r="C342" s="1" t="s">
        <v>191</v>
      </c>
      <c r="D342" s="1" t="s">
        <v>723</v>
      </c>
      <c r="E342" s="1">
        <v>15.1</v>
      </c>
      <c r="F342" s="53">
        <v>0</v>
      </c>
      <c r="G342" s="1">
        <v>6.1</v>
      </c>
      <c r="H342" s="1">
        <v>1.2</v>
      </c>
      <c r="I342" s="1">
        <v>1.2</v>
      </c>
      <c r="J342" s="1">
        <v>0.1</v>
      </c>
      <c r="K342" s="1">
        <v>0.2</v>
      </c>
      <c r="L342" s="1">
        <v>0</v>
      </c>
      <c r="M342" s="1">
        <v>0</v>
      </c>
      <c r="N342" s="1">
        <v>1.3</v>
      </c>
      <c r="O342" s="1">
        <v>0.3</v>
      </c>
      <c r="P342" s="1">
        <v>1112.3</v>
      </c>
      <c r="Q342" s="1">
        <v>444.2</v>
      </c>
      <c r="R342" s="1">
        <v>1156.7</v>
      </c>
      <c r="S342" s="1">
        <v>2181.1999999999998</v>
      </c>
      <c r="T342" s="1" t="s">
        <v>764</v>
      </c>
      <c r="U342" s="1">
        <v>82124</v>
      </c>
      <c r="V342" s="1">
        <v>25739</v>
      </c>
      <c r="W342" s="1">
        <v>360</v>
      </c>
      <c r="X342" s="1">
        <v>0</v>
      </c>
      <c r="Y342" s="1">
        <v>0</v>
      </c>
    </row>
    <row r="343" spans="1:25" x14ac:dyDescent="0.35">
      <c r="A343" s="1">
        <v>8722</v>
      </c>
      <c r="B343" s="12">
        <v>44679</v>
      </c>
      <c r="C343" s="1" t="s">
        <v>192</v>
      </c>
      <c r="D343" s="1" t="s">
        <v>746</v>
      </c>
      <c r="E343" s="1">
        <v>6.1</v>
      </c>
      <c r="F343" s="53">
        <v>0</v>
      </c>
      <c r="G343" s="1">
        <v>9.9</v>
      </c>
      <c r="H343" s="1">
        <v>0.8</v>
      </c>
      <c r="I343" s="1">
        <v>0.8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1.2</v>
      </c>
      <c r="P343" s="1">
        <v>858</v>
      </c>
      <c r="Q343" s="1">
        <v>11.8</v>
      </c>
      <c r="R343" s="1">
        <v>941.8</v>
      </c>
      <c r="S343" s="1">
        <v>3219.7</v>
      </c>
      <c r="T343" s="1" t="s">
        <v>748</v>
      </c>
      <c r="U343" s="1">
        <v>84310</v>
      </c>
      <c r="V343" s="1">
        <v>32531</v>
      </c>
      <c r="W343" s="1">
        <v>248</v>
      </c>
      <c r="X343" s="1">
        <v>5</v>
      </c>
      <c r="Y343" s="1">
        <v>0</v>
      </c>
    </row>
    <row r="344" spans="1:25" x14ac:dyDescent="0.35">
      <c r="A344" s="1">
        <v>8905</v>
      </c>
      <c r="B344" s="12">
        <v>44681</v>
      </c>
      <c r="C344" s="1" t="s">
        <v>181</v>
      </c>
      <c r="D344" s="1" t="s">
        <v>746</v>
      </c>
      <c r="E344" s="1">
        <v>6.1</v>
      </c>
      <c r="F344" s="53">
        <v>0</v>
      </c>
      <c r="G344" s="1">
        <v>11.4</v>
      </c>
      <c r="H344" s="1">
        <v>1.4</v>
      </c>
      <c r="I344" s="1">
        <v>1.3</v>
      </c>
      <c r="J344" s="1">
        <v>0</v>
      </c>
      <c r="K344" s="1">
        <v>0</v>
      </c>
      <c r="L344" s="1">
        <v>0</v>
      </c>
      <c r="M344" s="1">
        <v>0</v>
      </c>
      <c r="N344" s="1">
        <v>0.4</v>
      </c>
      <c r="O344" s="1">
        <v>1</v>
      </c>
      <c r="P344" s="1">
        <v>946.5</v>
      </c>
      <c r="Q344" s="1">
        <v>10</v>
      </c>
      <c r="R344" s="1">
        <v>1009.6</v>
      </c>
      <c r="S344" s="1">
        <v>3458.8</v>
      </c>
      <c r="T344" s="1" t="s">
        <v>810</v>
      </c>
      <c r="U344" s="1">
        <v>23524</v>
      </c>
      <c r="V344" s="1">
        <v>9722</v>
      </c>
      <c r="W344" s="1">
        <v>588</v>
      </c>
      <c r="X344" s="1">
        <v>0</v>
      </c>
      <c r="Y344" s="1">
        <v>0</v>
      </c>
    </row>
    <row r="345" spans="1:25" x14ac:dyDescent="0.35">
      <c r="A345" s="1">
        <v>8906</v>
      </c>
      <c r="B345" s="12">
        <v>44681</v>
      </c>
      <c r="C345" s="1" t="s">
        <v>182</v>
      </c>
      <c r="D345" s="1" t="s">
        <v>746</v>
      </c>
      <c r="E345" s="1">
        <v>6.1</v>
      </c>
      <c r="F345" s="53">
        <v>0</v>
      </c>
      <c r="G345" s="1">
        <v>10.7</v>
      </c>
      <c r="H345" s="1">
        <v>1</v>
      </c>
      <c r="I345" s="1">
        <v>1.2</v>
      </c>
      <c r="J345" s="1">
        <v>0.1</v>
      </c>
      <c r="K345" s="1">
        <v>0</v>
      </c>
      <c r="L345" s="1">
        <v>0</v>
      </c>
      <c r="M345" s="1">
        <v>0</v>
      </c>
      <c r="N345" s="1">
        <v>0.5</v>
      </c>
      <c r="O345" s="1">
        <v>1</v>
      </c>
      <c r="P345" s="1">
        <v>927.6</v>
      </c>
      <c r="Q345" s="1">
        <v>9.4</v>
      </c>
      <c r="R345" s="1">
        <v>1010.9</v>
      </c>
      <c r="S345" s="1">
        <v>3440.3</v>
      </c>
      <c r="T345" s="1" t="s">
        <v>810</v>
      </c>
      <c r="U345" s="1">
        <v>23066</v>
      </c>
      <c r="V345" s="1">
        <v>9464</v>
      </c>
      <c r="W345" s="1">
        <v>579</v>
      </c>
      <c r="X345" s="1">
        <v>0</v>
      </c>
      <c r="Y345" s="1">
        <v>0</v>
      </c>
    </row>
    <row r="346" spans="1:25" x14ac:dyDescent="0.35">
      <c r="A346" s="1">
        <v>8907</v>
      </c>
      <c r="B346" s="12">
        <v>44681</v>
      </c>
      <c r="C346" s="1" t="s">
        <v>183</v>
      </c>
      <c r="D346" s="1" t="s">
        <v>746</v>
      </c>
      <c r="E346" s="1">
        <v>6.2</v>
      </c>
      <c r="F346" s="53">
        <v>0</v>
      </c>
      <c r="G346" s="1">
        <v>11.7</v>
      </c>
      <c r="H346" s="1">
        <v>1.1000000000000001</v>
      </c>
      <c r="I346" s="1">
        <v>1.1000000000000001</v>
      </c>
      <c r="J346" s="1">
        <v>0</v>
      </c>
      <c r="K346" s="1">
        <v>0</v>
      </c>
      <c r="L346" s="1">
        <v>0</v>
      </c>
      <c r="M346" s="1">
        <v>0</v>
      </c>
      <c r="N346" s="1">
        <v>0.5</v>
      </c>
      <c r="O346" s="1">
        <v>1.2</v>
      </c>
      <c r="P346" s="1">
        <v>928.4</v>
      </c>
      <c r="Q346" s="1">
        <v>9.4</v>
      </c>
      <c r="R346" s="1">
        <v>1005.1</v>
      </c>
      <c r="S346" s="1">
        <v>3450</v>
      </c>
      <c r="T346" s="1" t="s">
        <v>801</v>
      </c>
      <c r="U346" s="1">
        <v>29675</v>
      </c>
      <c r="V346" s="1">
        <v>12642</v>
      </c>
      <c r="W346" s="1">
        <v>635</v>
      </c>
      <c r="X346" s="1">
        <v>0</v>
      </c>
      <c r="Y346" s="1">
        <v>0</v>
      </c>
    </row>
    <row r="347" spans="1:25" x14ac:dyDescent="0.35">
      <c r="A347" s="1">
        <v>8908</v>
      </c>
      <c r="B347" s="12">
        <v>44681</v>
      </c>
      <c r="C347" s="1" t="s">
        <v>172</v>
      </c>
      <c r="D347" s="1" t="s">
        <v>746</v>
      </c>
      <c r="E347" s="1">
        <v>6.1</v>
      </c>
      <c r="F347" s="53">
        <v>0</v>
      </c>
      <c r="G347" s="1">
        <v>12.8</v>
      </c>
      <c r="H347" s="1">
        <v>0.9</v>
      </c>
      <c r="I347" s="1">
        <v>1.1000000000000001</v>
      </c>
      <c r="J347" s="1">
        <v>0</v>
      </c>
      <c r="K347" s="1">
        <v>0</v>
      </c>
      <c r="L347" s="1">
        <v>0</v>
      </c>
      <c r="M347" s="1">
        <v>0</v>
      </c>
      <c r="N347" s="1">
        <v>0.2</v>
      </c>
      <c r="O347" s="1">
        <v>1</v>
      </c>
      <c r="P347" s="1">
        <v>935.3</v>
      </c>
      <c r="Q347" s="1">
        <v>10.3</v>
      </c>
      <c r="R347" s="1">
        <v>1006.8</v>
      </c>
      <c r="S347" s="1">
        <v>3416.9</v>
      </c>
      <c r="T347" s="1" t="s">
        <v>710</v>
      </c>
      <c r="U347" s="1">
        <v>55868</v>
      </c>
      <c r="V347" s="1">
        <v>21817</v>
      </c>
      <c r="W347" s="1">
        <v>472</v>
      </c>
      <c r="X347" s="1">
        <v>0</v>
      </c>
      <c r="Y347" s="1">
        <v>0</v>
      </c>
    </row>
    <row r="348" spans="1:25" x14ac:dyDescent="0.35">
      <c r="A348" s="1">
        <v>8909</v>
      </c>
      <c r="B348" s="12">
        <v>44681</v>
      </c>
      <c r="C348" s="1" t="s">
        <v>192</v>
      </c>
      <c r="D348" s="1" t="s">
        <v>746</v>
      </c>
      <c r="E348" s="1">
        <v>6.1</v>
      </c>
      <c r="F348" s="53">
        <v>0</v>
      </c>
      <c r="G348" s="1">
        <v>11.2</v>
      </c>
      <c r="H348" s="1">
        <v>0.8</v>
      </c>
      <c r="I348" s="1">
        <v>0.6</v>
      </c>
      <c r="J348" s="1">
        <v>0</v>
      </c>
      <c r="K348" s="1">
        <v>0</v>
      </c>
      <c r="L348" s="1">
        <v>0</v>
      </c>
      <c r="M348" s="1">
        <v>0</v>
      </c>
      <c r="N348" s="1">
        <v>0.3</v>
      </c>
      <c r="O348" s="1">
        <v>0.8</v>
      </c>
      <c r="P348" s="1">
        <v>937.7</v>
      </c>
      <c r="Q348" s="1">
        <v>11.6</v>
      </c>
      <c r="R348" s="1">
        <v>994.5</v>
      </c>
      <c r="S348" s="1">
        <v>3408.3</v>
      </c>
      <c r="T348" s="1" t="s">
        <v>718</v>
      </c>
      <c r="U348" s="1">
        <v>78871</v>
      </c>
      <c r="V348" s="1">
        <v>29456</v>
      </c>
      <c r="W348" s="1">
        <v>149</v>
      </c>
      <c r="X348" s="1">
        <v>3</v>
      </c>
      <c r="Y348" s="1">
        <v>0</v>
      </c>
    </row>
    <row r="349" spans="1:25" x14ac:dyDescent="0.35">
      <c r="A349" s="52">
        <v>363</v>
      </c>
      <c r="B349" s="253">
        <v>44682</v>
      </c>
      <c r="C349" s="254" t="s">
        <v>173</v>
      </c>
      <c r="D349" s="52" t="s">
        <v>709</v>
      </c>
      <c r="E349" s="54">
        <v>15</v>
      </c>
      <c r="F349" s="53">
        <v>0</v>
      </c>
      <c r="G349" s="55">
        <v>9.1999999999999993</v>
      </c>
      <c r="H349" s="55">
        <v>1.3</v>
      </c>
      <c r="I349" s="55">
        <v>1.2</v>
      </c>
      <c r="J349" s="55">
        <v>0.1</v>
      </c>
      <c r="K349" s="55">
        <v>0</v>
      </c>
      <c r="L349" s="55">
        <v>0</v>
      </c>
      <c r="M349" s="55">
        <v>0</v>
      </c>
      <c r="N349" s="55">
        <v>1.4</v>
      </c>
      <c r="O349" s="55">
        <v>0</v>
      </c>
      <c r="P349" s="55">
        <v>1328.1</v>
      </c>
      <c r="Q349" s="55">
        <v>454.7</v>
      </c>
      <c r="R349" s="55">
        <v>1195.3</v>
      </c>
      <c r="S349" s="55">
        <v>2310.6999999999998</v>
      </c>
      <c r="T349" s="254" t="s">
        <v>805</v>
      </c>
      <c r="U349" s="254">
        <v>322577</v>
      </c>
      <c r="V349" s="254">
        <v>90757</v>
      </c>
      <c r="W349" s="254">
        <v>5283</v>
      </c>
      <c r="X349" s="254">
        <v>137</v>
      </c>
      <c r="Y349" s="254">
        <v>5</v>
      </c>
    </row>
    <row r="350" spans="1:25" x14ac:dyDescent="0.35">
      <c r="A350" s="52">
        <v>364</v>
      </c>
      <c r="B350" s="253">
        <v>44682</v>
      </c>
      <c r="C350" s="254" t="s">
        <v>174</v>
      </c>
      <c r="D350" s="52" t="s">
        <v>709</v>
      </c>
      <c r="E350" s="54">
        <v>14.9</v>
      </c>
      <c r="F350" s="53">
        <v>0</v>
      </c>
      <c r="G350" s="55">
        <v>8.8000000000000007</v>
      </c>
      <c r="H350" s="55">
        <v>1.2</v>
      </c>
      <c r="I350" s="55">
        <v>1.2</v>
      </c>
      <c r="J350" s="55">
        <v>0</v>
      </c>
      <c r="K350" s="55">
        <v>0</v>
      </c>
      <c r="L350" s="55">
        <v>0</v>
      </c>
      <c r="M350" s="55">
        <v>0</v>
      </c>
      <c r="N350" s="55">
        <v>1.5</v>
      </c>
      <c r="O350" s="55">
        <v>0</v>
      </c>
      <c r="P350" s="55">
        <v>1276.4000000000001</v>
      </c>
      <c r="Q350" s="55">
        <v>438.4</v>
      </c>
      <c r="R350" s="55">
        <v>1157.9000000000001</v>
      </c>
      <c r="S350" s="55">
        <v>2233.9</v>
      </c>
      <c r="T350" s="254" t="s">
        <v>748</v>
      </c>
      <c r="U350" s="254">
        <v>88089</v>
      </c>
      <c r="V350" s="254">
        <v>28504</v>
      </c>
      <c r="W350" s="254">
        <v>265</v>
      </c>
      <c r="X350" s="254">
        <v>0</v>
      </c>
      <c r="Y350" s="254">
        <v>0</v>
      </c>
    </row>
    <row r="351" spans="1:25" x14ac:dyDescent="0.35">
      <c r="A351" s="52">
        <v>365</v>
      </c>
      <c r="B351" s="253">
        <v>44682</v>
      </c>
      <c r="C351" s="254" t="s">
        <v>175</v>
      </c>
      <c r="D351" s="52" t="s">
        <v>709</v>
      </c>
      <c r="E351" s="54">
        <v>15.1</v>
      </c>
      <c r="F351" s="53">
        <v>0</v>
      </c>
      <c r="G351" s="55">
        <v>8.6</v>
      </c>
      <c r="H351" s="55">
        <v>1.2</v>
      </c>
      <c r="I351" s="55">
        <v>1.1000000000000001</v>
      </c>
      <c r="J351" s="55">
        <v>0</v>
      </c>
      <c r="K351" s="55">
        <v>0</v>
      </c>
      <c r="L351" s="55">
        <v>0</v>
      </c>
      <c r="M351" s="55">
        <v>0</v>
      </c>
      <c r="N351" s="55">
        <v>1.2</v>
      </c>
      <c r="O351" s="55">
        <v>0</v>
      </c>
      <c r="P351" s="55">
        <v>1271.3</v>
      </c>
      <c r="Q351" s="55">
        <v>432.7</v>
      </c>
      <c r="R351" s="55">
        <v>1145.2</v>
      </c>
      <c r="S351" s="55">
        <v>2203.5</v>
      </c>
      <c r="T351" s="254" t="s">
        <v>806</v>
      </c>
      <c r="U351" s="254">
        <v>219718</v>
      </c>
      <c r="V351" s="254">
        <v>63722</v>
      </c>
      <c r="W351" s="254">
        <v>2320</v>
      </c>
      <c r="X351" s="254">
        <v>74</v>
      </c>
      <c r="Y351" s="254">
        <v>8</v>
      </c>
    </row>
    <row r="352" spans="1:25" x14ac:dyDescent="0.35">
      <c r="A352" s="52">
        <v>4535</v>
      </c>
      <c r="B352" s="253">
        <v>44684</v>
      </c>
      <c r="C352" s="254" t="s">
        <v>178</v>
      </c>
      <c r="D352" s="52" t="s">
        <v>709</v>
      </c>
      <c r="E352" s="54">
        <v>15.1</v>
      </c>
      <c r="F352" s="53">
        <v>0</v>
      </c>
      <c r="G352" s="55">
        <v>9.6</v>
      </c>
      <c r="H352" s="55">
        <v>1.5</v>
      </c>
      <c r="I352" s="55">
        <v>1.6</v>
      </c>
      <c r="J352" s="55">
        <v>0.2</v>
      </c>
      <c r="K352" s="55">
        <v>0</v>
      </c>
      <c r="L352" s="55">
        <v>0</v>
      </c>
      <c r="M352" s="55">
        <v>0</v>
      </c>
      <c r="N352" s="55">
        <v>1.2</v>
      </c>
      <c r="O352" s="55">
        <v>1.1000000000000001</v>
      </c>
      <c r="P352" s="55">
        <v>1430.2</v>
      </c>
      <c r="Q352" s="55">
        <v>495.2</v>
      </c>
      <c r="R352" s="55">
        <v>1262.3</v>
      </c>
      <c r="S352" s="55">
        <v>2303.1</v>
      </c>
      <c r="T352" s="254" t="s">
        <v>764</v>
      </c>
      <c r="U352" s="254">
        <v>90510</v>
      </c>
      <c r="V352" s="254">
        <v>31822</v>
      </c>
      <c r="W352" s="254">
        <v>540</v>
      </c>
      <c r="X352" s="254">
        <v>0</v>
      </c>
      <c r="Y352" s="254">
        <v>0</v>
      </c>
    </row>
    <row r="353" spans="1:25" x14ac:dyDescent="0.35">
      <c r="A353" s="52">
        <v>4536</v>
      </c>
      <c r="B353" s="253">
        <v>44684</v>
      </c>
      <c r="C353" s="254" t="s">
        <v>179</v>
      </c>
      <c r="D353" s="52" t="s">
        <v>720</v>
      </c>
      <c r="E353" s="54">
        <v>6.1</v>
      </c>
      <c r="F353" s="53">
        <v>0</v>
      </c>
      <c r="G353" s="55">
        <v>13.3</v>
      </c>
      <c r="H353" s="55">
        <v>1</v>
      </c>
      <c r="I353" s="55">
        <v>0.8</v>
      </c>
      <c r="J353" s="55">
        <v>0</v>
      </c>
      <c r="K353" s="55">
        <v>0</v>
      </c>
      <c r="L353" s="55">
        <v>0</v>
      </c>
      <c r="M353" s="55">
        <v>0.1</v>
      </c>
      <c r="N353" s="55">
        <v>0</v>
      </c>
      <c r="O353" s="55">
        <v>1</v>
      </c>
      <c r="P353" s="55">
        <v>1082.7</v>
      </c>
      <c r="Q353" s="55">
        <v>12.6</v>
      </c>
      <c r="R353" s="55">
        <v>1006.5</v>
      </c>
      <c r="S353" s="55">
        <v>3268.9</v>
      </c>
      <c r="T353" s="254" t="s">
        <v>809</v>
      </c>
      <c r="U353" s="254">
        <v>62412</v>
      </c>
      <c r="V353" s="254">
        <v>27975</v>
      </c>
      <c r="W353" s="254">
        <v>843</v>
      </c>
      <c r="X353" s="254">
        <v>0</v>
      </c>
      <c r="Y353" s="254">
        <v>0</v>
      </c>
    </row>
    <row r="354" spans="1:25" x14ac:dyDescent="0.35">
      <c r="A354" s="52">
        <v>4537</v>
      </c>
      <c r="B354" s="253">
        <v>44684</v>
      </c>
      <c r="C354" s="254" t="s">
        <v>180</v>
      </c>
      <c r="D354" s="52" t="s">
        <v>709</v>
      </c>
      <c r="E354" s="54">
        <v>15.1</v>
      </c>
      <c r="F354" s="53">
        <v>0</v>
      </c>
      <c r="G354" s="55">
        <v>9.4</v>
      </c>
      <c r="H354" s="55">
        <v>1.5</v>
      </c>
      <c r="I354" s="55">
        <v>1.5</v>
      </c>
      <c r="J354" s="55">
        <v>0.1</v>
      </c>
      <c r="K354" s="55">
        <v>0</v>
      </c>
      <c r="L354" s="55">
        <v>0</v>
      </c>
      <c r="M354" s="55">
        <v>0</v>
      </c>
      <c r="N354" s="55">
        <v>0.6</v>
      </c>
      <c r="O354" s="55">
        <v>0.8</v>
      </c>
      <c r="P354" s="55">
        <v>1425.6</v>
      </c>
      <c r="Q354" s="55">
        <v>496.4</v>
      </c>
      <c r="R354" s="55">
        <v>1258.3</v>
      </c>
      <c r="S354" s="55">
        <v>2305.4</v>
      </c>
      <c r="T354" s="254" t="s">
        <v>713</v>
      </c>
      <c r="U354" s="254">
        <v>77772</v>
      </c>
      <c r="V354" s="254">
        <v>27786</v>
      </c>
      <c r="W354" s="254">
        <v>165</v>
      </c>
      <c r="X354" s="254">
        <v>0</v>
      </c>
      <c r="Y354" s="254">
        <v>0</v>
      </c>
    </row>
    <row r="355" spans="1:25" x14ac:dyDescent="0.35">
      <c r="A355" s="1">
        <v>9281</v>
      </c>
      <c r="B355" s="12">
        <v>44686</v>
      </c>
      <c r="C355" s="1" t="s">
        <v>162</v>
      </c>
      <c r="D355" s="1" t="s">
        <v>746</v>
      </c>
      <c r="E355" s="1">
        <v>6.1</v>
      </c>
      <c r="F355" s="53">
        <v>0</v>
      </c>
      <c r="G355" s="1">
        <v>9.5</v>
      </c>
      <c r="H355" s="1">
        <v>1.3</v>
      </c>
      <c r="I355" s="1">
        <v>1.5</v>
      </c>
      <c r="J355" s="1">
        <v>0.1</v>
      </c>
      <c r="K355" s="1">
        <v>0</v>
      </c>
      <c r="L355" s="1">
        <v>0.1</v>
      </c>
      <c r="M355" s="1">
        <v>0</v>
      </c>
      <c r="N355" s="1">
        <v>0.6</v>
      </c>
      <c r="O355" s="1">
        <v>1.1000000000000001</v>
      </c>
      <c r="P355" s="1">
        <v>933.3</v>
      </c>
      <c r="Q355" s="1">
        <v>10.4</v>
      </c>
      <c r="R355" s="1">
        <v>1017</v>
      </c>
      <c r="S355" s="1">
        <v>3525.6</v>
      </c>
      <c r="T355" s="1" t="s">
        <v>801</v>
      </c>
      <c r="U355" s="1">
        <v>24013</v>
      </c>
      <c r="V355" s="1">
        <v>10056</v>
      </c>
      <c r="W355" s="1">
        <v>526</v>
      </c>
      <c r="X355" s="1">
        <v>3</v>
      </c>
      <c r="Y355" s="1">
        <v>0</v>
      </c>
    </row>
    <row r="356" spans="1:25" x14ac:dyDescent="0.35">
      <c r="A356" s="1">
        <v>9282</v>
      </c>
      <c r="B356" s="12">
        <v>44686</v>
      </c>
      <c r="C356" s="1" t="s">
        <v>163</v>
      </c>
      <c r="D356" s="1" t="s">
        <v>723</v>
      </c>
      <c r="E356" s="1">
        <v>15.4</v>
      </c>
      <c r="F356" s="53">
        <v>0</v>
      </c>
      <c r="G356" s="1">
        <v>6.8</v>
      </c>
      <c r="H356" s="1">
        <v>1.7</v>
      </c>
      <c r="I356" s="1">
        <v>1.6</v>
      </c>
      <c r="J356" s="1">
        <v>0</v>
      </c>
      <c r="K356" s="1">
        <v>0</v>
      </c>
      <c r="L356" s="1">
        <v>0.1</v>
      </c>
      <c r="M356" s="1">
        <v>0</v>
      </c>
      <c r="N356" s="1">
        <v>1.5</v>
      </c>
      <c r="O356" s="1">
        <v>0</v>
      </c>
      <c r="P356" s="1">
        <v>1213.5</v>
      </c>
      <c r="Q356" s="1">
        <v>484.5</v>
      </c>
      <c r="R356" s="1">
        <v>1243</v>
      </c>
      <c r="S356" s="1">
        <v>2379.9</v>
      </c>
      <c r="T356" s="1" t="s">
        <v>710</v>
      </c>
      <c r="U356" s="1">
        <v>71970</v>
      </c>
      <c r="V356" s="1">
        <v>27347</v>
      </c>
      <c r="W356" s="1">
        <v>336</v>
      </c>
      <c r="X356" s="1">
        <v>2</v>
      </c>
      <c r="Y356" s="1">
        <v>0</v>
      </c>
    </row>
    <row r="357" spans="1:25" x14ac:dyDescent="0.35">
      <c r="A357" s="1">
        <v>9283</v>
      </c>
      <c r="B357" s="12">
        <v>44686</v>
      </c>
      <c r="C357" s="1" t="s">
        <v>164</v>
      </c>
      <c r="D357" s="1" t="s">
        <v>723</v>
      </c>
      <c r="E357" s="1">
        <v>15.4</v>
      </c>
      <c r="F357" s="53">
        <v>0</v>
      </c>
      <c r="G357" s="1">
        <v>6.8</v>
      </c>
      <c r="H357" s="1">
        <v>1.6</v>
      </c>
      <c r="I357" s="1">
        <v>1.4</v>
      </c>
      <c r="J357" s="1">
        <v>0</v>
      </c>
      <c r="K357" s="1">
        <v>0</v>
      </c>
      <c r="L357" s="1">
        <v>0</v>
      </c>
      <c r="M357" s="1">
        <v>0</v>
      </c>
      <c r="N357" s="1">
        <v>1.3</v>
      </c>
      <c r="O357" s="1">
        <v>0</v>
      </c>
      <c r="P357" s="1">
        <v>1206.3</v>
      </c>
      <c r="Q357" s="1">
        <v>480.5</v>
      </c>
      <c r="R357" s="1">
        <v>1234.0999999999999</v>
      </c>
      <c r="S357" s="1">
        <v>2363</v>
      </c>
      <c r="T357" s="1" t="s">
        <v>710</v>
      </c>
      <c r="U357" s="1">
        <v>72084</v>
      </c>
      <c r="V357" s="1">
        <v>25406</v>
      </c>
      <c r="W357" s="1">
        <v>346</v>
      </c>
      <c r="X357" s="1">
        <v>0</v>
      </c>
      <c r="Y357" s="1">
        <v>0</v>
      </c>
    </row>
    <row r="358" spans="1:25" x14ac:dyDescent="0.35">
      <c r="A358" s="1">
        <v>14230</v>
      </c>
      <c r="B358" s="12">
        <v>44688</v>
      </c>
      <c r="C358" s="1" t="s">
        <v>253</v>
      </c>
      <c r="D358" s="1" t="s">
        <v>746</v>
      </c>
      <c r="E358" s="1">
        <v>6.1</v>
      </c>
      <c r="F358" s="53">
        <v>0</v>
      </c>
      <c r="G358" s="1">
        <v>16.173719930000001</v>
      </c>
      <c r="H358" s="1">
        <v>1.3254986529999999</v>
      </c>
      <c r="I358" s="1">
        <v>1.2267433329999999</v>
      </c>
      <c r="J358" s="1">
        <v>0.45824368360000001</v>
      </c>
      <c r="K358" s="1">
        <v>0.1562608657</v>
      </c>
      <c r="L358" s="1">
        <v>0</v>
      </c>
      <c r="M358" s="1">
        <v>0</v>
      </c>
      <c r="N358" s="1">
        <v>0.8231754483</v>
      </c>
      <c r="O358" s="1">
        <v>0.66424617559999999</v>
      </c>
      <c r="P358" s="8">
        <v>1041.656964</v>
      </c>
      <c r="Q358" s="8">
        <v>11.08596739</v>
      </c>
      <c r="R358" s="8">
        <v>1078.746345</v>
      </c>
      <c r="S358" s="8">
        <v>3743.4740320000001</v>
      </c>
      <c r="T358" s="1" t="s">
        <v>797</v>
      </c>
      <c r="U358" s="1">
        <v>109608.93</v>
      </c>
      <c r="V358" s="1">
        <v>42512.29</v>
      </c>
      <c r="W358" s="1">
        <v>351.28</v>
      </c>
      <c r="X358" s="1">
        <v>7.7</v>
      </c>
      <c r="Y358" s="1">
        <v>3.08</v>
      </c>
    </row>
    <row r="359" spans="1:25" x14ac:dyDescent="0.35">
      <c r="A359" s="1">
        <v>14231</v>
      </c>
      <c r="B359" s="12">
        <v>44688</v>
      </c>
      <c r="C359" s="1" t="s">
        <v>254</v>
      </c>
      <c r="D359" s="1" t="s">
        <v>746</v>
      </c>
      <c r="E359" s="1">
        <v>6.2</v>
      </c>
      <c r="F359" s="53">
        <v>0</v>
      </c>
      <c r="G359" s="1">
        <v>15.84445717</v>
      </c>
      <c r="H359" s="1">
        <v>1.35337938</v>
      </c>
      <c r="I359" s="1">
        <v>1.136907737</v>
      </c>
      <c r="J359" s="1">
        <v>0.15989347779999999</v>
      </c>
      <c r="K359" s="1">
        <v>0.15055670970000001</v>
      </c>
      <c r="L359" s="1">
        <v>0</v>
      </c>
      <c r="M359" s="1">
        <v>0</v>
      </c>
      <c r="N359" s="1">
        <v>0.82823563899999997</v>
      </c>
      <c r="O359" s="1">
        <v>0</v>
      </c>
      <c r="P359" s="8">
        <v>1002.269318</v>
      </c>
      <c r="Q359" s="8">
        <v>20.14530856</v>
      </c>
      <c r="R359" s="8">
        <v>1044.8339539999999</v>
      </c>
      <c r="S359" s="8">
        <v>3600.1838120000002</v>
      </c>
      <c r="T359" s="1" t="s">
        <v>797</v>
      </c>
      <c r="U359" s="1">
        <v>118285.38</v>
      </c>
      <c r="V359" s="1">
        <v>46319.95</v>
      </c>
      <c r="W359" s="1">
        <v>541.63</v>
      </c>
      <c r="X359" s="1">
        <v>21.54</v>
      </c>
      <c r="Y359" s="1">
        <v>3.08</v>
      </c>
    </row>
    <row r="360" spans="1:25" x14ac:dyDescent="0.35">
      <c r="A360" s="1">
        <v>14232</v>
      </c>
      <c r="B360" s="12">
        <v>44688</v>
      </c>
      <c r="C360" s="1" t="s">
        <v>255</v>
      </c>
      <c r="D360" s="1" t="s">
        <v>798</v>
      </c>
      <c r="E360" s="1">
        <v>11.3</v>
      </c>
      <c r="F360" s="53">
        <v>0</v>
      </c>
      <c r="G360" s="1">
        <v>16.539721780000001</v>
      </c>
      <c r="H360" s="1">
        <v>1.202947105</v>
      </c>
      <c r="I360" s="1">
        <v>0.93751427929999998</v>
      </c>
      <c r="J360" s="1">
        <v>5.8827414760000002E-2</v>
      </c>
      <c r="K360" s="1">
        <v>0</v>
      </c>
      <c r="L360" s="1">
        <v>4.9939704049999999E-2</v>
      </c>
      <c r="M360" s="1">
        <v>3.3188042090000001E-2</v>
      </c>
      <c r="N360" s="1">
        <v>0.79778453859999998</v>
      </c>
      <c r="O360" s="1">
        <v>0.13128476789999999</v>
      </c>
      <c r="P360" s="8">
        <v>992.05689480000001</v>
      </c>
      <c r="Q360" s="8">
        <v>11.27932034</v>
      </c>
      <c r="R360" s="8">
        <v>1062.4080710000001</v>
      </c>
      <c r="S360" s="8">
        <v>3594.157091</v>
      </c>
      <c r="T360" s="1" t="s">
        <v>375</v>
      </c>
      <c r="U360" s="1">
        <v>131638.84</v>
      </c>
      <c r="V360" s="1">
        <v>45407.05</v>
      </c>
      <c r="W360" s="1">
        <v>243.12</v>
      </c>
      <c r="X360" s="1">
        <v>0</v>
      </c>
      <c r="Y360" s="1">
        <v>0</v>
      </c>
    </row>
    <row r="361" spans="1:25" x14ac:dyDescent="0.35">
      <c r="A361" s="52">
        <v>366</v>
      </c>
      <c r="B361" s="253">
        <v>44713</v>
      </c>
      <c r="C361" s="254" t="s">
        <v>185</v>
      </c>
      <c r="D361" s="52" t="s">
        <v>709</v>
      </c>
      <c r="E361" s="54">
        <v>15.2</v>
      </c>
      <c r="F361" s="53">
        <v>0</v>
      </c>
      <c r="G361" s="55">
        <v>8.6</v>
      </c>
      <c r="H361" s="55">
        <v>1.2</v>
      </c>
      <c r="I361" s="55">
        <v>1.2</v>
      </c>
      <c r="J361" s="55">
        <v>0</v>
      </c>
      <c r="K361" s="55">
        <v>0</v>
      </c>
      <c r="L361" s="55">
        <v>0</v>
      </c>
      <c r="M361" s="55">
        <v>0</v>
      </c>
      <c r="N361" s="55">
        <v>1.2</v>
      </c>
      <c r="O361" s="55">
        <v>0</v>
      </c>
      <c r="P361" s="55">
        <v>1270.8</v>
      </c>
      <c r="Q361" s="55">
        <v>439.8</v>
      </c>
      <c r="R361" s="55">
        <v>1136.3</v>
      </c>
      <c r="S361" s="55">
        <v>2207.6999999999998</v>
      </c>
      <c r="T361" s="254" t="s">
        <v>807</v>
      </c>
      <c r="U361" s="254">
        <v>880954</v>
      </c>
      <c r="V361" s="254">
        <v>255322</v>
      </c>
      <c r="W361" s="254">
        <v>20735</v>
      </c>
      <c r="X361" s="254">
        <v>904</v>
      </c>
      <c r="Y361" s="254">
        <v>152</v>
      </c>
    </row>
    <row r="362" spans="1:25" x14ac:dyDescent="0.35">
      <c r="A362" s="52">
        <v>367</v>
      </c>
      <c r="B362" s="253">
        <v>44713</v>
      </c>
      <c r="C362" s="254" t="s">
        <v>176</v>
      </c>
      <c r="D362" s="52" t="s">
        <v>709</v>
      </c>
      <c r="E362" s="54">
        <v>15.3</v>
      </c>
      <c r="F362" s="53">
        <v>0</v>
      </c>
      <c r="G362" s="55">
        <v>8.8000000000000007</v>
      </c>
      <c r="H362" s="55">
        <v>1.2</v>
      </c>
      <c r="I362" s="55">
        <v>1.2</v>
      </c>
      <c r="J362" s="55">
        <v>0</v>
      </c>
      <c r="K362" s="55">
        <v>0</v>
      </c>
      <c r="L362" s="55">
        <v>0</v>
      </c>
      <c r="M362" s="55">
        <v>0</v>
      </c>
      <c r="N362" s="55">
        <v>1.2</v>
      </c>
      <c r="O362" s="55">
        <v>0</v>
      </c>
      <c r="P362" s="55">
        <v>1274.7</v>
      </c>
      <c r="Q362" s="55">
        <v>439</v>
      </c>
      <c r="R362" s="55">
        <v>1139.7</v>
      </c>
      <c r="S362" s="55">
        <v>2207.1999999999998</v>
      </c>
      <c r="T362" s="254" t="s">
        <v>764</v>
      </c>
      <c r="U362" s="254">
        <v>101062</v>
      </c>
      <c r="V362" s="254">
        <v>37443</v>
      </c>
      <c r="W362" s="254">
        <v>320</v>
      </c>
      <c r="X362" s="254">
        <v>0</v>
      </c>
      <c r="Y362" s="254">
        <v>0</v>
      </c>
    </row>
    <row r="363" spans="1:25" x14ac:dyDescent="0.35">
      <c r="A363" s="1">
        <v>11626</v>
      </c>
      <c r="B363" s="12">
        <v>44714</v>
      </c>
      <c r="C363" s="1" t="s">
        <v>162</v>
      </c>
      <c r="D363" s="1" t="s">
        <v>746</v>
      </c>
      <c r="E363" s="1">
        <v>6.2</v>
      </c>
      <c r="F363" s="53">
        <v>0</v>
      </c>
      <c r="G363" s="1">
        <v>13.2</v>
      </c>
      <c r="H363" s="1">
        <v>1.4</v>
      </c>
      <c r="I363" s="1">
        <v>1</v>
      </c>
      <c r="J363" s="1">
        <v>0</v>
      </c>
      <c r="K363" s="1">
        <v>0</v>
      </c>
      <c r="L363" s="1">
        <v>0</v>
      </c>
      <c r="M363" s="1">
        <v>0</v>
      </c>
      <c r="N363" s="1">
        <v>0.3</v>
      </c>
      <c r="O363" s="1">
        <v>0.5</v>
      </c>
      <c r="P363" s="1">
        <v>986.1</v>
      </c>
      <c r="Q363" s="1">
        <v>10.3</v>
      </c>
      <c r="R363" s="1">
        <v>1159.7</v>
      </c>
      <c r="S363" s="1">
        <v>3829.3</v>
      </c>
      <c r="T363" s="1" t="s">
        <v>809</v>
      </c>
      <c r="U363" s="1">
        <v>78745</v>
      </c>
      <c r="V363" s="1">
        <v>36039</v>
      </c>
      <c r="W363" s="1">
        <v>669</v>
      </c>
      <c r="X363" s="1">
        <v>0</v>
      </c>
      <c r="Y363" s="1">
        <v>0</v>
      </c>
    </row>
    <row r="364" spans="1:25" x14ac:dyDescent="0.35">
      <c r="A364" s="1">
        <v>11627</v>
      </c>
      <c r="B364" s="12">
        <v>44714</v>
      </c>
      <c r="C364" s="1" t="s">
        <v>163</v>
      </c>
      <c r="D364" s="1" t="s">
        <v>723</v>
      </c>
      <c r="E364" s="1">
        <v>15</v>
      </c>
      <c r="F364" s="53">
        <v>0</v>
      </c>
      <c r="G364" s="1">
        <v>6.2</v>
      </c>
      <c r="H364" s="1">
        <v>1.6</v>
      </c>
      <c r="I364" s="1">
        <v>1.1000000000000001</v>
      </c>
      <c r="J364" s="1">
        <v>0</v>
      </c>
      <c r="K364" s="1">
        <v>0</v>
      </c>
      <c r="L364" s="1">
        <v>0</v>
      </c>
      <c r="M364" s="1">
        <v>0</v>
      </c>
      <c r="N364" s="1">
        <v>1.6</v>
      </c>
      <c r="O364" s="1">
        <v>0</v>
      </c>
      <c r="P364" s="1">
        <v>1256.2</v>
      </c>
      <c r="Q364" s="1">
        <v>489.3</v>
      </c>
      <c r="R364" s="1">
        <v>1378.2</v>
      </c>
      <c r="S364" s="1">
        <v>2550.1999999999998</v>
      </c>
      <c r="T364" s="1" t="s">
        <v>815</v>
      </c>
      <c r="U364" s="1">
        <v>45082</v>
      </c>
      <c r="V364" s="1">
        <v>10861</v>
      </c>
      <c r="W364" s="1">
        <v>137</v>
      </c>
      <c r="X364" s="1">
        <v>0</v>
      </c>
      <c r="Y364" s="1">
        <v>0</v>
      </c>
    </row>
    <row r="365" spans="1:25" x14ac:dyDescent="0.35">
      <c r="A365" s="1">
        <v>11628</v>
      </c>
      <c r="B365" s="12">
        <v>44714</v>
      </c>
      <c r="C365" s="1" t="s">
        <v>164</v>
      </c>
      <c r="D365" s="1" t="s">
        <v>746</v>
      </c>
      <c r="E365" s="1">
        <v>6.1</v>
      </c>
      <c r="F365" s="53">
        <v>0</v>
      </c>
      <c r="G365" s="1">
        <v>14.9</v>
      </c>
      <c r="H365" s="1">
        <v>1.1000000000000001</v>
      </c>
      <c r="I365" s="1">
        <v>1.1000000000000001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0.6</v>
      </c>
      <c r="P365" s="1">
        <v>966.8</v>
      </c>
      <c r="Q365" s="1">
        <v>11.7</v>
      </c>
      <c r="R365" s="1">
        <v>1133.4000000000001</v>
      </c>
      <c r="S365" s="1">
        <v>3752.5</v>
      </c>
      <c r="T365" s="1" t="s">
        <v>710</v>
      </c>
      <c r="U365" s="1">
        <v>78450</v>
      </c>
      <c r="V365" s="1">
        <v>35651</v>
      </c>
      <c r="W365" s="1">
        <v>634</v>
      </c>
      <c r="X365" s="1">
        <v>0</v>
      </c>
      <c r="Y365" s="1">
        <v>0</v>
      </c>
    </row>
    <row r="366" spans="1:25" x14ac:dyDescent="0.35">
      <c r="A366" s="1">
        <v>11629</v>
      </c>
      <c r="B366" s="12">
        <v>44714</v>
      </c>
      <c r="C366" s="1" t="s">
        <v>172</v>
      </c>
      <c r="D366" s="1" t="s">
        <v>746</v>
      </c>
      <c r="E366" s="1">
        <v>6.1</v>
      </c>
      <c r="F366" s="53">
        <v>0</v>
      </c>
      <c r="G366" s="1">
        <v>13.4</v>
      </c>
      <c r="H366" s="1">
        <v>1.1000000000000001</v>
      </c>
      <c r="I366" s="1">
        <v>1</v>
      </c>
      <c r="J366" s="1">
        <v>0</v>
      </c>
      <c r="K366" s="1">
        <v>0</v>
      </c>
      <c r="L366" s="1">
        <v>0</v>
      </c>
      <c r="M366" s="1">
        <v>0</v>
      </c>
      <c r="N366" s="1">
        <v>0.2</v>
      </c>
      <c r="O366" s="1">
        <v>0.6</v>
      </c>
      <c r="P366" s="1">
        <v>963.8</v>
      </c>
      <c r="Q366" s="1">
        <v>11.1</v>
      </c>
      <c r="R366" s="1">
        <v>1117.3</v>
      </c>
      <c r="S366" s="1">
        <v>3711.9</v>
      </c>
      <c r="T366" s="1" t="s">
        <v>710</v>
      </c>
      <c r="U366" s="1">
        <v>78189</v>
      </c>
      <c r="V366" s="1">
        <v>32654</v>
      </c>
      <c r="W366" s="1">
        <v>429</v>
      </c>
      <c r="X366" s="1">
        <v>3</v>
      </c>
      <c r="Y366" s="1">
        <v>0</v>
      </c>
    </row>
    <row r="367" spans="1:25" x14ac:dyDescent="0.35">
      <c r="A367" s="1">
        <v>11630</v>
      </c>
      <c r="B367" s="12">
        <v>44714</v>
      </c>
      <c r="C367" s="1" t="s">
        <v>191</v>
      </c>
      <c r="D367" s="1" t="s">
        <v>723</v>
      </c>
      <c r="E367" s="1">
        <v>15</v>
      </c>
      <c r="F367" s="53">
        <v>0</v>
      </c>
      <c r="G367" s="1">
        <v>5.7</v>
      </c>
      <c r="H367" s="1">
        <v>1.4</v>
      </c>
      <c r="I367" s="1">
        <v>1.2</v>
      </c>
      <c r="J367" s="1">
        <v>0</v>
      </c>
      <c r="K367" s="1">
        <v>0</v>
      </c>
      <c r="L367" s="1">
        <v>0</v>
      </c>
      <c r="M367" s="1">
        <v>0</v>
      </c>
      <c r="N367" s="1">
        <v>1.8</v>
      </c>
      <c r="O367" s="1">
        <v>0.6</v>
      </c>
      <c r="P367" s="1">
        <v>1181</v>
      </c>
      <c r="Q367" s="1">
        <v>473</v>
      </c>
      <c r="R367" s="1">
        <v>1282.2</v>
      </c>
      <c r="S367" s="1">
        <v>2432.5</v>
      </c>
      <c r="T367" s="1" t="s">
        <v>815</v>
      </c>
      <c r="U367" s="1">
        <v>42873</v>
      </c>
      <c r="V367" s="1">
        <v>12115</v>
      </c>
      <c r="W367" s="1">
        <v>118</v>
      </c>
      <c r="X367" s="1">
        <v>0</v>
      </c>
      <c r="Y367" s="1">
        <v>0</v>
      </c>
    </row>
    <row r="368" spans="1:25" x14ac:dyDescent="0.35">
      <c r="A368" s="1">
        <v>11631</v>
      </c>
      <c r="B368" s="12">
        <v>44714</v>
      </c>
      <c r="C368" s="1" t="s">
        <v>192</v>
      </c>
      <c r="D368" s="1" t="s">
        <v>746</v>
      </c>
      <c r="E368" s="1">
        <v>6.1</v>
      </c>
      <c r="F368" s="53">
        <v>0</v>
      </c>
      <c r="G368" s="1">
        <v>10.4</v>
      </c>
      <c r="H368" s="1">
        <v>1.1000000000000001</v>
      </c>
      <c r="I368" s="1">
        <v>1.1000000000000001</v>
      </c>
      <c r="J368" s="1">
        <v>0</v>
      </c>
      <c r="K368" s="1">
        <v>0</v>
      </c>
      <c r="L368" s="1">
        <v>0</v>
      </c>
      <c r="M368" s="1">
        <v>0</v>
      </c>
      <c r="N368" s="1">
        <v>0.4</v>
      </c>
      <c r="O368" s="1">
        <v>0.6</v>
      </c>
      <c r="P368" s="1">
        <v>966.2</v>
      </c>
      <c r="Q368" s="1">
        <v>10.5</v>
      </c>
      <c r="R368" s="1">
        <v>1114.5999999999999</v>
      </c>
      <c r="S368" s="1">
        <v>3698.7</v>
      </c>
      <c r="T368" s="1" t="s">
        <v>801</v>
      </c>
      <c r="U368" s="1">
        <v>29646</v>
      </c>
      <c r="V368" s="1">
        <v>11886</v>
      </c>
      <c r="W368" s="1">
        <v>340</v>
      </c>
      <c r="X368" s="1">
        <v>0</v>
      </c>
      <c r="Y368" s="1">
        <v>0</v>
      </c>
    </row>
    <row r="369" spans="1:25" x14ac:dyDescent="0.35">
      <c r="A369" s="1">
        <v>11672</v>
      </c>
      <c r="B369" s="12">
        <v>44715</v>
      </c>
      <c r="C369" s="1" t="s">
        <v>181</v>
      </c>
      <c r="D369" s="1" t="s">
        <v>746</v>
      </c>
      <c r="E369" s="1">
        <v>6.1</v>
      </c>
      <c r="F369" s="53">
        <v>0</v>
      </c>
      <c r="G369" s="1">
        <v>11.2</v>
      </c>
      <c r="H369" s="1">
        <v>1.5</v>
      </c>
      <c r="I369" s="1">
        <v>1</v>
      </c>
      <c r="J369" s="1">
        <v>0</v>
      </c>
      <c r="K369" s="1">
        <v>0</v>
      </c>
      <c r="L369" s="1">
        <v>0</v>
      </c>
      <c r="M369" s="1">
        <v>0</v>
      </c>
      <c r="N369" s="1">
        <v>0.1</v>
      </c>
      <c r="O369" s="1">
        <v>0.5</v>
      </c>
      <c r="P369" s="1">
        <v>978.4</v>
      </c>
      <c r="Q369" s="1">
        <v>10.5</v>
      </c>
      <c r="R369" s="1">
        <v>1175.4000000000001</v>
      </c>
      <c r="S369" s="1">
        <v>3880.7</v>
      </c>
      <c r="T369" s="1" t="s">
        <v>809</v>
      </c>
      <c r="U369" s="1">
        <v>79751</v>
      </c>
      <c r="V369" s="1">
        <v>36488</v>
      </c>
      <c r="W369" s="1">
        <v>711</v>
      </c>
      <c r="X369" s="1">
        <v>0</v>
      </c>
      <c r="Y369" s="1">
        <v>0</v>
      </c>
    </row>
    <row r="370" spans="1:25" x14ac:dyDescent="0.35">
      <c r="A370" s="1">
        <v>11673</v>
      </c>
      <c r="B370" s="12">
        <v>44715</v>
      </c>
      <c r="C370" s="1" t="s">
        <v>182</v>
      </c>
      <c r="D370" s="1" t="s">
        <v>723</v>
      </c>
      <c r="E370" s="1">
        <v>15</v>
      </c>
      <c r="F370" s="53">
        <v>0</v>
      </c>
      <c r="G370" s="1">
        <v>5.7</v>
      </c>
      <c r="H370" s="1">
        <v>2</v>
      </c>
      <c r="I370" s="1">
        <v>1.2</v>
      </c>
      <c r="J370" s="1">
        <v>0</v>
      </c>
      <c r="K370" s="1">
        <v>0</v>
      </c>
      <c r="L370" s="1">
        <v>0</v>
      </c>
      <c r="M370" s="1">
        <v>0</v>
      </c>
      <c r="N370" s="1">
        <v>1.8</v>
      </c>
      <c r="O370" s="1">
        <v>1.1000000000000001</v>
      </c>
      <c r="P370" s="1">
        <v>1172.9000000000001</v>
      </c>
      <c r="Q370" s="1">
        <v>483.4</v>
      </c>
      <c r="R370" s="1">
        <v>1304.0999999999999</v>
      </c>
      <c r="S370" s="1">
        <v>2466</v>
      </c>
      <c r="T370" s="1" t="s">
        <v>812</v>
      </c>
      <c r="U370" s="1">
        <v>39980</v>
      </c>
      <c r="V370" s="1">
        <v>10257</v>
      </c>
      <c r="W370" s="1">
        <v>178</v>
      </c>
      <c r="X370" s="1">
        <v>3</v>
      </c>
      <c r="Y370" s="1">
        <v>0</v>
      </c>
    </row>
    <row r="371" spans="1:25" x14ac:dyDescent="0.35">
      <c r="A371" s="1">
        <v>11674</v>
      </c>
      <c r="B371" s="12">
        <v>44715</v>
      </c>
      <c r="C371" s="1" t="s">
        <v>183</v>
      </c>
      <c r="D371" s="1" t="s">
        <v>723</v>
      </c>
      <c r="E371" s="1">
        <v>15</v>
      </c>
      <c r="F371" s="53">
        <v>0</v>
      </c>
      <c r="G371" s="1">
        <v>5.9</v>
      </c>
      <c r="H371" s="1">
        <v>1.7</v>
      </c>
      <c r="I371" s="1">
        <v>1.1000000000000001</v>
      </c>
      <c r="J371" s="1">
        <v>0</v>
      </c>
      <c r="K371" s="1">
        <v>0</v>
      </c>
      <c r="L371" s="1">
        <v>0</v>
      </c>
      <c r="M371" s="1">
        <v>0</v>
      </c>
      <c r="N371" s="1">
        <v>1.3</v>
      </c>
      <c r="O371" s="1">
        <v>1.2</v>
      </c>
      <c r="P371" s="1">
        <v>1179</v>
      </c>
      <c r="Q371" s="1">
        <v>491.7</v>
      </c>
      <c r="R371" s="1">
        <v>1310.9</v>
      </c>
      <c r="S371" s="1">
        <v>2502.4</v>
      </c>
      <c r="T371" s="1" t="s">
        <v>762</v>
      </c>
      <c r="U371" s="1">
        <v>47404</v>
      </c>
      <c r="V371" s="1">
        <v>12074</v>
      </c>
      <c r="W371" s="1">
        <v>194</v>
      </c>
      <c r="X371" s="1">
        <v>0</v>
      </c>
      <c r="Y371" s="1">
        <v>0</v>
      </c>
    </row>
    <row r="372" spans="1:25" x14ac:dyDescent="0.35">
      <c r="A372" s="1">
        <v>11675</v>
      </c>
      <c r="B372" s="12">
        <v>44715</v>
      </c>
      <c r="C372" s="1" t="s">
        <v>192</v>
      </c>
      <c r="D372" s="1" t="s">
        <v>746</v>
      </c>
      <c r="E372" s="1">
        <v>6.2</v>
      </c>
      <c r="F372" s="53">
        <v>0</v>
      </c>
      <c r="G372" s="1">
        <v>11.4</v>
      </c>
      <c r="H372" s="1">
        <v>1</v>
      </c>
      <c r="I372" s="1">
        <v>0.9</v>
      </c>
      <c r="J372" s="1">
        <v>0</v>
      </c>
      <c r="K372" s="1">
        <v>0</v>
      </c>
      <c r="L372" s="1">
        <v>0</v>
      </c>
      <c r="M372" s="1">
        <v>0</v>
      </c>
      <c r="N372" s="1">
        <v>0.3</v>
      </c>
      <c r="O372" s="1">
        <v>0.8</v>
      </c>
      <c r="P372" s="1">
        <v>886.3</v>
      </c>
      <c r="Q372" s="1">
        <v>10.3</v>
      </c>
      <c r="R372" s="1">
        <v>1033.2</v>
      </c>
      <c r="S372" s="1">
        <v>3464</v>
      </c>
      <c r="T372" s="1" t="s">
        <v>801</v>
      </c>
      <c r="U372" s="1">
        <v>33648</v>
      </c>
      <c r="V372" s="1">
        <v>14250</v>
      </c>
      <c r="W372" s="1">
        <v>539</v>
      </c>
      <c r="X372" s="1">
        <v>0</v>
      </c>
      <c r="Y372" s="1">
        <v>0</v>
      </c>
    </row>
    <row r="373" spans="1:25" x14ac:dyDescent="0.35">
      <c r="A373" s="1">
        <v>11676</v>
      </c>
      <c r="B373" s="12">
        <v>44715</v>
      </c>
      <c r="C373" s="1" t="s">
        <v>171</v>
      </c>
      <c r="D373" s="1" t="s">
        <v>723</v>
      </c>
      <c r="E373" s="1">
        <v>14.9</v>
      </c>
      <c r="F373" s="53">
        <v>0</v>
      </c>
      <c r="G373" s="1">
        <v>5.9</v>
      </c>
      <c r="H373" s="1">
        <v>1.5</v>
      </c>
      <c r="I373" s="1">
        <v>1.1000000000000001</v>
      </c>
      <c r="J373" s="1">
        <v>0</v>
      </c>
      <c r="K373" s="1">
        <v>0</v>
      </c>
      <c r="L373" s="1">
        <v>0</v>
      </c>
      <c r="M373" s="1">
        <v>0</v>
      </c>
      <c r="N373" s="1">
        <v>1.7</v>
      </c>
      <c r="O373" s="1">
        <v>1.2</v>
      </c>
      <c r="P373" s="1">
        <v>1174.0999999999999</v>
      </c>
      <c r="Q373" s="1">
        <v>480.7</v>
      </c>
      <c r="R373" s="1">
        <v>1316.4</v>
      </c>
      <c r="S373" s="1">
        <v>2491.1</v>
      </c>
      <c r="T373" s="1" t="s">
        <v>815</v>
      </c>
      <c r="U373" s="1">
        <v>47439</v>
      </c>
      <c r="V373" s="1">
        <v>12709</v>
      </c>
      <c r="W373" s="1">
        <v>115</v>
      </c>
      <c r="X373" s="1">
        <v>0</v>
      </c>
      <c r="Y373" s="1">
        <v>0</v>
      </c>
    </row>
    <row r="374" spans="1:25" x14ac:dyDescent="0.35">
      <c r="A374" s="1">
        <v>11677</v>
      </c>
      <c r="B374" s="12">
        <v>44715</v>
      </c>
      <c r="C374" s="1" t="s">
        <v>191</v>
      </c>
      <c r="D374" s="1" t="s">
        <v>723</v>
      </c>
      <c r="E374" s="1">
        <v>15</v>
      </c>
      <c r="F374" s="53">
        <v>0</v>
      </c>
      <c r="G374" s="1">
        <v>6.3</v>
      </c>
      <c r="H374" s="1">
        <v>1.5</v>
      </c>
      <c r="I374" s="1">
        <v>1.2</v>
      </c>
      <c r="J374" s="1">
        <v>0</v>
      </c>
      <c r="K374" s="1">
        <v>0</v>
      </c>
      <c r="L374" s="1">
        <v>0</v>
      </c>
      <c r="M374" s="1">
        <v>0</v>
      </c>
      <c r="N374" s="1">
        <v>1.9</v>
      </c>
      <c r="O374" s="1">
        <v>1.2</v>
      </c>
      <c r="P374" s="1">
        <v>1241.5999999999999</v>
      </c>
      <c r="Q374" s="1">
        <v>473.2</v>
      </c>
      <c r="R374" s="1">
        <v>1300.7</v>
      </c>
      <c r="S374" s="1">
        <v>2476.8000000000002</v>
      </c>
      <c r="T374" s="1" t="s">
        <v>815</v>
      </c>
      <c r="U374" s="1">
        <v>47469</v>
      </c>
      <c r="V374" s="1">
        <v>13140</v>
      </c>
      <c r="W374" s="1">
        <v>132</v>
      </c>
      <c r="X374" s="1">
        <v>0</v>
      </c>
      <c r="Y374" s="1">
        <v>0</v>
      </c>
    </row>
    <row r="375" spans="1:25" x14ac:dyDescent="0.35">
      <c r="A375" s="1">
        <v>9284</v>
      </c>
      <c r="B375" s="12">
        <v>44717</v>
      </c>
      <c r="C375" s="1" t="s">
        <v>191</v>
      </c>
      <c r="D375" s="1" t="s">
        <v>723</v>
      </c>
      <c r="E375" s="1">
        <v>15.4</v>
      </c>
      <c r="F375" s="53">
        <v>0</v>
      </c>
      <c r="G375" s="1">
        <v>7.2</v>
      </c>
      <c r="H375" s="1">
        <v>1.6</v>
      </c>
      <c r="I375" s="1">
        <v>1.5</v>
      </c>
      <c r="J375" s="1">
        <v>0</v>
      </c>
      <c r="K375" s="1">
        <v>0</v>
      </c>
      <c r="L375" s="1">
        <v>0.1</v>
      </c>
      <c r="M375" s="1">
        <v>0</v>
      </c>
      <c r="N375" s="1">
        <v>1.3</v>
      </c>
      <c r="O375" s="1">
        <v>0</v>
      </c>
      <c r="P375" s="1">
        <v>1212.3</v>
      </c>
      <c r="Q375" s="1">
        <v>481.8</v>
      </c>
      <c r="R375" s="1">
        <v>1233.7</v>
      </c>
      <c r="S375" s="1">
        <v>2358.4</v>
      </c>
      <c r="T375" s="1" t="s">
        <v>710</v>
      </c>
      <c r="U375" s="1">
        <v>74271</v>
      </c>
      <c r="V375" s="1">
        <v>26804</v>
      </c>
      <c r="W375" s="1">
        <v>332</v>
      </c>
      <c r="X375" s="1">
        <v>2</v>
      </c>
      <c r="Y375" s="1">
        <v>0</v>
      </c>
    </row>
    <row r="376" spans="1:25" x14ac:dyDescent="0.35">
      <c r="A376" s="1">
        <v>9285</v>
      </c>
      <c r="B376" s="12">
        <v>44717</v>
      </c>
      <c r="C376" s="1" t="s">
        <v>172</v>
      </c>
      <c r="D376" s="1" t="s">
        <v>746</v>
      </c>
      <c r="E376" s="1">
        <v>6.1</v>
      </c>
      <c r="F376" s="53">
        <v>0</v>
      </c>
      <c r="G376" s="1">
        <v>11.5</v>
      </c>
      <c r="H376" s="1">
        <v>1.2</v>
      </c>
      <c r="I376" s="1">
        <v>1.2</v>
      </c>
      <c r="J376" s="1">
        <v>0</v>
      </c>
      <c r="K376" s="1">
        <v>0.2</v>
      </c>
      <c r="L376" s="1">
        <v>0</v>
      </c>
      <c r="M376" s="1">
        <v>0</v>
      </c>
      <c r="N376" s="1">
        <v>0.5</v>
      </c>
      <c r="O376" s="1">
        <v>0.4</v>
      </c>
      <c r="P376" s="1">
        <v>938.3</v>
      </c>
      <c r="Q376" s="1">
        <v>10.9</v>
      </c>
      <c r="R376" s="1">
        <v>1018.5</v>
      </c>
      <c r="S376" s="1">
        <v>3516.3</v>
      </c>
      <c r="T376" s="1" t="s">
        <v>792</v>
      </c>
      <c r="U376" s="1">
        <v>46348</v>
      </c>
      <c r="V376" s="1">
        <v>19314</v>
      </c>
      <c r="W376" s="1">
        <v>585</v>
      </c>
      <c r="X376" s="1">
        <v>0</v>
      </c>
      <c r="Y376" s="1">
        <v>0</v>
      </c>
    </row>
    <row r="377" spans="1:25" x14ac:dyDescent="0.35">
      <c r="A377" s="1">
        <v>9286</v>
      </c>
      <c r="B377" s="12">
        <v>44717</v>
      </c>
      <c r="C377" s="1" t="s">
        <v>171</v>
      </c>
      <c r="D377" s="1" t="s">
        <v>723</v>
      </c>
      <c r="E377" s="1">
        <v>15.1</v>
      </c>
      <c r="F377" s="53">
        <v>0</v>
      </c>
      <c r="G377" s="1">
        <v>6.7</v>
      </c>
      <c r="H377" s="1">
        <v>1.7</v>
      </c>
      <c r="I377" s="1">
        <v>1.5</v>
      </c>
      <c r="J377" s="1">
        <v>0.4</v>
      </c>
      <c r="K377" s="1">
        <v>0.5</v>
      </c>
      <c r="L377" s="1">
        <v>0</v>
      </c>
      <c r="M377" s="1">
        <v>0</v>
      </c>
      <c r="N377" s="1">
        <v>1.7</v>
      </c>
      <c r="O377" s="1">
        <v>0.7</v>
      </c>
      <c r="P377" s="1">
        <v>1212.8</v>
      </c>
      <c r="Q377" s="1">
        <v>506.5</v>
      </c>
      <c r="R377" s="1">
        <v>1271</v>
      </c>
      <c r="S377" s="1">
        <v>2451</v>
      </c>
      <c r="T377" s="1" t="s">
        <v>713</v>
      </c>
      <c r="U377" s="1">
        <v>77554</v>
      </c>
      <c r="V377" s="1">
        <v>23116</v>
      </c>
      <c r="W377" s="1">
        <v>189</v>
      </c>
      <c r="X377" s="1">
        <v>0</v>
      </c>
      <c r="Y377" s="1">
        <v>0</v>
      </c>
    </row>
    <row r="378" spans="1:25" x14ac:dyDescent="0.35">
      <c r="A378" s="1">
        <v>9287</v>
      </c>
      <c r="B378" s="12">
        <v>44717</v>
      </c>
      <c r="C378" s="1" t="s">
        <v>192</v>
      </c>
      <c r="D378" s="1" t="s">
        <v>746</v>
      </c>
      <c r="E378" s="1">
        <v>6.1</v>
      </c>
      <c r="F378" s="53">
        <v>0</v>
      </c>
      <c r="G378" s="1">
        <v>12.4</v>
      </c>
      <c r="H378" s="1">
        <v>1.1000000000000001</v>
      </c>
      <c r="I378" s="1">
        <v>0.9</v>
      </c>
      <c r="J378" s="1">
        <v>0</v>
      </c>
      <c r="K378" s="1">
        <v>0.3</v>
      </c>
      <c r="L378" s="1">
        <v>0</v>
      </c>
      <c r="M378" s="1">
        <v>0.1</v>
      </c>
      <c r="N378" s="1">
        <v>0</v>
      </c>
      <c r="O378" s="1">
        <v>1.1000000000000001</v>
      </c>
      <c r="P378" s="1">
        <v>966.8</v>
      </c>
      <c r="Q378" s="1">
        <v>12.5</v>
      </c>
      <c r="R378" s="1">
        <v>1059.0999999999999</v>
      </c>
      <c r="S378" s="1">
        <v>3685.6</v>
      </c>
      <c r="T378" s="1" t="s">
        <v>713</v>
      </c>
      <c r="U378" s="1">
        <v>79519</v>
      </c>
      <c r="V378" s="1">
        <v>31835</v>
      </c>
      <c r="W378" s="1">
        <v>255</v>
      </c>
      <c r="X378" s="1">
        <v>0</v>
      </c>
      <c r="Y378" s="1">
        <v>0</v>
      </c>
    </row>
    <row r="379" spans="1:25" x14ac:dyDescent="0.35">
      <c r="A379" s="1">
        <v>14233</v>
      </c>
      <c r="B379" s="12">
        <v>44719</v>
      </c>
      <c r="C379" s="1" t="s">
        <v>257</v>
      </c>
      <c r="D379" s="1" t="s">
        <v>749</v>
      </c>
      <c r="E379" s="1">
        <v>24.7</v>
      </c>
      <c r="F379" s="53">
        <v>0</v>
      </c>
      <c r="G379" s="1">
        <v>16.590211799999999</v>
      </c>
      <c r="H379" s="1">
        <v>1.278710875</v>
      </c>
      <c r="I379" s="1">
        <v>1.1631560350000001</v>
      </c>
      <c r="J379" s="1">
        <v>1.9401181319999999E-2</v>
      </c>
      <c r="K379" s="1">
        <v>0</v>
      </c>
      <c r="L379" s="1">
        <v>3.2214331810000003E-2</v>
      </c>
      <c r="M379" s="1">
        <v>0</v>
      </c>
      <c r="N379" s="1">
        <v>0.62162926019999998</v>
      </c>
      <c r="O379" s="1">
        <v>0.23846692459999999</v>
      </c>
      <c r="P379" s="8">
        <v>1004.1849120000001</v>
      </c>
      <c r="Q379" s="8">
        <v>12.110333539999999</v>
      </c>
      <c r="R379" s="8">
        <v>1073.779442</v>
      </c>
      <c r="S379" s="8">
        <v>3712.8248410000001</v>
      </c>
      <c r="T379" s="1" t="s">
        <v>375</v>
      </c>
      <c r="U379" s="1">
        <v>119926.54</v>
      </c>
      <c r="V379" s="1">
        <v>41677.480000000003</v>
      </c>
      <c r="W379" s="1">
        <v>161.88</v>
      </c>
      <c r="X379" s="1">
        <v>0</v>
      </c>
      <c r="Y379" s="1">
        <v>0</v>
      </c>
    </row>
    <row r="380" spans="1:25" x14ac:dyDescent="0.35">
      <c r="A380" s="1">
        <v>14234</v>
      </c>
      <c r="B380" s="12">
        <v>44719</v>
      </c>
      <c r="C380" s="1" t="s">
        <v>172</v>
      </c>
      <c r="D380" s="1" t="s">
        <v>746</v>
      </c>
      <c r="E380" s="1">
        <v>6.2</v>
      </c>
      <c r="F380" s="53">
        <v>0</v>
      </c>
      <c r="G380" s="1">
        <v>16.202582899999999</v>
      </c>
      <c r="H380" s="1">
        <v>1.329561854</v>
      </c>
      <c r="I380" s="1">
        <v>1.26903867</v>
      </c>
      <c r="J380" s="1">
        <v>1.428542715E-2</v>
      </c>
      <c r="K380" s="1">
        <v>0</v>
      </c>
      <c r="L380" s="1">
        <v>0</v>
      </c>
      <c r="M380" s="1">
        <v>0</v>
      </c>
      <c r="N380" s="1">
        <v>0.69524878509999999</v>
      </c>
      <c r="O380" s="1">
        <v>0.73139684199999999</v>
      </c>
      <c r="P380" s="8">
        <v>998.75771850000001</v>
      </c>
      <c r="Q380" s="8">
        <v>10.84617156</v>
      </c>
      <c r="R380" s="8">
        <v>1055.0037910000001</v>
      </c>
      <c r="S380" s="8">
        <v>3663.4428779999998</v>
      </c>
      <c r="T380" s="1" t="s">
        <v>764</v>
      </c>
      <c r="U380" s="1">
        <v>87875.7</v>
      </c>
      <c r="V380" s="1">
        <v>36158.269999999997</v>
      </c>
      <c r="W380" s="1">
        <v>578.55999999999995</v>
      </c>
      <c r="X380" s="1">
        <v>0</v>
      </c>
      <c r="Y380" s="1">
        <v>0</v>
      </c>
    </row>
    <row r="381" spans="1:25" x14ac:dyDescent="0.35">
      <c r="A381" s="1">
        <v>14235</v>
      </c>
      <c r="B381" s="12">
        <v>44719</v>
      </c>
      <c r="C381" s="1" t="s">
        <v>236</v>
      </c>
      <c r="D381" s="1" t="s">
        <v>798</v>
      </c>
      <c r="E381" s="1">
        <v>11.4</v>
      </c>
      <c r="F381" s="53">
        <v>0</v>
      </c>
      <c r="G381" s="1">
        <v>14.97573824</v>
      </c>
      <c r="H381" s="1">
        <v>1.292282076</v>
      </c>
      <c r="I381" s="1">
        <v>1.1461710060000001</v>
      </c>
      <c r="J381" s="1">
        <v>9.179612642E-4</v>
      </c>
      <c r="K381" s="1">
        <v>0</v>
      </c>
      <c r="L381" s="1">
        <v>3.6496191919999997E-2</v>
      </c>
      <c r="M381" s="1">
        <v>0</v>
      </c>
      <c r="N381" s="1">
        <v>0.6280379425</v>
      </c>
      <c r="O381" s="1">
        <v>0.8292254953</v>
      </c>
      <c r="P381" s="8">
        <v>1000.424855</v>
      </c>
      <c r="Q381" s="8">
        <v>12.23781323</v>
      </c>
      <c r="R381" s="8">
        <v>1066.8789839999999</v>
      </c>
      <c r="S381" s="8">
        <v>3636.1718719999999</v>
      </c>
      <c r="T381" s="1" t="s">
        <v>375</v>
      </c>
      <c r="U381" s="1">
        <v>126611.61</v>
      </c>
      <c r="V381" s="1">
        <v>49066.39</v>
      </c>
      <c r="W381" s="1">
        <v>207.73</v>
      </c>
      <c r="X381" s="1">
        <v>0</v>
      </c>
      <c r="Y381" s="1">
        <v>0</v>
      </c>
    </row>
    <row r="382" spans="1:25" x14ac:dyDescent="0.35">
      <c r="A382" s="1">
        <v>14236</v>
      </c>
      <c r="B382" s="12">
        <v>44719</v>
      </c>
      <c r="C382" s="1" t="s">
        <v>237</v>
      </c>
      <c r="D382" s="1" t="s">
        <v>749</v>
      </c>
      <c r="E382" s="1">
        <v>23.4</v>
      </c>
      <c r="F382" s="53">
        <v>0</v>
      </c>
      <c r="G382" s="1">
        <v>17.617550099999999</v>
      </c>
      <c r="H382" s="1">
        <v>1.4250593149999999</v>
      </c>
      <c r="I382" s="1">
        <v>1.415938825</v>
      </c>
      <c r="J382" s="1">
        <v>0.10341018590000001</v>
      </c>
      <c r="K382" s="1">
        <v>0</v>
      </c>
      <c r="L382" s="1">
        <v>4.8687554219999998E-2</v>
      </c>
      <c r="M382" s="1">
        <v>0</v>
      </c>
      <c r="N382" s="1">
        <v>0.74046369990000005</v>
      </c>
      <c r="O382" s="1">
        <v>0.34009009690000003</v>
      </c>
      <c r="P382" s="8">
        <v>1060.4211789999999</v>
      </c>
      <c r="Q382" s="8">
        <v>12.053496150000001</v>
      </c>
      <c r="R382" s="8">
        <v>1102.188001</v>
      </c>
      <c r="S382" s="8">
        <v>3750.6227439999998</v>
      </c>
      <c r="T382" s="1" t="s">
        <v>716</v>
      </c>
      <c r="U382" s="1">
        <v>109837.09</v>
      </c>
      <c r="V382" s="1">
        <v>37083.379999999997</v>
      </c>
      <c r="W382" s="1">
        <v>132.37</v>
      </c>
      <c r="X382" s="1">
        <v>0</v>
      </c>
      <c r="Y382" s="1">
        <v>0</v>
      </c>
    </row>
    <row r="383" spans="1:25" x14ac:dyDescent="0.35">
      <c r="A383" s="1">
        <v>12321</v>
      </c>
      <c r="B383" s="12">
        <v>44723</v>
      </c>
      <c r="C383" s="1" t="s">
        <v>181</v>
      </c>
      <c r="D383" s="1" t="s">
        <v>749</v>
      </c>
      <c r="E383" s="1">
        <v>24.1</v>
      </c>
      <c r="F383" s="53">
        <v>0</v>
      </c>
      <c r="G383" s="1">
        <v>18.7</v>
      </c>
      <c r="H383" s="1">
        <v>1.4</v>
      </c>
      <c r="I383" s="1">
        <v>1.2</v>
      </c>
      <c r="J383" s="1">
        <v>0</v>
      </c>
      <c r="K383" s="1">
        <v>0</v>
      </c>
      <c r="L383" s="1">
        <v>0</v>
      </c>
      <c r="M383" s="1">
        <v>0</v>
      </c>
      <c r="N383" s="1">
        <v>0.2</v>
      </c>
      <c r="O383" s="1">
        <v>1.5</v>
      </c>
      <c r="P383" s="1">
        <v>964.8</v>
      </c>
      <c r="Q383" s="1">
        <v>14.4</v>
      </c>
      <c r="R383" s="1">
        <v>1083.2</v>
      </c>
      <c r="S383" s="1">
        <v>3824.7</v>
      </c>
      <c r="T383" s="1" t="s">
        <v>375</v>
      </c>
      <c r="U383" s="1">
        <v>121228</v>
      </c>
      <c r="V383" s="1">
        <v>50298</v>
      </c>
      <c r="W383" s="1">
        <v>251</v>
      </c>
      <c r="X383" s="1">
        <v>6</v>
      </c>
      <c r="Y383" s="1">
        <v>0</v>
      </c>
    </row>
    <row r="384" spans="1:25" x14ac:dyDescent="0.35">
      <c r="A384" s="1">
        <v>12322</v>
      </c>
      <c r="B384" s="12">
        <v>44723</v>
      </c>
      <c r="C384" s="1" t="s">
        <v>182</v>
      </c>
      <c r="D384" s="1" t="s">
        <v>746</v>
      </c>
      <c r="E384" s="1">
        <v>6.1</v>
      </c>
      <c r="F384" s="53">
        <v>0</v>
      </c>
      <c r="G384" s="1">
        <v>14.4</v>
      </c>
      <c r="H384" s="1">
        <v>1.4</v>
      </c>
      <c r="I384" s="1">
        <v>1.3</v>
      </c>
      <c r="J384" s="1">
        <v>0</v>
      </c>
      <c r="K384" s="1">
        <v>0</v>
      </c>
      <c r="L384" s="1">
        <v>0</v>
      </c>
      <c r="M384" s="1">
        <v>0</v>
      </c>
      <c r="N384" s="1">
        <v>0.2</v>
      </c>
      <c r="O384" s="1">
        <v>1.5</v>
      </c>
      <c r="P384" s="1">
        <v>928.7</v>
      </c>
      <c r="Q384" s="1">
        <v>11.6</v>
      </c>
      <c r="R384" s="1">
        <v>1037.2</v>
      </c>
      <c r="S384" s="1">
        <v>3656.5</v>
      </c>
      <c r="T384" s="1" t="s">
        <v>710</v>
      </c>
      <c r="U384" s="1">
        <v>75550</v>
      </c>
      <c r="V384" s="1">
        <v>33956</v>
      </c>
      <c r="W384" s="1">
        <v>619</v>
      </c>
      <c r="X384" s="1">
        <v>2</v>
      </c>
      <c r="Y384" s="1">
        <v>0</v>
      </c>
    </row>
    <row r="385" spans="1:25" x14ac:dyDescent="0.35">
      <c r="A385" s="1">
        <v>12323</v>
      </c>
      <c r="B385" s="12">
        <v>44723</v>
      </c>
      <c r="C385" s="1" t="s">
        <v>183</v>
      </c>
      <c r="D385" s="1" t="s">
        <v>746</v>
      </c>
      <c r="E385" s="1">
        <v>6.1</v>
      </c>
      <c r="F385" s="53">
        <v>0</v>
      </c>
      <c r="G385" s="1">
        <v>14</v>
      </c>
      <c r="H385" s="1">
        <v>1.4</v>
      </c>
      <c r="I385" s="1">
        <v>1.2</v>
      </c>
      <c r="J385" s="1">
        <v>0</v>
      </c>
      <c r="K385" s="1">
        <v>0</v>
      </c>
      <c r="L385" s="1">
        <v>0</v>
      </c>
      <c r="M385" s="1">
        <v>0</v>
      </c>
      <c r="N385" s="1">
        <v>0.1</v>
      </c>
      <c r="O385" s="1">
        <v>1.4</v>
      </c>
      <c r="P385" s="1">
        <v>925.4</v>
      </c>
      <c r="Q385" s="1">
        <v>11.6</v>
      </c>
      <c r="R385" s="1">
        <v>1031.8</v>
      </c>
      <c r="S385" s="1">
        <v>3636.7</v>
      </c>
      <c r="T385" s="1" t="s">
        <v>809</v>
      </c>
      <c r="U385" s="1">
        <v>75045</v>
      </c>
      <c r="V385" s="1">
        <v>33328</v>
      </c>
      <c r="W385" s="1">
        <v>654</v>
      </c>
      <c r="X385" s="1">
        <v>0</v>
      </c>
      <c r="Y385" s="1">
        <v>0</v>
      </c>
    </row>
    <row r="386" spans="1:25" x14ac:dyDescent="0.35">
      <c r="A386" s="1">
        <v>12324</v>
      </c>
      <c r="B386" s="12">
        <v>44723</v>
      </c>
      <c r="C386" s="1" t="s">
        <v>172</v>
      </c>
      <c r="D386" s="1" t="s">
        <v>749</v>
      </c>
      <c r="E386" s="1">
        <v>24.6</v>
      </c>
      <c r="F386" s="53">
        <v>0</v>
      </c>
      <c r="G386" s="1">
        <v>14.7</v>
      </c>
      <c r="H386" s="1">
        <v>1.4</v>
      </c>
      <c r="I386" s="1">
        <v>1.1000000000000001</v>
      </c>
      <c r="J386" s="1">
        <v>0</v>
      </c>
      <c r="K386" s="1">
        <v>0</v>
      </c>
      <c r="L386" s="1">
        <v>0</v>
      </c>
      <c r="M386" s="1">
        <v>0</v>
      </c>
      <c r="N386" s="1">
        <v>0.2</v>
      </c>
      <c r="O386" s="1">
        <v>1.1000000000000001</v>
      </c>
      <c r="P386" s="1">
        <v>955.6</v>
      </c>
      <c r="Q386" s="1">
        <v>12.2</v>
      </c>
      <c r="R386" s="1">
        <v>1051.8</v>
      </c>
      <c r="S386" s="1">
        <v>3596.2</v>
      </c>
      <c r="T386" s="1" t="s">
        <v>814</v>
      </c>
      <c r="U386" s="1">
        <v>20138</v>
      </c>
      <c r="V386" s="1">
        <v>5111</v>
      </c>
      <c r="W386" s="1">
        <v>103</v>
      </c>
      <c r="X386" s="1">
        <v>0</v>
      </c>
      <c r="Y386" s="1">
        <v>0</v>
      </c>
    </row>
    <row r="387" spans="1:25" x14ac:dyDescent="0.35">
      <c r="A387" s="10">
        <v>12325</v>
      </c>
      <c r="B387" s="113">
        <v>44723</v>
      </c>
      <c r="C387" s="114" t="s">
        <v>172</v>
      </c>
      <c r="D387" s="114" t="s">
        <v>746</v>
      </c>
      <c r="E387" s="208">
        <v>6.1</v>
      </c>
      <c r="F387" s="118">
        <v>0</v>
      </c>
      <c r="G387" s="114">
        <v>15.4</v>
      </c>
      <c r="H387" s="1">
        <v>1.3</v>
      </c>
      <c r="I387" s="1">
        <v>1.1000000000000001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1.3</v>
      </c>
      <c r="P387" s="1">
        <v>913.4</v>
      </c>
      <c r="Q387" s="1">
        <v>11.3</v>
      </c>
      <c r="R387" s="1">
        <v>1028.5999999999999</v>
      </c>
      <c r="S387" s="1">
        <v>3623.5</v>
      </c>
      <c r="T387" s="1" t="s">
        <v>764</v>
      </c>
      <c r="U387" s="1">
        <v>84037</v>
      </c>
      <c r="V387" s="1">
        <v>31840</v>
      </c>
      <c r="W387" s="1">
        <v>392</v>
      </c>
      <c r="X387" s="1">
        <v>0</v>
      </c>
      <c r="Y387" s="1">
        <v>0</v>
      </c>
    </row>
    <row r="388" spans="1:25" x14ac:dyDescent="0.35">
      <c r="A388" s="1">
        <v>12571</v>
      </c>
      <c r="B388" s="12">
        <v>44726</v>
      </c>
      <c r="C388" s="1" t="s">
        <v>162</v>
      </c>
      <c r="D388" s="1" t="s">
        <v>723</v>
      </c>
      <c r="E388" s="1">
        <v>14.7</v>
      </c>
      <c r="F388" s="53">
        <v>0</v>
      </c>
      <c r="G388" s="1">
        <v>4.8</v>
      </c>
      <c r="H388" s="1">
        <v>2</v>
      </c>
      <c r="I388" s="1">
        <v>1.7</v>
      </c>
      <c r="J388" s="1">
        <v>0</v>
      </c>
      <c r="K388" s="1">
        <v>0</v>
      </c>
      <c r="L388" s="1">
        <v>0</v>
      </c>
      <c r="M388" s="1">
        <v>0</v>
      </c>
      <c r="N388" s="1">
        <v>1.6</v>
      </c>
      <c r="O388" s="1">
        <v>0</v>
      </c>
      <c r="P388" s="1">
        <v>1158</v>
      </c>
      <c r="Q388" s="1">
        <v>499.6</v>
      </c>
      <c r="R388" s="1">
        <v>1182.5</v>
      </c>
      <c r="S388" s="1">
        <v>2332.1</v>
      </c>
      <c r="T388" s="1" t="s">
        <v>814</v>
      </c>
      <c r="U388" s="1">
        <v>37608</v>
      </c>
      <c r="V388" s="1">
        <v>9741</v>
      </c>
      <c r="W388" s="1">
        <v>143</v>
      </c>
      <c r="X388" s="1">
        <v>0</v>
      </c>
      <c r="Y388" s="1">
        <v>0</v>
      </c>
    </row>
    <row r="389" spans="1:25" x14ac:dyDescent="0.35">
      <c r="A389" s="10">
        <v>12572</v>
      </c>
      <c r="B389" s="115">
        <v>44726</v>
      </c>
      <c r="C389" s="91" t="s">
        <v>163</v>
      </c>
      <c r="D389" s="91" t="s">
        <v>723</v>
      </c>
      <c r="E389" s="252">
        <v>14.8</v>
      </c>
      <c r="F389" s="120">
        <v>0</v>
      </c>
      <c r="G389" s="91">
        <v>4.5</v>
      </c>
      <c r="H389" s="1">
        <v>2</v>
      </c>
      <c r="I389" s="1">
        <v>1.6</v>
      </c>
      <c r="J389" s="1">
        <v>0</v>
      </c>
      <c r="K389" s="1">
        <v>0</v>
      </c>
      <c r="L389" s="1">
        <v>0</v>
      </c>
      <c r="M389" s="1">
        <v>0</v>
      </c>
      <c r="N389" s="1">
        <v>1.9</v>
      </c>
      <c r="O389" s="1">
        <v>0</v>
      </c>
      <c r="P389" s="1">
        <v>1155.8</v>
      </c>
      <c r="Q389" s="1">
        <v>506.9</v>
      </c>
      <c r="R389" s="1">
        <v>1198.2</v>
      </c>
      <c r="S389" s="1">
        <v>2360.6999999999998</v>
      </c>
      <c r="T389" s="1" t="s">
        <v>816</v>
      </c>
      <c r="U389" s="1">
        <v>40595</v>
      </c>
      <c r="V389" s="1">
        <v>9349</v>
      </c>
      <c r="W389" s="1">
        <v>156</v>
      </c>
      <c r="X389" s="1">
        <v>2</v>
      </c>
      <c r="Y389" s="1">
        <v>0</v>
      </c>
    </row>
    <row r="390" spans="1:25" x14ac:dyDescent="0.35">
      <c r="A390" s="10">
        <v>12573</v>
      </c>
      <c r="B390" s="113">
        <v>44726</v>
      </c>
      <c r="C390" s="114" t="s">
        <v>164</v>
      </c>
      <c r="D390" s="114" t="s">
        <v>798</v>
      </c>
      <c r="E390" s="208">
        <v>11.4</v>
      </c>
      <c r="F390" s="118">
        <v>0</v>
      </c>
      <c r="G390" s="114">
        <v>15.3</v>
      </c>
      <c r="H390" s="1">
        <v>1.4</v>
      </c>
      <c r="I390" s="1">
        <v>1.4</v>
      </c>
      <c r="J390" s="1">
        <v>0</v>
      </c>
      <c r="K390" s="1">
        <v>0</v>
      </c>
      <c r="L390" s="1">
        <v>0</v>
      </c>
      <c r="M390" s="1">
        <v>0</v>
      </c>
      <c r="N390" s="1">
        <v>0.6</v>
      </c>
      <c r="O390" s="1">
        <v>1.1000000000000001</v>
      </c>
      <c r="P390" s="1">
        <v>923.7</v>
      </c>
      <c r="Q390" s="1">
        <v>10.7</v>
      </c>
      <c r="R390" s="1">
        <v>1001.8</v>
      </c>
      <c r="S390" s="1">
        <v>3403.3</v>
      </c>
      <c r="T390" s="1" t="s">
        <v>785</v>
      </c>
      <c r="U390" s="1">
        <v>122056</v>
      </c>
      <c r="V390" s="1">
        <v>47896</v>
      </c>
      <c r="W390" s="1">
        <v>669</v>
      </c>
      <c r="X390" s="1">
        <v>71</v>
      </c>
      <c r="Y390" s="1">
        <v>11</v>
      </c>
    </row>
    <row r="391" spans="1:25" x14ac:dyDescent="0.35">
      <c r="A391" s="1">
        <v>12574</v>
      </c>
      <c r="B391" s="12">
        <v>44727</v>
      </c>
      <c r="C391" s="1" t="s">
        <v>191</v>
      </c>
      <c r="D391" s="1" t="s">
        <v>723</v>
      </c>
      <c r="E391" s="1">
        <v>14.9</v>
      </c>
      <c r="F391" s="53">
        <v>0</v>
      </c>
      <c r="G391" s="1">
        <v>4.8</v>
      </c>
      <c r="H391" s="1">
        <v>1.9</v>
      </c>
      <c r="I391" s="1">
        <v>1.6</v>
      </c>
      <c r="J391" s="1">
        <v>0</v>
      </c>
      <c r="K391" s="1">
        <v>0</v>
      </c>
      <c r="L391" s="1">
        <v>0</v>
      </c>
      <c r="M391" s="1">
        <v>0</v>
      </c>
      <c r="N391" s="1">
        <v>1.8</v>
      </c>
      <c r="O391" s="1">
        <v>0.1</v>
      </c>
      <c r="P391" s="1">
        <v>1177.3</v>
      </c>
      <c r="Q391" s="1">
        <v>509.3</v>
      </c>
      <c r="R391" s="1">
        <v>1212.5</v>
      </c>
      <c r="S391" s="1">
        <v>2384.4</v>
      </c>
      <c r="T391" s="1" t="s">
        <v>815</v>
      </c>
      <c r="U391" s="1">
        <v>45070</v>
      </c>
      <c r="V391" s="1">
        <v>13740</v>
      </c>
      <c r="W391" s="1">
        <v>158</v>
      </c>
      <c r="X391" s="1">
        <v>3</v>
      </c>
      <c r="Y391" s="1">
        <v>0</v>
      </c>
    </row>
    <row r="392" spans="1:25" x14ac:dyDescent="0.35">
      <c r="A392" s="10">
        <v>12575</v>
      </c>
      <c r="B392" s="115">
        <v>44727</v>
      </c>
      <c r="C392" s="91" t="s">
        <v>238</v>
      </c>
      <c r="D392" s="91" t="s">
        <v>798</v>
      </c>
      <c r="E392" s="252">
        <v>11.2</v>
      </c>
      <c r="F392" s="120">
        <v>0</v>
      </c>
      <c r="G392" s="91">
        <v>2.9</v>
      </c>
      <c r="H392" s="1">
        <v>2</v>
      </c>
      <c r="I392" s="1">
        <v>1</v>
      </c>
      <c r="J392" s="1">
        <v>0</v>
      </c>
      <c r="K392" s="1">
        <v>0</v>
      </c>
      <c r="L392" s="1">
        <v>0</v>
      </c>
      <c r="M392" s="1">
        <v>0</v>
      </c>
      <c r="N392" s="1">
        <v>0.6</v>
      </c>
      <c r="O392" s="1">
        <v>2.5</v>
      </c>
      <c r="P392" s="1">
        <v>1096.8</v>
      </c>
      <c r="Q392" s="1">
        <v>12</v>
      </c>
      <c r="R392" s="1">
        <v>1213.3</v>
      </c>
      <c r="S392" s="1">
        <v>3108.7</v>
      </c>
      <c r="T392" s="1" t="s">
        <v>745</v>
      </c>
      <c r="U392" s="1">
        <v>6332</v>
      </c>
      <c r="V392" s="1">
        <v>1711</v>
      </c>
      <c r="W392" s="1">
        <v>25</v>
      </c>
      <c r="X392" s="1">
        <v>0</v>
      </c>
      <c r="Y392" s="1">
        <v>0</v>
      </c>
    </row>
    <row r="393" spans="1:25" x14ac:dyDescent="0.35">
      <c r="A393" s="10">
        <v>12576</v>
      </c>
      <c r="B393" s="12">
        <v>44727</v>
      </c>
      <c r="C393" s="1" t="s">
        <v>171</v>
      </c>
      <c r="D393" s="1" t="s">
        <v>723</v>
      </c>
      <c r="E393" s="204">
        <v>14.9</v>
      </c>
      <c r="F393" s="53">
        <v>0</v>
      </c>
      <c r="G393" s="1">
        <v>5.0999999999999996</v>
      </c>
      <c r="H393" s="1">
        <v>1.7</v>
      </c>
      <c r="I393" s="1">
        <v>1.5</v>
      </c>
      <c r="J393" s="1">
        <v>0</v>
      </c>
      <c r="K393" s="1">
        <v>0</v>
      </c>
      <c r="L393" s="1">
        <v>0</v>
      </c>
      <c r="M393" s="1">
        <v>0</v>
      </c>
      <c r="N393" s="1">
        <v>1.8</v>
      </c>
      <c r="O393" s="1">
        <v>0.6</v>
      </c>
      <c r="P393" s="1">
        <v>1174.5999999999999</v>
      </c>
      <c r="Q393" s="1">
        <v>496.6</v>
      </c>
      <c r="R393" s="1">
        <v>1231.2</v>
      </c>
      <c r="S393" s="1">
        <v>2402.1999999999998</v>
      </c>
      <c r="T393" s="1" t="s">
        <v>762</v>
      </c>
      <c r="U393" s="1">
        <v>47014</v>
      </c>
      <c r="V393" s="1">
        <v>14681</v>
      </c>
      <c r="W393" s="1">
        <v>258</v>
      </c>
      <c r="X393" s="1">
        <v>2</v>
      </c>
      <c r="Y393" s="1">
        <v>0</v>
      </c>
    </row>
    <row r="394" spans="1:25" x14ac:dyDescent="0.35">
      <c r="A394" s="10">
        <v>12822</v>
      </c>
      <c r="B394" s="12">
        <v>44729</v>
      </c>
      <c r="C394" s="1" t="s">
        <v>181</v>
      </c>
      <c r="D394" s="1" t="s">
        <v>723</v>
      </c>
      <c r="E394" s="204">
        <v>15</v>
      </c>
      <c r="F394" s="53">
        <v>0</v>
      </c>
      <c r="G394" s="1">
        <v>4.9000000000000004</v>
      </c>
      <c r="H394" s="1">
        <v>1.8</v>
      </c>
      <c r="I394" s="1">
        <v>1.6</v>
      </c>
      <c r="J394" s="1">
        <v>0.2</v>
      </c>
      <c r="K394" s="1">
        <v>0.1</v>
      </c>
      <c r="L394" s="1">
        <v>0.1</v>
      </c>
      <c r="M394" s="1">
        <v>0</v>
      </c>
      <c r="N394" s="1">
        <v>1.4</v>
      </c>
      <c r="O394" s="1">
        <v>0.2</v>
      </c>
      <c r="P394" s="1">
        <v>1149.3</v>
      </c>
      <c r="Q394" s="1">
        <v>494.8</v>
      </c>
      <c r="R394" s="1">
        <v>1219.4000000000001</v>
      </c>
      <c r="S394" s="1">
        <v>2461.8000000000002</v>
      </c>
      <c r="T394" s="1" t="s">
        <v>795</v>
      </c>
      <c r="U394" s="1">
        <v>18008</v>
      </c>
      <c r="V394" s="1">
        <v>7512</v>
      </c>
      <c r="W394" s="1">
        <v>2522</v>
      </c>
      <c r="X394" s="1">
        <v>17</v>
      </c>
      <c r="Y394" s="1">
        <v>2</v>
      </c>
    </row>
    <row r="395" spans="1:25" x14ac:dyDescent="0.35">
      <c r="A395" s="10">
        <v>12823</v>
      </c>
      <c r="B395" s="12">
        <v>44729</v>
      </c>
      <c r="C395" s="1" t="s">
        <v>182</v>
      </c>
      <c r="D395" s="1" t="s">
        <v>723</v>
      </c>
      <c r="E395" s="204">
        <v>15</v>
      </c>
      <c r="F395" s="53">
        <v>0</v>
      </c>
      <c r="G395" s="1">
        <v>4.3</v>
      </c>
      <c r="H395" s="1">
        <v>1.7</v>
      </c>
      <c r="I395" s="1">
        <v>1.6</v>
      </c>
      <c r="J395" s="1">
        <v>0</v>
      </c>
      <c r="K395" s="1">
        <v>0.1</v>
      </c>
      <c r="L395" s="1">
        <v>0.1</v>
      </c>
      <c r="M395" s="1">
        <v>0</v>
      </c>
      <c r="N395" s="1">
        <v>1.2</v>
      </c>
      <c r="O395" s="1">
        <v>0.2</v>
      </c>
      <c r="P395" s="1">
        <v>1114.8</v>
      </c>
      <c r="Q395" s="1">
        <v>480.5</v>
      </c>
      <c r="R395" s="1">
        <v>1185.2</v>
      </c>
      <c r="S395" s="1">
        <v>2392.5</v>
      </c>
      <c r="T395" s="1" t="s">
        <v>812</v>
      </c>
      <c r="U395" s="1">
        <v>36889</v>
      </c>
      <c r="V395" s="1">
        <v>10041</v>
      </c>
      <c r="W395" s="1">
        <v>191</v>
      </c>
      <c r="X395" s="1">
        <v>2</v>
      </c>
      <c r="Y395" s="1">
        <v>0</v>
      </c>
    </row>
    <row r="396" spans="1:25" x14ac:dyDescent="0.35">
      <c r="A396" s="10">
        <v>12824</v>
      </c>
      <c r="B396" s="12">
        <v>44729</v>
      </c>
      <c r="C396" s="1" t="s">
        <v>183</v>
      </c>
      <c r="D396" s="1" t="s">
        <v>746</v>
      </c>
      <c r="E396" s="204">
        <v>6.2</v>
      </c>
      <c r="F396" s="53">
        <v>0</v>
      </c>
      <c r="G396" s="1">
        <v>13</v>
      </c>
      <c r="H396" s="1">
        <v>1.3</v>
      </c>
      <c r="I396" s="1">
        <v>1.4</v>
      </c>
      <c r="J396" s="1">
        <v>0</v>
      </c>
      <c r="K396" s="1">
        <v>0.1</v>
      </c>
      <c r="L396" s="1">
        <v>0.1</v>
      </c>
      <c r="M396" s="1">
        <v>0.1</v>
      </c>
      <c r="N396" s="1">
        <v>0.2</v>
      </c>
      <c r="O396" s="1">
        <v>1.5</v>
      </c>
      <c r="P396" s="1">
        <v>889.9</v>
      </c>
      <c r="Q396" s="1">
        <v>10.4</v>
      </c>
      <c r="R396" s="1">
        <v>1004.9</v>
      </c>
      <c r="S396" s="1">
        <v>3494.1</v>
      </c>
      <c r="T396" s="1" t="s">
        <v>809</v>
      </c>
      <c r="U396" s="1">
        <v>70826</v>
      </c>
      <c r="V396" s="1">
        <v>25530</v>
      </c>
      <c r="W396" s="1">
        <v>703</v>
      </c>
      <c r="X396" s="1">
        <v>5</v>
      </c>
      <c r="Y396" s="1">
        <v>0</v>
      </c>
    </row>
    <row r="397" spans="1:25" x14ac:dyDescent="0.35">
      <c r="A397" s="10">
        <v>12825</v>
      </c>
      <c r="B397" s="12">
        <v>44730</v>
      </c>
      <c r="C397" s="1" t="s">
        <v>191</v>
      </c>
      <c r="D397" s="1" t="s">
        <v>723</v>
      </c>
      <c r="E397" s="204">
        <v>14.7</v>
      </c>
      <c r="F397" s="53">
        <v>0</v>
      </c>
      <c r="G397" s="1">
        <v>4.7</v>
      </c>
      <c r="H397" s="1">
        <v>1.7</v>
      </c>
      <c r="I397" s="1">
        <v>1.5</v>
      </c>
      <c r="J397" s="1">
        <v>0</v>
      </c>
      <c r="K397" s="1">
        <v>0.1</v>
      </c>
      <c r="L397" s="1">
        <v>0.1</v>
      </c>
      <c r="M397" s="1">
        <v>0</v>
      </c>
      <c r="N397" s="1">
        <v>1.8</v>
      </c>
      <c r="O397" s="1">
        <v>0</v>
      </c>
      <c r="P397" s="1">
        <v>1127.2</v>
      </c>
      <c r="Q397" s="1">
        <v>488.1</v>
      </c>
      <c r="R397" s="1">
        <v>1195.4000000000001</v>
      </c>
      <c r="S397" s="1">
        <v>2383.9</v>
      </c>
      <c r="T397" s="1" t="s">
        <v>815</v>
      </c>
      <c r="U397" s="1">
        <v>44477</v>
      </c>
      <c r="V397" s="1">
        <v>10843</v>
      </c>
      <c r="W397" s="1">
        <v>108</v>
      </c>
      <c r="X397" s="1">
        <v>0</v>
      </c>
      <c r="Y397" s="1">
        <v>0</v>
      </c>
    </row>
    <row r="398" spans="1:25" x14ac:dyDescent="0.35">
      <c r="A398" s="10">
        <v>12826</v>
      </c>
      <c r="B398" s="12">
        <v>44730</v>
      </c>
      <c r="C398" s="1" t="s">
        <v>172</v>
      </c>
      <c r="D398" s="1" t="s">
        <v>746</v>
      </c>
      <c r="E398" s="204">
        <v>6.2</v>
      </c>
      <c r="F398" s="53">
        <v>0</v>
      </c>
      <c r="G398" s="1">
        <v>13.9</v>
      </c>
      <c r="H398" s="1">
        <v>1.3</v>
      </c>
      <c r="I398" s="1">
        <v>1.4</v>
      </c>
      <c r="J398" s="1">
        <v>0</v>
      </c>
      <c r="K398" s="1">
        <v>0.1</v>
      </c>
      <c r="L398" s="1">
        <v>0</v>
      </c>
      <c r="M398" s="1">
        <v>0</v>
      </c>
      <c r="N398" s="1">
        <v>0</v>
      </c>
      <c r="O398" s="1">
        <v>1.3</v>
      </c>
      <c r="P398" s="1">
        <v>898.6</v>
      </c>
      <c r="Q398" s="1">
        <v>11.3</v>
      </c>
      <c r="R398" s="1">
        <v>1011.9</v>
      </c>
      <c r="S398" s="1">
        <v>3516.3</v>
      </c>
      <c r="T398" s="1" t="s">
        <v>764</v>
      </c>
      <c r="U398" s="1">
        <v>82522</v>
      </c>
      <c r="V398" s="1">
        <v>32999</v>
      </c>
      <c r="W398" s="1">
        <v>485</v>
      </c>
      <c r="X398" s="1">
        <v>0</v>
      </c>
      <c r="Y398" s="1">
        <v>0</v>
      </c>
    </row>
    <row r="399" spans="1:25" x14ac:dyDescent="0.35">
      <c r="A399" s="10">
        <v>12827</v>
      </c>
      <c r="B399" s="12">
        <v>44730</v>
      </c>
      <c r="C399" s="1" t="s">
        <v>171</v>
      </c>
      <c r="D399" s="1" t="s">
        <v>723</v>
      </c>
      <c r="E399" s="1">
        <v>14.6</v>
      </c>
      <c r="F399" s="53">
        <v>0</v>
      </c>
      <c r="G399" s="1">
        <v>4.8</v>
      </c>
      <c r="H399" s="1">
        <v>1.7</v>
      </c>
      <c r="I399" s="1">
        <v>1.4</v>
      </c>
      <c r="J399" s="1">
        <v>0.3</v>
      </c>
      <c r="K399" s="1">
        <v>0.1</v>
      </c>
      <c r="L399" s="1">
        <v>0.1</v>
      </c>
      <c r="M399" s="1">
        <v>0</v>
      </c>
      <c r="N399" s="1">
        <v>1.5</v>
      </c>
      <c r="O399" s="1">
        <v>0.1</v>
      </c>
      <c r="P399" s="1">
        <v>1128.3</v>
      </c>
      <c r="Q399" s="1">
        <v>488.1</v>
      </c>
      <c r="R399" s="1">
        <v>1192.5999999999999</v>
      </c>
      <c r="S399" s="1">
        <v>2375.6999999999998</v>
      </c>
      <c r="T399" s="1" t="s">
        <v>762</v>
      </c>
      <c r="U399" s="1">
        <v>50796</v>
      </c>
      <c r="V399" s="1">
        <v>14736</v>
      </c>
      <c r="W399" s="1">
        <v>174</v>
      </c>
      <c r="X399" s="1">
        <v>0</v>
      </c>
      <c r="Y399" s="1">
        <v>0</v>
      </c>
    </row>
    <row r="400" spans="1:25" x14ac:dyDescent="0.35">
      <c r="A400" s="10">
        <v>13452</v>
      </c>
      <c r="B400" s="113">
        <v>44737</v>
      </c>
      <c r="C400" s="114" t="s">
        <v>162</v>
      </c>
      <c r="D400" s="1" t="s">
        <v>746</v>
      </c>
      <c r="E400" s="1">
        <v>6.2</v>
      </c>
      <c r="F400" s="53">
        <v>0</v>
      </c>
      <c r="G400" s="1">
        <v>14</v>
      </c>
      <c r="H400" s="1">
        <v>1.4</v>
      </c>
      <c r="I400" s="1">
        <v>1.3</v>
      </c>
      <c r="J400" s="1">
        <v>0</v>
      </c>
      <c r="K400" s="1">
        <v>0</v>
      </c>
      <c r="L400" s="1">
        <v>0</v>
      </c>
      <c r="M400" s="1">
        <v>0</v>
      </c>
      <c r="N400" s="1">
        <v>0.3</v>
      </c>
      <c r="O400" s="1">
        <v>0.9</v>
      </c>
      <c r="P400" s="1">
        <v>989.3</v>
      </c>
      <c r="Q400" s="1">
        <v>11.2</v>
      </c>
      <c r="R400" s="1">
        <v>967.4</v>
      </c>
      <c r="S400" s="1">
        <v>3505.4</v>
      </c>
      <c r="T400" s="1" t="s">
        <v>817</v>
      </c>
      <c r="U400" s="1">
        <v>67989</v>
      </c>
      <c r="V400" s="1">
        <v>32064</v>
      </c>
      <c r="W400" s="1">
        <v>1653</v>
      </c>
      <c r="X400" s="1">
        <v>67</v>
      </c>
      <c r="Y400" s="1">
        <v>6</v>
      </c>
    </row>
    <row r="401" spans="1:25" x14ac:dyDescent="0.35">
      <c r="A401" s="114">
        <v>13453</v>
      </c>
      <c r="B401" s="113">
        <v>44737</v>
      </c>
      <c r="C401" s="114" t="s">
        <v>163</v>
      </c>
      <c r="D401" s="114" t="s">
        <v>723</v>
      </c>
      <c r="E401" s="114">
        <v>14.9</v>
      </c>
      <c r="F401" s="118">
        <v>0</v>
      </c>
      <c r="G401" s="114">
        <v>5.9</v>
      </c>
      <c r="H401" s="1">
        <v>1.7</v>
      </c>
      <c r="I401" s="1">
        <v>1.2</v>
      </c>
      <c r="J401" s="1">
        <v>0</v>
      </c>
      <c r="K401" s="1">
        <v>0</v>
      </c>
      <c r="L401" s="1">
        <v>0</v>
      </c>
      <c r="M401" s="1">
        <v>0</v>
      </c>
      <c r="N401" s="1">
        <v>1.7</v>
      </c>
      <c r="O401" s="1">
        <v>0</v>
      </c>
      <c r="P401" s="1">
        <v>1180.4000000000001</v>
      </c>
      <c r="Q401" s="1">
        <v>455.1</v>
      </c>
      <c r="R401" s="1">
        <v>1088.5999999999999</v>
      </c>
      <c r="S401" s="1">
        <v>2302.6999999999998</v>
      </c>
      <c r="T401" s="1" t="s">
        <v>814</v>
      </c>
      <c r="U401" s="1">
        <v>32752</v>
      </c>
      <c r="V401" s="1">
        <v>7636</v>
      </c>
      <c r="W401" s="1">
        <v>97</v>
      </c>
      <c r="X401" s="1">
        <v>0</v>
      </c>
      <c r="Y401" s="1">
        <v>0</v>
      </c>
    </row>
    <row r="402" spans="1:25" x14ac:dyDescent="0.35">
      <c r="A402" s="1">
        <v>13454</v>
      </c>
      <c r="B402" s="12">
        <v>44737</v>
      </c>
      <c r="C402" s="1" t="s">
        <v>164</v>
      </c>
      <c r="D402" s="1" t="s">
        <v>798</v>
      </c>
      <c r="E402" s="1">
        <v>11.3</v>
      </c>
      <c r="F402" s="53">
        <v>0</v>
      </c>
      <c r="G402" s="1">
        <v>15</v>
      </c>
      <c r="H402" s="1">
        <v>1.3</v>
      </c>
      <c r="I402" s="1">
        <v>1.2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0.8</v>
      </c>
      <c r="P402" s="1">
        <v>993.9</v>
      </c>
      <c r="Q402" s="1">
        <v>13</v>
      </c>
      <c r="R402" s="1">
        <v>964.8</v>
      </c>
      <c r="S402" s="1">
        <v>3503.6</v>
      </c>
      <c r="T402" s="1" t="s">
        <v>375</v>
      </c>
      <c r="U402" s="1">
        <v>107368</v>
      </c>
      <c r="V402" s="1">
        <v>42336</v>
      </c>
      <c r="W402" s="1">
        <v>252</v>
      </c>
      <c r="X402" s="1">
        <v>2</v>
      </c>
      <c r="Y402" s="1">
        <v>0</v>
      </c>
    </row>
    <row r="403" spans="1:25" x14ac:dyDescent="0.35">
      <c r="A403" s="10">
        <v>13455</v>
      </c>
      <c r="B403" s="116">
        <v>44738</v>
      </c>
      <c r="C403" s="117" t="s">
        <v>191</v>
      </c>
      <c r="D403" s="91" t="s">
        <v>798</v>
      </c>
      <c r="E403" s="91">
        <v>11.3</v>
      </c>
      <c r="F403" s="120">
        <v>0</v>
      </c>
      <c r="G403" s="91">
        <v>13.2</v>
      </c>
      <c r="H403" s="1">
        <v>1.3</v>
      </c>
      <c r="I403" s="1">
        <v>1.2</v>
      </c>
      <c r="J403" s="1">
        <v>0.1</v>
      </c>
      <c r="K403" s="1">
        <v>0</v>
      </c>
      <c r="L403" s="1">
        <v>0</v>
      </c>
      <c r="M403" s="1">
        <v>0.1</v>
      </c>
      <c r="N403" s="1">
        <v>0.8</v>
      </c>
      <c r="O403" s="1">
        <v>0.7</v>
      </c>
      <c r="P403" s="1">
        <v>1023.8</v>
      </c>
      <c r="Q403" s="1">
        <v>12.9</v>
      </c>
      <c r="R403" s="1">
        <v>984.9</v>
      </c>
      <c r="S403" s="1">
        <v>3478.7</v>
      </c>
      <c r="T403" s="1" t="s">
        <v>375</v>
      </c>
      <c r="U403" s="1">
        <v>101912</v>
      </c>
      <c r="V403" s="1">
        <v>44459</v>
      </c>
      <c r="W403" s="1">
        <v>208</v>
      </c>
      <c r="X403" s="1">
        <v>6</v>
      </c>
      <c r="Y403" s="1">
        <v>0</v>
      </c>
    </row>
    <row r="404" spans="1:25" x14ac:dyDescent="0.35">
      <c r="A404" s="114">
        <v>13456</v>
      </c>
      <c r="B404" s="113">
        <v>44738</v>
      </c>
      <c r="C404" s="114" t="s">
        <v>172</v>
      </c>
      <c r="D404" s="114" t="s">
        <v>723</v>
      </c>
      <c r="E404" s="114">
        <v>14.9</v>
      </c>
      <c r="F404" s="118">
        <v>0</v>
      </c>
      <c r="G404" s="114">
        <v>6.3</v>
      </c>
      <c r="H404" s="1">
        <v>1.7</v>
      </c>
      <c r="I404" s="1">
        <v>1.4</v>
      </c>
      <c r="J404" s="1">
        <v>0</v>
      </c>
      <c r="K404" s="1">
        <v>0</v>
      </c>
      <c r="L404" s="1">
        <v>0.1</v>
      </c>
      <c r="M404" s="1">
        <v>0</v>
      </c>
      <c r="N404" s="1">
        <v>2.1</v>
      </c>
      <c r="O404" s="1">
        <v>0</v>
      </c>
      <c r="P404" s="1">
        <v>1217.0999999999999</v>
      </c>
      <c r="Q404" s="1">
        <v>468.6</v>
      </c>
      <c r="R404" s="1">
        <v>1117.3</v>
      </c>
      <c r="S404" s="1">
        <v>2347.5</v>
      </c>
      <c r="T404" s="1" t="s">
        <v>814</v>
      </c>
      <c r="U404" s="1">
        <v>36344</v>
      </c>
      <c r="V404" s="1">
        <v>9867</v>
      </c>
      <c r="W404" s="1">
        <v>158</v>
      </c>
      <c r="X404" s="1">
        <v>0</v>
      </c>
      <c r="Y404" s="1">
        <v>0</v>
      </c>
    </row>
    <row r="405" spans="1:25" x14ac:dyDescent="0.35">
      <c r="A405" s="1">
        <v>13457</v>
      </c>
      <c r="B405" s="12">
        <v>44738</v>
      </c>
      <c r="C405" s="1" t="s">
        <v>236</v>
      </c>
      <c r="D405" s="1" t="s">
        <v>746</v>
      </c>
      <c r="E405" s="1">
        <v>6.2</v>
      </c>
      <c r="F405" s="53">
        <v>0</v>
      </c>
      <c r="G405" s="1">
        <v>16.100000000000001</v>
      </c>
      <c r="H405" s="114">
        <v>1.3</v>
      </c>
      <c r="I405" s="114">
        <v>1.3</v>
      </c>
      <c r="J405" s="114">
        <v>0</v>
      </c>
      <c r="K405" s="114">
        <v>0</v>
      </c>
      <c r="L405" s="114">
        <v>0</v>
      </c>
      <c r="M405" s="114">
        <v>0</v>
      </c>
      <c r="N405" s="114">
        <v>0.3</v>
      </c>
      <c r="O405" s="114">
        <v>1.1000000000000001</v>
      </c>
      <c r="P405" s="114">
        <v>1021.1</v>
      </c>
      <c r="Q405" s="114">
        <v>11.8</v>
      </c>
      <c r="R405" s="114">
        <v>993.5</v>
      </c>
      <c r="S405" s="114">
        <v>3611</v>
      </c>
      <c r="T405" s="1" t="s">
        <v>764</v>
      </c>
      <c r="U405" s="114">
        <v>82261</v>
      </c>
      <c r="V405" s="114">
        <v>36046</v>
      </c>
      <c r="W405" s="114">
        <v>546</v>
      </c>
      <c r="X405" s="114">
        <v>0</v>
      </c>
      <c r="Y405" s="114">
        <v>0</v>
      </c>
    </row>
    <row r="406" spans="1:25" x14ac:dyDescent="0.35">
      <c r="A406" s="91">
        <v>14872</v>
      </c>
      <c r="B406" s="115">
        <v>44755</v>
      </c>
      <c r="C406" s="91" t="s">
        <v>162</v>
      </c>
      <c r="D406" s="91" t="s">
        <v>723</v>
      </c>
      <c r="E406" s="91">
        <v>14.8</v>
      </c>
      <c r="F406" s="120">
        <v>0</v>
      </c>
      <c r="G406" s="91">
        <v>5.2684000409999996</v>
      </c>
      <c r="H406" s="1">
        <v>1.604730322</v>
      </c>
      <c r="I406" s="1">
        <v>1.537439762</v>
      </c>
      <c r="J406" s="1">
        <v>0.47159060940000003</v>
      </c>
      <c r="K406" s="1">
        <v>0.1540942505</v>
      </c>
      <c r="L406" s="1">
        <v>0</v>
      </c>
      <c r="M406" s="1">
        <v>0</v>
      </c>
      <c r="N406" s="1">
        <v>1.65898166</v>
      </c>
      <c r="O406" s="1">
        <v>0</v>
      </c>
      <c r="P406" s="8">
        <v>1239.1082630000001</v>
      </c>
      <c r="Q406" s="8">
        <v>486.21354120000001</v>
      </c>
      <c r="R406" s="8">
        <v>1161.390022</v>
      </c>
      <c r="S406" s="8">
        <v>2463.7821049999998</v>
      </c>
      <c r="T406" s="1" t="s">
        <v>812</v>
      </c>
      <c r="U406" s="1">
        <v>35828.93</v>
      </c>
      <c r="V406" s="1">
        <v>10155.69</v>
      </c>
      <c r="W406" s="1">
        <v>195.48</v>
      </c>
      <c r="X406" s="1">
        <v>0</v>
      </c>
      <c r="Y406" s="1">
        <v>0</v>
      </c>
    </row>
    <row r="407" spans="1:25" x14ac:dyDescent="0.35">
      <c r="A407" s="1">
        <v>14873</v>
      </c>
      <c r="B407" s="12">
        <v>44755</v>
      </c>
      <c r="C407" s="1" t="s">
        <v>163</v>
      </c>
      <c r="D407" s="1" t="s">
        <v>746</v>
      </c>
      <c r="E407" s="1">
        <v>6.2</v>
      </c>
      <c r="F407" s="53">
        <v>0</v>
      </c>
      <c r="G407" s="1">
        <v>12.18023466</v>
      </c>
      <c r="H407" s="1">
        <v>1.1195293500000001</v>
      </c>
      <c r="I407" s="1">
        <v>1.0679997290000001</v>
      </c>
      <c r="J407" s="1">
        <v>0</v>
      </c>
      <c r="K407" s="1">
        <v>9.0822639999999996E-2</v>
      </c>
      <c r="L407" s="1">
        <v>0</v>
      </c>
      <c r="M407" s="1">
        <v>0.100654956</v>
      </c>
      <c r="N407" s="1">
        <v>0</v>
      </c>
      <c r="O407" s="1">
        <v>0.64397276199999998</v>
      </c>
      <c r="P407" s="8">
        <v>994.6651233</v>
      </c>
      <c r="Q407" s="8">
        <v>9.9248190449999996</v>
      </c>
      <c r="R407" s="8">
        <v>999.05028719999996</v>
      </c>
      <c r="S407" s="8">
        <v>3524.273956</v>
      </c>
      <c r="T407" s="1" t="s">
        <v>375</v>
      </c>
      <c r="U407" s="1">
        <v>105386.38</v>
      </c>
      <c r="V407" s="1">
        <v>40438.19</v>
      </c>
      <c r="W407" s="1">
        <v>236.96</v>
      </c>
      <c r="X407" s="1">
        <v>0</v>
      </c>
      <c r="Y407" s="1">
        <v>0</v>
      </c>
    </row>
    <row r="408" spans="1:25" x14ac:dyDescent="0.35">
      <c r="A408" s="1">
        <v>14874</v>
      </c>
      <c r="B408" s="12">
        <v>44755</v>
      </c>
      <c r="C408" s="1" t="s">
        <v>164</v>
      </c>
      <c r="D408" s="1" t="s">
        <v>723</v>
      </c>
      <c r="E408" s="1">
        <v>14.8</v>
      </c>
      <c r="F408" s="53">
        <v>0</v>
      </c>
      <c r="G408" s="1">
        <v>3.7180989960000002</v>
      </c>
      <c r="H408" s="1">
        <v>1.5380311579999999</v>
      </c>
      <c r="I408" s="1">
        <v>1.4905360510000001</v>
      </c>
      <c r="J408" s="1">
        <v>0</v>
      </c>
      <c r="K408" s="1">
        <v>0</v>
      </c>
      <c r="L408" s="1">
        <v>0</v>
      </c>
      <c r="M408" s="1">
        <v>0</v>
      </c>
      <c r="N408" s="1">
        <v>0.89474648899999998</v>
      </c>
      <c r="O408" s="1">
        <v>0</v>
      </c>
      <c r="P408" s="8">
        <v>1251.39805</v>
      </c>
      <c r="Q408" s="8">
        <v>485.06551760000002</v>
      </c>
      <c r="R408" s="8">
        <v>1182.9829299999999</v>
      </c>
      <c r="S408" s="8">
        <v>2492.2865179999999</v>
      </c>
      <c r="T408" s="1" t="s">
        <v>814</v>
      </c>
      <c r="U408" s="1">
        <v>32829.599999999999</v>
      </c>
      <c r="V408" s="1">
        <v>6970.89</v>
      </c>
      <c r="W408" s="1">
        <v>80.010000000000005</v>
      </c>
      <c r="X408" s="1">
        <v>0</v>
      </c>
      <c r="Y408" s="1">
        <v>0</v>
      </c>
    </row>
    <row r="409" spans="1:25" x14ac:dyDescent="0.35">
      <c r="A409" s="1">
        <v>14875</v>
      </c>
      <c r="B409" s="12">
        <v>44756</v>
      </c>
      <c r="C409" s="1" t="s">
        <v>191</v>
      </c>
      <c r="D409" s="1" t="s">
        <v>723</v>
      </c>
      <c r="E409" s="1">
        <v>14.9</v>
      </c>
      <c r="F409" s="53">
        <v>0</v>
      </c>
      <c r="G409" s="1">
        <v>3.3525097719999999</v>
      </c>
      <c r="H409" s="1">
        <v>1.591020707</v>
      </c>
      <c r="I409" s="1">
        <v>1.568033137</v>
      </c>
      <c r="J409" s="1">
        <v>0.18181666199999999</v>
      </c>
      <c r="K409" s="1">
        <v>0</v>
      </c>
      <c r="L409" s="1">
        <v>0</v>
      </c>
      <c r="M409" s="1">
        <v>0</v>
      </c>
      <c r="N409" s="1">
        <v>1.2202737269999999</v>
      </c>
      <c r="O409" s="1">
        <v>0</v>
      </c>
      <c r="P409" s="8">
        <v>1206.4536720000001</v>
      </c>
      <c r="Q409" s="8">
        <v>485.37241230000001</v>
      </c>
      <c r="R409" s="8">
        <v>1166.675017</v>
      </c>
      <c r="S409" s="8">
        <v>2467.8786829999999</v>
      </c>
      <c r="T409" s="1" t="s">
        <v>794</v>
      </c>
      <c r="U409" s="1">
        <v>34692.050000000003</v>
      </c>
      <c r="V409" s="1">
        <v>8678.76</v>
      </c>
      <c r="W409" s="1">
        <v>209.27</v>
      </c>
      <c r="X409" s="1">
        <v>0</v>
      </c>
      <c r="Y409" s="1">
        <v>0</v>
      </c>
    </row>
    <row r="410" spans="1:25" x14ac:dyDescent="0.35">
      <c r="A410" s="1">
        <v>14876</v>
      </c>
      <c r="B410" s="12">
        <v>44756</v>
      </c>
      <c r="C410" s="1" t="s">
        <v>172</v>
      </c>
      <c r="D410" s="1" t="s">
        <v>746</v>
      </c>
      <c r="E410" s="1">
        <v>6.2</v>
      </c>
      <c r="F410" s="53">
        <v>0</v>
      </c>
      <c r="G410" s="1">
        <v>12.61981697</v>
      </c>
      <c r="H410" s="1">
        <v>1.1885904759999999</v>
      </c>
      <c r="I410" s="1">
        <v>1.148153035</v>
      </c>
      <c r="J410" s="1">
        <v>0.29521019399999998</v>
      </c>
      <c r="K410" s="1">
        <v>0.15043499599999999</v>
      </c>
      <c r="L410" s="1">
        <v>1.5312769E-2</v>
      </c>
      <c r="M410" s="1">
        <v>0</v>
      </c>
      <c r="N410" s="1">
        <v>0.64270877299999996</v>
      </c>
      <c r="O410" s="1">
        <v>0.93397408900000001</v>
      </c>
      <c r="P410" s="8">
        <v>947.8658835</v>
      </c>
      <c r="Q410" s="8">
        <v>10.044846570000001</v>
      </c>
      <c r="R410" s="8">
        <v>993.94022510000002</v>
      </c>
      <c r="S410" s="8">
        <v>3494.518082</v>
      </c>
      <c r="T410" s="1" t="s">
        <v>764</v>
      </c>
      <c r="U410" s="1">
        <v>91705.24</v>
      </c>
      <c r="V410" s="1">
        <v>37174.730000000003</v>
      </c>
      <c r="W410" s="1">
        <v>455.46</v>
      </c>
      <c r="X410" s="1">
        <v>0</v>
      </c>
      <c r="Y410" s="1">
        <v>0</v>
      </c>
    </row>
    <row r="411" spans="1:25" x14ac:dyDescent="0.35">
      <c r="A411" s="114">
        <v>14877</v>
      </c>
      <c r="B411" s="113">
        <v>44756</v>
      </c>
      <c r="C411" s="114" t="s">
        <v>171</v>
      </c>
      <c r="D411" s="114" t="s">
        <v>723</v>
      </c>
      <c r="E411" s="114">
        <v>15</v>
      </c>
      <c r="F411" s="118">
        <v>0</v>
      </c>
      <c r="G411" s="114">
        <v>3.6075984069999998</v>
      </c>
      <c r="H411" s="114">
        <v>1.758480203</v>
      </c>
      <c r="I411" s="114">
        <v>1.4071283539999999</v>
      </c>
      <c r="J411" s="114">
        <v>0.159392268</v>
      </c>
      <c r="K411" s="114">
        <v>0.27575799899999998</v>
      </c>
      <c r="L411" s="114">
        <v>2.3386192E-2</v>
      </c>
      <c r="M411" s="114">
        <v>0</v>
      </c>
      <c r="N411" s="114">
        <v>1.706065229</v>
      </c>
      <c r="O411" s="114">
        <v>0</v>
      </c>
      <c r="P411" s="119">
        <v>1188.295627</v>
      </c>
      <c r="Q411" s="119">
        <v>476.68857279999997</v>
      </c>
      <c r="R411" s="119">
        <v>1152.125663</v>
      </c>
      <c r="S411" s="119">
        <v>2424.3787499999999</v>
      </c>
      <c r="T411" s="114" t="s">
        <v>821</v>
      </c>
      <c r="U411" s="114">
        <v>39077.699999999997</v>
      </c>
      <c r="V411" s="114">
        <v>9555.7999999999993</v>
      </c>
      <c r="W411" s="114">
        <v>67.7</v>
      </c>
      <c r="X411" s="114">
        <v>0</v>
      </c>
      <c r="Y411" s="114">
        <v>0</v>
      </c>
    </row>
    <row r="412" spans="1:25" x14ac:dyDescent="0.35">
      <c r="A412" s="1">
        <v>15071</v>
      </c>
      <c r="B412" s="12">
        <v>44757</v>
      </c>
      <c r="C412" s="1" t="s">
        <v>181</v>
      </c>
      <c r="D412" s="1" t="s">
        <v>746</v>
      </c>
      <c r="E412" s="1">
        <v>6.1</v>
      </c>
      <c r="F412" s="53">
        <v>0</v>
      </c>
      <c r="G412" s="1">
        <v>13.58449325</v>
      </c>
      <c r="H412" s="1">
        <v>1.0097204209999999</v>
      </c>
      <c r="I412" s="1">
        <v>1.0664338659999999</v>
      </c>
      <c r="J412" s="1">
        <v>7.387096604E-2</v>
      </c>
      <c r="K412" s="1">
        <v>0</v>
      </c>
      <c r="L412" s="1">
        <v>7.4679822579999999E-2</v>
      </c>
      <c r="M412" s="1">
        <v>0</v>
      </c>
      <c r="N412" s="1">
        <v>0.73205420129999998</v>
      </c>
      <c r="O412" s="1">
        <v>1.112672305</v>
      </c>
      <c r="P412" s="8">
        <v>961.91894319999994</v>
      </c>
      <c r="Q412" s="8">
        <v>10.28220037</v>
      </c>
      <c r="R412" s="8">
        <v>10.28220037</v>
      </c>
      <c r="S412" s="8">
        <v>3466.437113</v>
      </c>
      <c r="T412" s="1" t="s">
        <v>797</v>
      </c>
      <c r="U412" s="1">
        <v>112674.16</v>
      </c>
      <c r="V412" s="1">
        <v>43815.48</v>
      </c>
      <c r="W412" s="1">
        <v>333.9</v>
      </c>
      <c r="X412" s="1">
        <v>6.15</v>
      </c>
      <c r="Y412" s="1">
        <v>0</v>
      </c>
    </row>
    <row r="413" spans="1:25" x14ac:dyDescent="0.35">
      <c r="A413" s="1">
        <v>15072</v>
      </c>
      <c r="B413" s="12">
        <v>44757</v>
      </c>
      <c r="C413" s="1" t="s">
        <v>182</v>
      </c>
      <c r="D413" s="1" t="s">
        <v>723</v>
      </c>
      <c r="E413" s="1">
        <v>14.8</v>
      </c>
      <c r="F413" s="53">
        <v>0</v>
      </c>
      <c r="G413" s="1">
        <v>5.1996036009999997</v>
      </c>
      <c r="H413" s="1">
        <v>1.4250961099999999</v>
      </c>
      <c r="I413" s="1">
        <v>1.4063301969999999</v>
      </c>
      <c r="J413" s="1">
        <v>0.22017637679999999</v>
      </c>
      <c r="K413" s="1">
        <v>0.15609534259999999</v>
      </c>
      <c r="L413" s="1">
        <v>1.179989626E-2</v>
      </c>
      <c r="M413" s="1">
        <v>0</v>
      </c>
      <c r="N413" s="1">
        <v>2.203311588</v>
      </c>
      <c r="O413" s="1">
        <v>0</v>
      </c>
      <c r="P413" s="8">
        <v>1232.0851740000001</v>
      </c>
      <c r="Q413" s="8">
        <v>485.79420859999999</v>
      </c>
      <c r="R413" s="8">
        <v>485.79420859999999</v>
      </c>
      <c r="S413" s="8">
        <v>2447.1616199999999</v>
      </c>
      <c r="T413" s="1" t="s">
        <v>812</v>
      </c>
      <c r="U413" s="1">
        <v>35217.519999999997</v>
      </c>
      <c r="V413" s="1">
        <v>10378.93</v>
      </c>
      <c r="W413" s="1">
        <v>267.74</v>
      </c>
      <c r="X413" s="1">
        <v>0</v>
      </c>
      <c r="Y413" s="1">
        <v>0</v>
      </c>
    </row>
    <row r="414" spans="1:25" x14ac:dyDescent="0.35">
      <c r="A414" s="1">
        <v>15073</v>
      </c>
      <c r="B414" s="12">
        <v>44757</v>
      </c>
      <c r="C414" s="1" t="s">
        <v>183</v>
      </c>
      <c r="D414" s="1" t="s">
        <v>723</v>
      </c>
      <c r="E414" s="1">
        <v>14.9</v>
      </c>
      <c r="F414" s="53">
        <v>0</v>
      </c>
      <c r="G414" s="1">
        <v>4.6110004699999996</v>
      </c>
      <c r="H414" s="1">
        <v>1.4250454379999999</v>
      </c>
      <c r="I414" s="1">
        <v>1.4724915439999999</v>
      </c>
      <c r="J414" s="1">
        <v>0</v>
      </c>
      <c r="K414" s="1">
        <v>8.2647115859999995E-2</v>
      </c>
      <c r="L414" s="1">
        <v>2.5330119870000001E-2</v>
      </c>
      <c r="M414" s="1">
        <v>0</v>
      </c>
      <c r="N414" s="1">
        <v>1.590574277</v>
      </c>
      <c r="O414" s="1">
        <v>0</v>
      </c>
      <c r="P414" s="8">
        <v>1227.1181799999999</v>
      </c>
      <c r="Q414" s="8">
        <v>480.36582090000002</v>
      </c>
      <c r="R414" s="8">
        <v>480.36582090000002</v>
      </c>
      <c r="S414" s="8">
        <v>2415.0872439999998</v>
      </c>
      <c r="T414" s="1" t="s">
        <v>794</v>
      </c>
      <c r="U414" s="1">
        <v>31779.23</v>
      </c>
      <c r="V414" s="1">
        <v>8161.71</v>
      </c>
      <c r="W414" s="1">
        <v>206.19</v>
      </c>
      <c r="X414" s="1">
        <v>0</v>
      </c>
      <c r="Y414" s="1">
        <v>0</v>
      </c>
    </row>
    <row r="415" spans="1:25" x14ac:dyDescent="0.35">
      <c r="A415" s="1">
        <v>15074</v>
      </c>
      <c r="B415" s="12">
        <v>44758</v>
      </c>
      <c r="C415" s="1" t="s">
        <v>192</v>
      </c>
      <c r="D415" s="1" t="s">
        <v>746</v>
      </c>
      <c r="E415" s="1">
        <v>6.1</v>
      </c>
      <c r="F415" s="53">
        <v>0</v>
      </c>
      <c r="G415" s="1">
        <v>11.402101707</v>
      </c>
      <c r="H415" s="1">
        <v>1.1397460129999999</v>
      </c>
      <c r="I415" s="1">
        <v>1.2817593519999999</v>
      </c>
      <c r="J415" s="1">
        <v>0</v>
      </c>
      <c r="K415" s="1">
        <v>0</v>
      </c>
      <c r="L415" s="1">
        <v>1.0344784440000001E-3</v>
      </c>
      <c r="M415" s="1">
        <v>0</v>
      </c>
      <c r="N415" s="1">
        <v>0.33383956390000002</v>
      </c>
      <c r="O415" s="1">
        <v>0.93194245220000005</v>
      </c>
      <c r="P415" s="8">
        <v>970.9842635</v>
      </c>
      <c r="Q415" s="8">
        <v>10.345779520000001</v>
      </c>
      <c r="R415" s="8">
        <v>10.345779520000001</v>
      </c>
      <c r="S415" s="8">
        <v>3470.2332120000001</v>
      </c>
      <c r="T415" s="1" t="s">
        <v>762</v>
      </c>
      <c r="U415" s="1">
        <v>45546.7</v>
      </c>
      <c r="V415" s="1">
        <v>17848.669999999998</v>
      </c>
      <c r="W415" s="1">
        <v>181.57</v>
      </c>
      <c r="X415" s="1">
        <v>0</v>
      </c>
      <c r="Y415" s="1">
        <v>0</v>
      </c>
    </row>
    <row r="416" spans="1:25" x14ac:dyDescent="0.35">
      <c r="A416" s="1">
        <v>15075</v>
      </c>
      <c r="B416" s="12">
        <v>44758</v>
      </c>
      <c r="C416" s="1" t="s">
        <v>191</v>
      </c>
      <c r="D416" s="1" t="s">
        <v>723</v>
      </c>
      <c r="E416" s="1">
        <v>14.8</v>
      </c>
      <c r="F416" s="53">
        <v>0</v>
      </c>
      <c r="G416" s="1">
        <v>4.7212838430000001</v>
      </c>
      <c r="H416" s="1">
        <v>1.377103427</v>
      </c>
      <c r="I416" s="1">
        <v>1.347887289</v>
      </c>
      <c r="J416" s="1">
        <v>0</v>
      </c>
      <c r="K416" s="1">
        <v>0.1230918318</v>
      </c>
      <c r="L416" s="1">
        <v>1.0863178520000001E-2</v>
      </c>
      <c r="M416" s="1">
        <v>0</v>
      </c>
      <c r="N416" s="1">
        <v>2.2220491529999999</v>
      </c>
      <c r="O416" s="1">
        <v>0</v>
      </c>
      <c r="P416" s="8">
        <v>1211.3399959999999</v>
      </c>
      <c r="Q416" s="8">
        <v>482.40388860000002</v>
      </c>
      <c r="R416" s="8">
        <v>1166.3884049999999</v>
      </c>
      <c r="S416" s="8">
        <v>2419.7376680000002</v>
      </c>
      <c r="T416" s="1" t="s">
        <v>814</v>
      </c>
      <c r="U416" s="1">
        <v>34306.26</v>
      </c>
      <c r="V416" s="1">
        <v>8153.87</v>
      </c>
      <c r="W416" s="1">
        <v>106.17</v>
      </c>
      <c r="X416" s="1">
        <v>0</v>
      </c>
      <c r="Y416" s="1">
        <v>0</v>
      </c>
    </row>
    <row r="417" spans="1:25" x14ac:dyDescent="0.35">
      <c r="A417" s="1">
        <v>15076</v>
      </c>
      <c r="B417" s="12">
        <v>44758</v>
      </c>
      <c r="C417" s="1" t="s">
        <v>258</v>
      </c>
      <c r="D417" s="1" t="s">
        <v>723</v>
      </c>
      <c r="E417" s="1">
        <v>14.9</v>
      </c>
      <c r="F417" s="53">
        <v>0</v>
      </c>
      <c r="G417" s="1">
        <v>4.7812218050000004</v>
      </c>
      <c r="H417" s="1">
        <v>1.476239361</v>
      </c>
      <c r="I417" s="1">
        <v>1.5495100559999999</v>
      </c>
      <c r="J417" s="1">
        <v>0</v>
      </c>
      <c r="K417" s="1">
        <v>0.3542884416</v>
      </c>
      <c r="L417" s="1">
        <v>2.5023234549999999E-2</v>
      </c>
      <c r="M417" s="1">
        <v>0</v>
      </c>
      <c r="N417" s="1">
        <v>1.918288142</v>
      </c>
      <c r="O417" s="1">
        <v>0</v>
      </c>
      <c r="P417" s="8">
        <v>1201.4139130000001</v>
      </c>
      <c r="Q417" s="8">
        <v>479.94516709999999</v>
      </c>
      <c r="R417" s="8">
        <v>1159.298074</v>
      </c>
      <c r="S417" s="8">
        <v>2416.5017560000001</v>
      </c>
      <c r="T417" s="1" t="s">
        <v>762</v>
      </c>
      <c r="U417" s="1">
        <v>41610.47</v>
      </c>
      <c r="V417" s="1">
        <v>11779.44</v>
      </c>
      <c r="W417" s="1">
        <v>312.36</v>
      </c>
      <c r="X417" s="1">
        <v>0</v>
      </c>
      <c r="Y417" s="1">
        <v>0</v>
      </c>
    </row>
    <row r="418" spans="1:25" x14ac:dyDescent="0.35">
      <c r="A418" s="1">
        <v>15634</v>
      </c>
      <c r="B418" s="12">
        <v>44763</v>
      </c>
      <c r="C418" s="1" t="s">
        <v>181</v>
      </c>
      <c r="D418" s="1" t="s">
        <v>723</v>
      </c>
      <c r="E418" s="1">
        <v>14.7</v>
      </c>
      <c r="F418" s="53">
        <v>0</v>
      </c>
      <c r="G418" s="1">
        <v>7</v>
      </c>
      <c r="H418" s="1">
        <v>2</v>
      </c>
      <c r="I418" s="1">
        <v>1.5</v>
      </c>
      <c r="J418" s="1">
        <v>0</v>
      </c>
      <c r="K418" s="1">
        <v>0</v>
      </c>
      <c r="L418" s="1">
        <v>0</v>
      </c>
      <c r="M418" s="1">
        <v>0</v>
      </c>
      <c r="N418" s="1">
        <v>2.2000000000000002</v>
      </c>
      <c r="O418" s="1">
        <v>0</v>
      </c>
      <c r="P418" s="8">
        <v>1281.7</v>
      </c>
      <c r="Q418" s="8">
        <v>501.1</v>
      </c>
      <c r="R418" s="8">
        <v>1209.0999999999999</v>
      </c>
      <c r="S418" s="8">
        <v>2558.9</v>
      </c>
      <c r="T418" s="1" t="s">
        <v>794</v>
      </c>
      <c r="U418" s="1">
        <v>38556</v>
      </c>
      <c r="V418" s="1">
        <v>9096</v>
      </c>
      <c r="W418" s="1">
        <v>228</v>
      </c>
      <c r="X418" s="1">
        <v>12</v>
      </c>
      <c r="Y418" s="1">
        <v>0</v>
      </c>
    </row>
    <row r="419" spans="1:25" x14ac:dyDescent="0.35">
      <c r="A419" s="1">
        <v>15635</v>
      </c>
      <c r="B419" s="12">
        <v>44763</v>
      </c>
      <c r="C419" s="1" t="s">
        <v>182</v>
      </c>
      <c r="D419" s="1" t="s">
        <v>723</v>
      </c>
      <c r="E419" s="1">
        <v>14.8</v>
      </c>
      <c r="F419" s="53">
        <v>0</v>
      </c>
      <c r="G419" s="1">
        <v>6.7</v>
      </c>
      <c r="H419" s="1">
        <v>1.8</v>
      </c>
      <c r="I419" s="1">
        <v>1.4</v>
      </c>
      <c r="J419" s="1">
        <v>0</v>
      </c>
      <c r="K419" s="1">
        <v>0</v>
      </c>
      <c r="L419" s="1">
        <v>0</v>
      </c>
      <c r="M419" s="1">
        <v>0</v>
      </c>
      <c r="N419" s="1">
        <v>1.7</v>
      </c>
      <c r="O419" s="1">
        <v>0</v>
      </c>
      <c r="P419" s="8">
        <v>1282</v>
      </c>
      <c r="Q419" s="8">
        <v>501.7</v>
      </c>
      <c r="R419" s="8">
        <v>1209.3</v>
      </c>
      <c r="S419" s="8">
        <v>2555.5</v>
      </c>
      <c r="T419" s="1" t="s">
        <v>814</v>
      </c>
      <c r="U419" s="1">
        <v>32056</v>
      </c>
      <c r="V419" s="1">
        <v>8608</v>
      </c>
      <c r="W419" s="1">
        <v>145</v>
      </c>
      <c r="X419" s="1">
        <v>0</v>
      </c>
      <c r="Y419" s="1">
        <v>0</v>
      </c>
    </row>
    <row r="420" spans="1:25" x14ac:dyDescent="0.35">
      <c r="A420" s="1">
        <v>15636</v>
      </c>
      <c r="B420" s="12">
        <v>44763</v>
      </c>
      <c r="C420" s="1" t="s">
        <v>183</v>
      </c>
      <c r="D420" s="1" t="s">
        <v>822</v>
      </c>
      <c r="E420" s="1">
        <v>78.099999999999994</v>
      </c>
      <c r="F420" s="53">
        <v>0</v>
      </c>
      <c r="G420" s="1">
        <v>25.9</v>
      </c>
      <c r="H420" s="1">
        <v>0.2</v>
      </c>
      <c r="I420" s="1">
        <v>0</v>
      </c>
      <c r="J420" s="1">
        <v>0.1</v>
      </c>
      <c r="K420" s="1">
        <v>0</v>
      </c>
      <c r="L420" s="1">
        <v>0</v>
      </c>
      <c r="M420" s="1">
        <v>0</v>
      </c>
      <c r="N420" s="1">
        <v>0.5</v>
      </c>
      <c r="O420" s="1">
        <v>0</v>
      </c>
      <c r="P420" s="8">
        <v>500.8</v>
      </c>
      <c r="Q420" s="8">
        <v>2.2999999999999998</v>
      </c>
      <c r="R420" s="8">
        <v>8</v>
      </c>
      <c r="S420" s="8">
        <v>11.4</v>
      </c>
      <c r="T420" s="1" t="s">
        <v>747</v>
      </c>
      <c r="U420" s="1">
        <v>5739</v>
      </c>
      <c r="V420" s="1">
        <v>1601</v>
      </c>
      <c r="W420" s="1">
        <v>40</v>
      </c>
      <c r="X420" s="1">
        <v>0</v>
      </c>
      <c r="Y420" s="1">
        <v>0</v>
      </c>
    </row>
    <row r="421" spans="1:25" x14ac:dyDescent="0.35">
      <c r="A421" s="1">
        <v>15637</v>
      </c>
      <c r="B421" s="12">
        <v>44764</v>
      </c>
      <c r="C421" s="1" t="s">
        <v>191</v>
      </c>
      <c r="D421" s="1" t="s">
        <v>723</v>
      </c>
      <c r="E421" s="1">
        <v>14.6</v>
      </c>
      <c r="F421" s="53">
        <v>0</v>
      </c>
      <c r="G421" s="1">
        <v>5.9</v>
      </c>
      <c r="H421" s="1">
        <v>1.7</v>
      </c>
      <c r="I421" s="1">
        <v>1.5</v>
      </c>
      <c r="J421" s="1">
        <v>0</v>
      </c>
      <c r="K421" s="1">
        <v>0</v>
      </c>
      <c r="L421" s="1">
        <v>0</v>
      </c>
      <c r="M421" s="1">
        <v>0</v>
      </c>
      <c r="N421" s="1">
        <v>2.2000000000000002</v>
      </c>
      <c r="O421" s="1">
        <v>0</v>
      </c>
      <c r="P421" s="8">
        <v>1271.5</v>
      </c>
      <c r="Q421" s="8">
        <v>503.6</v>
      </c>
      <c r="R421" s="8">
        <v>1198.5999999999999</v>
      </c>
      <c r="S421" s="8">
        <v>2560.3000000000002</v>
      </c>
      <c r="T421" s="1" t="s">
        <v>814</v>
      </c>
      <c r="U421" s="1">
        <v>34371</v>
      </c>
      <c r="V421" s="1">
        <v>9054</v>
      </c>
      <c r="W421" s="1">
        <v>92</v>
      </c>
      <c r="X421" s="1">
        <v>0</v>
      </c>
      <c r="Y421" s="1">
        <v>0</v>
      </c>
    </row>
    <row r="422" spans="1:25" x14ac:dyDescent="0.35">
      <c r="A422" s="1">
        <v>15638</v>
      </c>
      <c r="B422" s="12">
        <v>44764</v>
      </c>
      <c r="C422" s="1" t="s">
        <v>171</v>
      </c>
      <c r="D422" s="1" t="s">
        <v>723</v>
      </c>
      <c r="E422" s="1">
        <v>14.5</v>
      </c>
      <c r="F422" s="53">
        <v>0</v>
      </c>
      <c r="G422" s="1">
        <v>6.4</v>
      </c>
      <c r="H422" s="1">
        <v>1.8</v>
      </c>
      <c r="I422" s="1">
        <v>1.6</v>
      </c>
      <c r="J422" s="1">
        <v>0</v>
      </c>
      <c r="K422" s="1">
        <v>0</v>
      </c>
      <c r="L422" s="1">
        <v>0</v>
      </c>
      <c r="M422" s="1">
        <v>0</v>
      </c>
      <c r="N422" s="1">
        <v>2.1</v>
      </c>
      <c r="O422" s="1">
        <v>0</v>
      </c>
      <c r="P422" s="8">
        <v>1310.9</v>
      </c>
      <c r="Q422" s="8">
        <v>513.79999999999995</v>
      </c>
      <c r="R422" s="8">
        <v>1231.7</v>
      </c>
      <c r="S422" s="8">
        <v>2614.1999999999998</v>
      </c>
      <c r="T422" s="1" t="s">
        <v>821</v>
      </c>
      <c r="U422" s="1">
        <v>37489</v>
      </c>
      <c r="V422" s="1">
        <v>8570</v>
      </c>
      <c r="W422" s="1">
        <v>72</v>
      </c>
      <c r="X422" s="1">
        <v>5</v>
      </c>
      <c r="Y422" s="1">
        <v>0</v>
      </c>
    </row>
    <row r="423" spans="1:25" x14ac:dyDescent="0.35">
      <c r="A423" s="1">
        <v>15639</v>
      </c>
      <c r="B423" s="12">
        <v>44764</v>
      </c>
      <c r="C423" s="1" t="s">
        <v>259</v>
      </c>
      <c r="D423" s="1" t="s">
        <v>823</v>
      </c>
      <c r="E423" s="1">
        <v>78.5</v>
      </c>
      <c r="F423" s="53">
        <v>0</v>
      </c>
      <c r="G423" s="1">
        <v>24.8</v>
      </c>
      <c r="H423" s="1">
        <v>1.7</v>
      </c>
      <c r="I423" s="1">
        <v>0.2</v>
      </c>
      <c r="J423" s="1">
        <v>0</v>
      </c>
      <c r="K423" s="1">
        <v>0.1</v>
      </c>
      <c r="L423" s="1">
        <v>0</v>
      </c>
      <c r="M423" s="1">
        <v>0</v>
      </c>
      <c r="N423" s="1">
        <v>0.7</v>
      </c>
      <c r="O423" s="1">
        <v>0</v>
      </c>
      <c r="P423" s="8">
        <v>401.7</v>
      </c>
      <c r="Q423" s="8">
        <v>1.8</v>
      </c>
      <c r="R423" s="8">
        <v>10.8</v>
      </c>
      <c r="S423" s="8">
        <v>16</v>
      </c>
      <c r="T423" s="1" t="s">
        <v>721</v>
      </c>
      <c r="U423" s="1">
        <v>4301</v>
      </c>
      <c r="V423" s="1">
        <v>688</v>
      </c>
      <c r="W423" s="1">
        <v>17</v>
      </c>
      <c r="X423" s="1">
        <v>0</v>
      </c>
      <c r="Y423" s="1">
        <v>0</v>
      </c>
    </row>
    <row r="424" spans="1:25" x14ac:dyDescent="0.35">
      <c r="A424" s="1">
        <v>15949</v>
      </c>
      <c r="B424" s="12">
        <v>44767</v>
      </c>
      <c r="C424" s="1" t="s">
        <v>162</v>
      </c>
      <c r="D424" s="1" t="s">
        <v>746</v>
      </c>
      <c r="E424" s="1">
        <v>6.1</v>
      </c>
      <c r="F424" s="53">
        <v>0</v>
      </c>
      <c r="G424" s="1">
        <v>16</v>
      </c>
      <c r="H424" s="1">
        <v>1.3</v>
      </c>
      <c r="I424" s="1">
        <v>1.2</v>
      </c>
      <c r="J424" s="1">
        <v>0</v>
      </c>
      <c r="K424" s="1">
        <v>0</v>
      </c>
      <c r="L424" s="1">
        <v>0</v>
      </c>
      <c r="M424" s="1">
        <v>0</v>
      </c>
      <c r="N424" s="1">
        <v>0.1</v>
      </c>
      <c r="O424" s="1">
        <v>2</v>
      </c>
      <c r="P424" s="8">
        <v>978.4</v>
      </c>
      <c r="Q424" s="8">
        <v>10.6</v>
      </c>
      <c r="R424" s="8">
        <v>990.3</v>
      </c>
      <c r="S424" s="8">
        <v>3505.5</v>
      </c>
      <c r="T424" s="1" t="s">
        <v>375</v>
      </c>
      <c r="U424" s="1">
        <v>107584</v>
      </c>
      <c r="V424" s="1">
        <v>42867</v>
      </c>
      <c r="W424" s="1">
        <v>302</v>
      </c>
      <c r="X424" s="1">
        <v>3</v>
      </c>
      <c r="Y424" s="1">
        <v>0</v>
      </c>
    </row>
    <row r="425" spans="1:25" x14ac:dyDescent="0.35">
      <c r="A425" s="1">
        <v>15950</v>
      </c>
      <c r="B425" s="12">
        <v>44767</v>
      </c>
      <c r="C425" s="1" t="s">
        <v>163</v>
      </c>
      <c r="D425" s="1" t="s">
        <v>798</v>
      </c>
      <c r="E425" s="1">
        <v>11.3</v>
      </c>
      <c r="F425" s="53">
        <v>0</v>
      </c>
      <c r="G425" s="1">
        <v>17</v>
      </c>
      <c r="H425" s="1">
        <v>1.2</v>
      </c>
      <c r="I425" s="1">
        <v>1.1000000000000001</v>
      </c>
      <c r="J425" s="1">
        <v>0</v>
      </c>
      <c r="K425" s="1">
        <v>0</v>
      </c>
      <c r="L425" s="1">
        <v>0</v>
      </c>
      <c r="M425" s="1">
        <v>0</v>
      </c>
      <c r="N425" s="1">
        <v>0.5</v>
      </c>
      <c r="O425" s="1">
        <v>2</v>
      </c>
      <c r="P425" s="8">
        <v>1010.9</v>
      </c>
      <c r="Q425" s="8">
        <v>11</v>
      </c>
      <c r="R425" s="8">
        <v>1042.0999999999999</v>
      </c>
      <c r="S425" s="8">
        <v>3663.3</v>
      </c>
      <c r="T425" s="1" t="s">
        <v>824</v>
      </c>
      <c r="U425" s="1">
        <v>303721</v>
      </c>
      <c r="V425" s="1">
        <v>117844</v>
      </c>
      <c r="W425" s="1">
        <v>2107</v>
      </c>
      <c r="X425" s="1">
        <v>117</v>
      </c>
      <c r="Y425" s="1">
        <v>0</v>
      </c>
    </row>
    <row r="426" spans="1:25" x14ac:dyDescent="0.35">
      <c r="A426" s="1">
        <v>15951</v>
      </c>
      <c r="B426" s="12">
        <v>44767</v>
      </c>
      <c r="C426" s="1" t="s">
        <v>164</v>
      </c>
      <c r="D426" s="1" t="s">
        <v>746</v>
      </c>
      <c r="E426" s="1">
        <v>6.1</v>
      </c>
      <c r="F426" s="53">
        <v>0</v>
      </c>
      <c r="G426" s="1">
        <v>15.4</v>
      </c>
      <c r="H426" s="1">
        <v>1.2</v>
      </c>
      <c r="I426" s="1">
        <v>1</v>
      </c>
      <c r="J426" s="1">
        <v>0</v>
      </c>
      <c r="K426" s="1">
        <v>0</v>
      </c>
      <c r="L426" s="1">
        <v>0</v>
      </c>
      <c r="M426" s="1">
        <v>0</v>
      </c>
      <c r="N426" s="1">
        <v>0.3</v>
      </c>
      <c r="O426" s="1">
        <v>1.9</v>
      </c>
      <c r="P426" s="8">
        <v>985.4</v>
      </c>
      <c r="Q426" s="8">
        <v>10.7</v>
      </c>
      <c r="R426" s="8">
        <v>1007</v>
      </c>
      <c r="S426" s="8">
        <v>3542.5</v>
      </c>
      <c r="T426" s="1" t="s">
        <v>375</v>
      </c>
      <c r="U426" s="1">
        <v>102832</v>
      </c>
      <c r="V426" s="1">
        <v>41161</v>
      </c>
      <c r="W426" s="1">
        <v>275</v>
      </c>
      <c r="X426" s="1">
        <v>6</v>
      </c>
      <c r="Y426" s="1">
        <v>0</v>
      </c>
    </row>
    <row r="427" spans="1:25" x14ac:dyDescent="0.35">
      <c r="A427" s="1">
        <v>15952</v>
      </c>
      <c r="B427" s="12">
        <v>44769</v>
      </c>
      <c r="C427" s="1" t="s">
        <v>172</v>
      </c>
      <c r="D427" s="1" t="s">
        <v>746</v>
      </c>
      <c r="E427" s="1">
        <v>6.1</v>
      </c>
      <c r="F427" s="53">
        <v>0</v>
      </c>
      <c r="G427" s="1">
        <v>15.3</v>
      </c>
      <c r="H427" s="1">
        <v>1.2</v>
      </c>
      <c r="I427" s="1">
        <v>1.3</v>
      </c>
      <c r="J427" s="1">
        <v>0</v>
      </c>
      <c r="K427" s="1">
        <v>0</v>
      </c>
      <c r="L427" s="1">
        <v>0</v>
      </c>
      <c r="M427" s="1">
        <v>0</v>
      </c>
      <c r="N427" s="1">
        <v>0.8</v>
      </c>
      <c r="O427" s="1">
        <v>1.3</v>
      </c>
      <c r="P427" s="8">
        <v>979.2</v>
      </c>
      <c r="Q427" s="8">
        <v>10.5</v>
      </c>
      <c r="R427" s="8">
        <v>992.3</v>
      </c>
      <c r="S427" s="8">
        <v>3495.4</v>
      </c>
      <c r="T427" s="1" t="s">
        <v>764</v>
      </c>
      <c r="U427" s="1">
        <v>98724</v>
      </c>
      <c r="V427" s="1">
        <v>38412</v>
      </c>
      <c r="W427" s="1">
        <v>339</v>
      </c>
      <c r="X427" s="1">
        <v>2</v>
      </c>
      <c r="Y427" s="1">
        <v>0</v>
      </c>
    </row>
    <row r="428" spans="1:25" x14ac:dyDescent="0.35">
      <c r="A428" s="1">
        <v>15953</v>
      </c>
      <c r="B428" s="12">
        <v>44769</v>
      </c>
      <c r="C428" s="1" t="s">
        <v>236</v>
      </c>
      <c r="D428" s="1" t="s">
        <v>798</v>
      </c>
      <c r="E428" s="1">
        <v>11.4</v>
      </c>
      <c r="F428" s="53">
        <v>0</v>
      </c>
      <c r="G428" s="1">
        <v>15.2</v>
      </c>
      <c r="H428" s="1">
        <v>1.2</v>
      </c>
      <c r="I428" s="1">
        <v>1.3</v>
      </c>
      <c r="J428" s="1">
        <v>0</v>
      </c>
      <c r="K428" s="1">
        <v>0</v>
      </c>
      <c r="L428" s="1">
        <v>0</v>
      </c>
      <c r="M428" s="1">
        <v>0</v>
      </c>
      <c r="N428" s="1">
        <v>0.7</v>
      </c>
      <c r="O428" s="1">
        <v>1</v>
      </c>
      <c r="P428" s="8">
        <v>981.7</v>
      </c>
      <c r="Q428" s="8">
        <v>11.5</v>
      </c>
      <c r="R428" s="8">
        <v>1000</v>
      </c>
      <c r="S428" s="8">
        <v>3495.3</v>
      </c>
      <c r="T428" s="1" t="s">
        <v>825</v>
      </c>
      <c r="U428" s="1">
        <v>121572</v>
      </c>
      <c r="V428" s="1">
        <v>46283</v>
      </c>
      <c r="W428" s="1">
        <v>78</v>
      </c>
      <c r="X428" s="1">
        <v>0</v>
      </c>
      <c r="Y428" s="1">
        <v>0</v>
      </c>
    </row>
    <row r="429" spans="1:25" x14ac:dyDescent="0.35">
      <c r="A429" s="1">
        <v>15954</v>
      </c>
      <c r="B429" s="12">
        <v>44769</v>
      </c>
      <c r="C429" s="1" t="s">
        <v>192</v>
      </c>
      <c r="D429" s="1" t="s">
        <v>746</v>
      </c>
      <c r="E429" s="1">
        <v>6.1</v>
      </c>
      <c r="F429" s="53">
        <v>0</v>
      </c>
      <c r="G429" s="1">
        <v>15.3</v>
      </c>
      <c r="H429" s="1">
        <v>1.2</v>
      </c>
      <c r="I429" s="1">
        <v>1.3</v>
      </c>
      <c r="J429" s="1">
        <v>0</v>
      </c>
      <c r="K429" s="1">
        <v>0</v>
      </c>
      <c r="L429" s="1">
        <v>0</v>
      </c>
      <c r="M429" s="1">
        <v>0</v>
      </c>
      <c r="N429" s="1">
        <v>0.3</v>
      </c>
      <c r="O429" s="1">
        <v>1.1000000000000001</v>
      </c>
      <c r="P429" s="8">
        <v>998.8</v>
      </c>
      <c r="Q429" s="8">
        <v>10.7</v>
      </c>
      <c r="R429" s="8">
        <v>1019.7</v>
      </c>
      <c r="S429" s="8">
        <v>3580.1</v>
      </c>
      <c r="T429" s="1" t="s">
        <v>764</v>
      </c>
      <c r="U429" s="1">
        <v>97982</v>
      </c>
      <c r="V429" s="1">
        <v>38443</v>
      </c>
      <c r="W429" s="1">
        <v>320</v>
      </c>
      <c r="X429" s="1">
        <v>3</v>
      </c>
      <c r="Y429" s="1">
        <v>0</v>
      </c>
    </row>
    <row r="430" spans="1:25" x14ac:dyDescent="0.35">
      <c r="A430" s="1">
        <v>16047</v>
      </c>
      <c r="B430" s="12">
        <v>44770</v>
      </c>
      <c r="C430" s="1" t="s">
        <v>181</v>
      </c>
      <c r="D430" s="1" t="s">
        <v>723</v>
      </c>
      <c r="E430" s="1">
        <v>15.4</v>
      </c>
      <c r="F430" s="53">
        <v>0</v>
      </c>
      <c r="G430" s="1">
        <v>6.5</v>
      </c>
      <c r="H430" s="1">
        <v>1.7</v>
      </c>
      <c r="I430" s="1">
        <v>1.6</v>
      </c>
      <c r="J430" s="1">
        <v>0</v>
      </c>
      <c r="K430" s="1">
        <v>0</v>
      </c>
      <c r="L430" s="1">
        <v>0</v>
      </c>
      <c r="M430" s="1">
        <v>0</v>
      </c>
      <c r="N430" s="1">
        <v>1.3</v>
      </c>
      <c r="O430" s="1">
        <v>0</v>
      </c>
      <c r="P430" s="8">
        <v>1284.9000000000001</v>
      </c>
      <c r="Q430" s="8">
        <v>495.6</v>
      </c>
      <c r="R430" s="8">
        <v>1217.4000000000001</v>
      </c>
      <c r="S430" s="8">
        <v>2549.6</v>
      </c>
      <c r="T430" s="1" t="s">
        <v>821</v>
      </c>
      <c r="U430" s="1">
        <v>34404</v>
      </c>
      <c r="V430" s="1">
        <v>7479</v>
      </c>
      <c r="W430" s="1">
        <v>62</v>
      </c>
      <c r="X430" s="1">
        <v>3</v>
      </c>
      <c r="Y430" s="1">
        <v>0</v>
      </c>
    </row>
    <row r="431" spans="1:25" x14ac:dyDescent="0.35">
      <c r="A431" s="1">
        <v>16048</v>
      </c>
      <c r="B431" s="12">
        <v>44770</v>
      </c>
      <c r="C431" s="1" t="s">
        <v>182</v>
      </c>
      <c r="D431" s="1" t="s">
        <v>746</v>
      </c>
      <c r="E431" s="1">
        <v>6.1</v>
      </c>
      <c r="F431" s="53">
        <v>0</v>
      </c>
      <c r="G431" s="1">
        <v>15.4</v>
      </c>
      <c r="H431" s="1">
        <v>1.2</v>
      </c>
      <c r="I431" s="1">
        <v>1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0.7</v>
      </c>
      <c r="P431" s="8">
        <v>1038.9000000000001</v>
      </c>
      <c r="Q431" s="8">
        <v>12.6</v>
      </c>
      <c r="R431" s="8">
        <v>1063.5999999999999</v>
      </c>
      <c r="S431" s="8">
        <v>3747.5</v>
      </c>
      <c r="T431" s="1" t="s">
        <v>797</v>
      </c>
      <c r="U431" s="1">
        <v>104133</v>
      </c>
      <c r="V431" s="1">
        <v>41194</v>
      </c>
      <c r="W431" s="1">
        <v>346</v>
      </c>
      <c r="X431" s="1">
        <v>0</v>
      </c>
      <c r="Y431" s="1">
        <v>0</v>
      </c>
    </row>
    <row r="432" spans="1:25" x14ac:dyDescent="0.35">
      <c r="A432" s="1">
        <v>16049</v>
      </c>
      <c r="B432" s="12">
        <v>44770</v>
      </c>
      <c r="C432" s="1" t="s">
        <v>183</v>
      </c>
      <c r="D432" s="1" t="s">
        <v>723</v>
      </c>
      <c r="E432" s="1">
        <v>15.4</v>
      </c>
      <c r="F432" s="53">
        <v>0</v>
      </c>
      <c r="G432" s="1">
        <v>6.6</v>
      </c>
      <c r="H432" s="1">
        <v>1.9</v>
      </c>
      <c r="I432" s="1">
        <v>1.6</v>
      </c>
      <c r="J432" s="1">
        <v>0</v>
      </c>
      <c r="K432" s="1">
        <v>0</v>
      </c>
      <c r="L432" s="1">
        <v>0</v>
      </c>
      <c r="M432" s="1">
        <v>0</v>
      </c>
      <c r="N432" s="1">
        <v>0.9</v>
      </c>
      <c r="O432" s="1">
        <v>0</v>
      </c>
      <c r="P432" s="8">
        <v>1310.8</v>
      </c>
      <c r="Q432" s="8">
        <v>496.2</v>
      </c>
      <c r="R432" s="8">
        <v>1228.2</v>
      </c>
      <c r="S432" s="8">
        <v>2566.6</v>
      </c>
      <c r="T432" s="1" t="s">
        <v>814</v>
      </c>
      <c r="U432" s="1">
        <v>38460</v>
      </c>
      <c r="V432" s="1">
        <v>9232</v>
      </c>
      <c r="W432" s="1">
        <v>106</v>
      </c>
      <c r="X432" s="1">
        <v>0</v>
      </c>
      <c r="Y432" s="1">
        <v>0</v>
      </c>
    </row>
    <row r="433" spans="1:25" x14ac:dyDescent="0.35">
      <c r="A433" s="1">
        <v>16050</v>
      </c>
      <c r="B433" s="12">
        <v>44771</v>
      </c>
      <c r="C433" s="1" t="s">
        <v>191</v>
      </c>
      <c r="D433" s="1" t="s">
        <v>723</v>
      </c>
      <c r="E433" s="1">
        <v>15</v>
      </c>
      <c r="F433" s="53">
        <v>0</v>
      </c>
      <c r="G433" s="1">
        <v>6.5</v>
      </c>
      <c r="H433" s="1">
        <v>1.7</v>
      </c>
      <c r="I433" s="1">
        <v>1.5</v>
      </c>
      <c r="J433" s="1">
        <v>0</v>
      </c>
      <c r="K433" s="1">
        <v>0</v>
      </c>
      <c r="L433" s="1">
        <v>0</v>
      </c>
      <c r="M433" s="1">
        <v>0</v>
      </c>
      <c r="N433" s="1">
        <v>1.3</v>
      </c>
      <c r="O433" s="1">
        <v>0</v>
      </c>
      <c r="P433" s="8">
        <v>1298.7</v>
      </c>
      <c r="Q433" s="8">
        <v>495.4</v>
      </c>
      <c r="R433" s="8">
        <v>1211.0999999999999</v>
      </c>
      <c r="S433" s="8">
        <v>2545.8000000000002</v>
      </c>
      <c r="T433" s="1" t="s">
        <v>811</v>
      </c>
      <c r="U433" s="1">
        <v>38825</v>
      </c>
      <c r="V433" s="1">
        <v>10200</v>
      </c>
      <c r="W433" s="1">
        <v>154</v>
      </c>
      <c r="X433" s="1">
        <v>3</v>
      </c>
      <c r="Y433" s="1">
        <v>0</v>
      </c>
    </row>
    <row r="434" spans="1:25" x14ac:dyDescent="0.35">
      <c r="A434" s="1">
        <v>16051</v>
      </c>
      <c r="B434" s="12">
        <v>44771</v>
      </c>
      <c r="C434" s="1" t="s">
        <v>192</v>
      </c>
      <c r="D434" s="1" t="s">
        <v>746</v>
      </c>
      <c r="E434" s="1">
        <v>6.1</v>
      </c>
      <c r="F434" s="53">
        <v>0</v>
      </c>
      <c r="G434" s="1">
        <v>14.3</v>
      </c>
      <c r="H434" s="1">
        <v>1.3</v>
      </c>
      <c r="I434" s="1">
        <v>1.2</v>
      </c>
      <c r="J434" s="1">
        <v>0</v>
      </c>
      <c r="K434" s="1">
        <v>0</v>
      </c>
      <c r="L434" s="1">
        <v>0</v>
      </c>
      <c r="M434" s="1">
        <v>0</v>
      </c>
      <c r="N434" s="1">
        <v>0.4</v>
      </c>
      <c r="O434" s="1">
        <v>1.5</v>
      </c>
      <c r="P434" s="8">
        <v>999.9</v>
      </c>
      <c r="Q434" s="8">
        <v>11.7</v>
      </c>
      <c r="R434" s="8">
        <v>1034.0999999999999</v>
      </c>
      <c r="S434" s="8">
        <v>3645.7</v>
      </c>
      <c r="T434" s="1" t="s">
        <v>764</v>
      </c>
      <c r="U434" s="1">
        <v>93342</v>
      </c>
      <c r="V434" s="1">
        <v>36370</v>
      </c>
      <c r="W434" s="1">
        <v>560</v>
      </c>
      <c r="X434" s="1">
        <v>0</v>
      </c>
      <c r="Y434" s="1">
        <v>0</v>
      </c>
    </row>
    <row r="435" spans="1:25" x14ac:dyDescent="0.35">
      <c r="A435" s="1">
        <v>16052</v>
      </c>
      <c r="B435" s="12">
        <v>44771</v>
      </c>
      <c r="C435" s="1" t="s">
        <v>171</v>
      </c>
      <c r="D435" s="1" t="s">
        <v>723</v>
      </c>
      <c r="E435" s="1">
        <v>15</v>
      </c>
      <c r="F435" s="53">
        <v>0</v>
      </c>
      <c r="G435" s="1">
        <v>6.5</v>
      </c>
      <c r="H435" s="1">
        <v>1.7</v>
      </c>
      <c r="I435" s="1">
        <v>1.4</v>
      </c>
      <c r="J435" s="1">
        <v>0</v>
      </c>
      <c r="K435" s="1">
        <v>0</v>
      </c>
      <c r="L435" s="1">
        <v>0</v>
      </c>
      <c r="M435" s="1">
        <v>0</v>
      </c>
      <c r="N435" s="1">
        <v>1.6</v>
      </c>
      <c r="O435" s="1">
        <v>0</v>
      </c>
      <c r="P435" s="8">
        <v>1284.5999999999999</v>
      </c>
      <c r="Q435" s="8">
        <v>489.2</v>
      </c>
      <c r="R435" s="8">
        <v>1207.0999999999999</v>
      </c>
      <c r="S435" s="8">
        <v>2536.6</v>
      </c>
      <c r="T435" s="1" t="s">
        <v>821</v>
      </c>
      <c r="U435" s="1">
        <v>32845</v>
      </c>
      <c r="V435" s="1">
        <v>7032</v>
      </c>
      <c r="W435" s="1">
        <v>62</v>
      </c>
      <c r="X435" s="1">
        <v>0</v>
      </c>
      <c r="Y435" s="1">
        <v>0</v>
      </c>
    </row>
    <row r="436" spans="1:25" x14ac:dyDescent="0.35">
      <c r="A436" s="259">
        <v>22</v>
      </c>
      <c r="B436" s="260">
        <v>44926</v>
      </c>
      <c r="C436" s="259" t="s">
        <v>162</v>
      </c>
      <c r="D436" s="259" t="s">
        <v>970</v>
      </c>
      <c r="E436" s="261">
        <v>6.1</v>
      </c>
      <c r="F436" s="259">
        <v>0</v>
      </c>
      <c r="G436" s="259">
        <v>14.7</v>
      </c>
      <c r="H436" s="259">
        <v>1.1000000000000001</v>
      </c>
      <c r="I436" s="259">
        <v>1</v>
      </c>
      <c r="J436" s="259">
        <v>0</v>
      </c>
      <c r="K436" s="259">
        <v>0</v>
      </c>
      <c r="L436" s="259">
        <v>0</v>
      </c>
      <c r="M436" s="259">
        <v>0</v>
      </c>
      <c r="N436" s="259">
        <v>0</v>
      </c>
      <c r="O436" s="259">
        <v>0.6</v>
      </c>
      <c r="P436" s="262">
        <v>1100.3</v>
      </c>
      <c r="Q436" s="262">
        <v>11.1</v>
      </c>
      <c r="R436" s="262">
        <v>1056.9000000000001</v>
      </c>
      <c r="S436" s="262">
        <v>3484.8</v>
      </c>
      <c r="T436" s="259" t="s">
        <v>748</v>
      </c>
      <c r="U436" s="259">
        <v>98121</v>
      </c>
      <c r="V436" s="259">
        <v>39420</v>
      </c>
      <c r="W436" s="259">
        <v>254</v>
      </c>
      <c r="X436" s="259">
        <v>0</v>
      </c>
      <c r="Y436" s="259">
        <v>0</v>
      </c>
    </row>
    <row r="437" spans="1:25" x14ac:dyDescent="0.35">
      <c r="A437" s="259">
        <v>23</v>
      </c>
      <c r="B437" s="260">
        <v>44926</v>
      </c>
      <c r="C437" s="259" t="s">
        <v>163</v>
      </c>
      <c r="D437" s="259" t="s">
        <v>971</v>
      </c>
      <c r="E437" s="261">
        <v>11.7</v>
      </c>
      <c r="F437" s="263">
        <v>0</v>
      </c>
      <c r="G437" s="259">
        <v>15.6</v>
      </c>
      <c r="H437" s="259">
        <v>1.2</v>
      </c>
      <c r="I437" s="259">
        <v>1.2</v>
      </c>
      <c r="J437" s="259">
        <v>0</v>
      </c>
      <c r="K437" s="259">
        <v>0</v>
      </c>
      <c r="L437" s="259">
        <v>0</v>
      </c>
      <c r="M437" s="259">
        <v>0</v>
      </c>
      <c r="N437" s="259">
        <v>0</v>
      </c>
      <c r="O437" s="259">
        <v>0.4</v>
      </c>
      <c r="P437" s="262">
        <v>1114.5999999999999</v>
      </c>
      <c r="Q437" s="262">
        <v>12.7</v>
      </c>
      <c r="R437" s="262">
        <v>1078.2</v>
      </c>
      <c r="S437" s="262">
        <v>3573.5</v>
      </c>
      <c r="T437" s="259" t="s">
        <v>764</v>
      </c>
      <c r="U437" s="259">
        <v>98861</v>
      </c>
      <c r="V437" s="259">
        <v>39976</v>
      </c>
      <c r="W437" s="259">
        <v>413</v>
      </c>
      <c r="X437" s="259">
        <v>2</v>
      </c>
      <c r="Y437" s="259">
        <v>2</v>
      </c>
    </row>
    <row r="438" spans="1:25" x14ac:dyDescent="0.35">
      <c r="A438" s="259">
        <v>24</v>
      </c>
      <c r="B438" s="260">
        <v>44926</v>
      </c>
      <c r="C438" s="259" t="s">
        <v>164</v>
      </c>
      <c r="D438" s="259" t="s">
        <v>749</v>
      </c>
      <c r="E438" s="261">
        <v>25.2</v>
      </c>
      <c r="F438" s="259">
        <v>0</v>
      </c>
      <c r="G438" s="259">
        <v>15.9</v>
      </c>
      <c r="H438" s="259">
        <v>1.1000000000000001</v>
      </c>
      <c r="I438" s="259">
        <v>1.3</v>
      </c>
      <c r="J438" s="259">
        <v>0</v>
      </c>
      <c r="K438" s="259">
        <v>0</v>
      </c>
      <c r="L438" s="259">
        <v>0</v>
      </c>
      <c r="M438" s="259">
        <v>0</v>
      </c>
      <c r="N438" s="259">
        <v>0</v>
      </c>
      <c r="O438" s="259">
        <v>0.3</v>
      </c>
      <c r="P438" s="264">
        <v>1087.0999999999999</v>
      </c>
      <c r="Q438" s="264">
        <v>10.7</v>
      </c>
      <c r="R438" s="264">
        <v>1037.3</v>
      </c>
      <c r="S438" s="264">
        <v>3449</v>
      </c>
      <c r="T438" s="259" t="s">
        <v>972</v>
      </c>
      <c r="U438" s="262">
        <v>39934</v>
      </c>
      <c r="V438" s="262">
        <v>13481</v>
      </c>
      <c r="W438" s="262">
        <v>677</v>
      </c>
      <c r="X438" s="262">
        <v>0</v>
      </c>
      <c r="Y438" s="259">
        <v>0</v>
      </c>
    </row>
    <row r="439" spans="1:25" x14ac:dyDescent="0.35">
      <c r="A439" s="259">
        <v>25</v>
      </c>
      <c r="B439" s="260">
        <v>44927</v>
      </c>
      <c r="C439" s="259" t="s">
        <v>237</v>
      </c>
      <c r="D439" s="259" t="s">
        <v>749</v>
      </c>
      <c r="E439" s="261">
        <v>24.9</v>
      </c>
      <c r="F439" s="259">
        <v>0</v>
      </c>
      <c r="G439" s="259">
        <v>15.4</v>
      </c>
      <c r="H439" s="259">
        <v>1.1000000000000001</v>
      </c>
      <c r="I439" s="259">
        <v>1.3</v>
      </c>
      <c r="J439" s="259">
        <v>0</v>
      </c>
      <c r="K439" s="259">
        <v>0</v>
      </c>
      <c r="L439" s="259">
        <v>0</v>
      </c>
      <c r="M439" s="259">
        <v>0</v>
      </c>
      <c r="N439" s="259">
        <v>0</v>
      </c>
      <c r="O439" s="259">
        <v>0.5</v>
      </c>
      <c r="P439" s="264">
        <v>1105.3</v>
      </c>
      <c r="Q439" s="264">
        <v>12.5</v>
      </c>
      <c r="R439" s="264">
        <v>1068.8</v>
      </c>
      <c r="S439" s="264">
        <v>3541.6</v>
      </c>
      <c r="T439" s="259" t="s">
        <v>758</v>
      </c>
      <c r="U439" s="262">
        <v>13477</v>
      </c>
      <c r="V439" s="262">
        <v>4080</v>
      </c>
      <c r="W439" s="262">
        <v>252</v>
      </c>
      <c r="X439" s="262">
        <v>6</v>
      </c>
      <c r="Y439" s="259">
        <v>0</v>
      </c>
    </row>
    <row r="440" spans="1:25" x14ac:dyDescent="0.35">
      <c r="A440" s="259">
        <v>26</v>
      </c>
      <c r="B440" s="260">
        <v>44927</v>
      </c>
      <c r="C440" s="259" t="s">
        <v>236</v>
      </c>
      <c r="D440" s="259" t="s">
        <v>971</v>
      </c>
      <c r="E440" s="261">
        <v>11.7</v>
      </c>
      <c r="F440" s="263">
        <v>0</v>
      </c>
      <c r="G440" s="259">
        <v>15.9</v>
      </c>
      <c r="H440" s="259">
        <v>1.2</v>
      </c>
      <c r="I440" s="259">
        <v>1.2</v>
      </c>
      <c r="J440" s="259">
        <v>0</v>
      </c>
      <c r="K440" s="259">
        <v>0</v>
      </c>
      <c r="L440" s="259">
        <v>0</v>
      </c>
      <c r="M440" s="259">
        <v>0</v>
      </c>
      <c r="N440" s="259">
        <v>0</v>
      </c>
      <c r="O440" s="259">
        <v>0.9</v>
      </c>
      <c r="P440" s="262">
        <v>1154.8</v>
      </c>
      <c r="Q440" s="262">
        <v>13.8</v>
      </c>
      <c r="R440" s="262">
        <v>1131</v>
      </c>
      <c r="S440" s="262">
        <v>3774.4</v>
      </c>
      <c r="T440" s="259" t="s">
        <v>375</v>
      </c>
      <c r="U440" s="259">
        <v>110103</v>
      </c>
      <c r="V440" s="259">
        <v>45297</v>
      </c>
      <c r="W440" s="259">
        <v>319</v>
      </c>
      <c r="X440" s="259">
        <v>0</v>
      </c>
      <c r="Y440" s="259">
        <v>0</v>
      </c>
    </row>
    <row r="441" spans="1:25" x14ac:dyDescent="0.35">
      <c r="A441" s="259">
        <v>27</v>
      </c>
      <c r="B441" s="260">
        <v>44927</v>
      </c>
      <c r="C441" s="259" t="s">
        <v>192</v>
      </c>
      <c r="D441" s="259" t="s">
        <v>970</v>
      </c>
      <c r="E441" s="261">
        <v>6.1</v>
      </c>
      <c r="F441" s="259">
        <v>0</v>
      </c>
      <c r="G441" s="259">
        <v>14.2</v>
      </c>
      <c r="H441" s="259">
        <v>1.2</v>
      </c>
      <c r="I441" s="259">
        <v>1</v>
      </c>
      <c r="J441" s="259">
        <v>0</v>
      </c>
      <c r="K441" s="259">
        <v>0</v>
      </c>
      <c r="L441" s="259">
        <v>0</v>
      </c>
      <c r="M441" s="259">
        <v>0</v>
      </c>
      <c r="N441" s="259">
        <v>0</v>
      </c>
      <c r="O441" s="259">
        <v>0.3</v>
      </c>
      <c r="P441" s="262">
        <v>1098.2</v>
      </c>
      <c r="Q441" s="262">
        <v>11.6</v>
      </c>
      <c r="R441" s="262">
        <v>1026.8</v>
      </c>
      <c r="S441" s="262">
        <v>3536.7</v>
      </c>
      <c r="T441" s="259" t="s">
        <v>764</v>
      </c>
      <c r="U441" s="259">
        <v>103625</v>
      </c>
      <c r="V441" s="259">
        <v>35090</v>
      </c>
      <c r="W441" s="259">
        <v>558</v>
      </c>
      <c r="X441" s="259">
        <v>8</v>
      </c>
      <c r="Y441" s="259">
        <v>0</v>
      </c>
    </row>
    <row r="442" spans="1:25" x14ac:dyDescent="0.35">
      <c r="A442" s="259">
        <v>518</v>
      </c>
      <c r="B442" s="260">
        <v>44932</v>
      </c>
      <c r="C442" s="259" t="s">
        <v>181</v>
      </c>
      <c r="D442" s="259" t="s">
        <v>970</v>
      </c>
      <c r="E442" s="261">
        <v>6.1</v>
      </c>
      <c r="F442" s="259">
        <v>0</v>
      </c>
      <c r="G442" s="259">
        <v>14.8</v>
      </c>
      <c r="H442" s="259">
        <v>1.4</v>
      </c>
      <c r="I442" s="259">
        <v>0.7</v>
      </c>
      <c r="J442" s="259">
        <v>0</v>
      </c>
      <c r="K442" s="259">
        <v>0</v>
      </c>
      <c r="L442" s="259">
        <v>0</v>
      </c>
      <c r="M442" s="259">
        <v>0</v>
      </c>
      <c r="N442" s="259">
        <v>0.5</v>
      </c>
      <c r="O442" s="259">
        <v>0.7</v>
      </c>
      <c r="P442" s="262">
        <v>1104.8</v>
      </c>
      <c r="Q442" s="262">
        <v>11</v>
      </c>
      <c r="R442" s="262">
        <v>1037.0999999999999</v>
      </c>
      <c r="S442" s="262">
        <v>3577.8</v>
      </c>
      <c r="T442" s="259" t="s">
        <v>797</v>
      </c>
      <c r="U442" s="259">
        <v>121837</v>
      </c>
      <c r="V442" s="259">
        <v>51810</v>
      </c>
      <c r="W442" s="259">
        <v>532</v>
      </c>
      <c r="X442" s="259">
        <v>3</v>
      </c>
      <c r="Y442" s="259">
        <v>0</v>
      </c>
    </row>
    <row r="443" spans="1:25" x14ac:dyDescent="0.35">
      <c r="A443" s="259">
        <v>519</v>
      </c>
      <c r="B443" s="265">
        <v>44932</v>
      </c>
      <c r="C443" s="259" t="s">
        <v>182</v>
      </c>
      <c r="D443" s="259" t="s">
        <v>973</v>
      </c>
      <c r="E443" s="261">
        <v>15.6</v>
      </c>
      <c r="F443" s="259">
        <v>0</v>
      </c>
      <c r="G443" s="259">
        <v>4.9000000000000004</v>
      </c>
      <c r="H443" s="259">
        <v>1.7</v>
      </c>
      <c r="I443" s="259">
        <v>1</v>
      </c>
      <c r="J443" s="259">
        <v>0</v>
      </c>
      <c r="K443" s="259">
        <v>0</v>
      </c>
      <c r="L443" s="259">
        <v>0</v>
      </c>
      <c r="M443" s="259">
        <v>0</v>
      </c>
      <c r="N443" s="259">
        <v>1.6</v>
      </c>
      <c r="O443" s="259">
        <v>0</v>
      </c>
      <c r="P443" s="262">
        <v>1418.7</v>
      </c>
      <c r="Q443" s="262">
        <v>485.5</v>
      </c>
      <c r="R443" s="262">
        <v>1245.0999999999999</v>
      </c>
      <c r="S443" s="262">
        <v>2411.9</v>
      </c>
      <c r="T443" s="259" t="s">
        <v>794</v>
      </c>
      <c r="U443" s="259">
        <v>26417</v>
      </c>
      <c r="V443" s="259">
        <v>9858</v>
      </c>
      <c r="W443" s="259">
        <v>262</v>
      </c>
      <c r="X443" s="259">
        <v>0</v>
      </c>
      <c r="Y443" s="259">
        <v>0</v>
      </c>
    </row>
    <row r="444" spans="1:25" x14ac:dyDescent="0.35">
      <c r="A444" s="259">
        <v>520</v>
      </c>
      <c r="B444" s="260">
        <v>44932</v>
      </c>
      <c r="C444" s="259" t="s">
        <v>183</v>
      </c>
      <c r="D444" s="259" t="s">
        <v>970</v>
      </c>
      <c r="E444" s="261">
        <v>6.1</v>
      </c>
      <c r="F444" s="259">
        <v>0</v>
      </c>
      <c r="G444" s="259">
        <v>14.4</v>
      </c>
      <c r="H444" s="259">
        <v>1.4</v>
      </c>
      <c r="I444" s="259">
        <v>0.9</v>
      </c>
      <c r="J444" s="259">
        <v>0</v>
      </c>
      <c r="K444" s="259">
        <v>0</v>
      </c>
      <c r="L444" s="259">
        <v>0</v>
      </c>
      <c r="M444" s="259">
        <v>0</v>
      </c>
      <c r="N444" s="259">
        <v>0</v>
      </c>
      <c r="O444" s="259">
        <v>0.9</v>
      </c>
      <c r="P444" s="262">
        <v>1124.5999999999999</v>
      </c>
      <c r="Q444" s="262">
        <v>11.3</v>
      </c>
      <c r="R444" s="262">
        <v>1046.7</v>
      </c>
      <c r="S444" s="262">
        <v>3601.8</v>
      </c>
      <c r="T444" s="259" t="s">
        <v>797</v>
      </c>
      <c r="U444" s="259">
        <v>126584</v>
      </c>
      <c r="V444" s="259">
        <v>50493</v>
      </c>
      <c r="W444" s="259">
        <v>531</v>
      </c>
      <c r="X444" s="259">
        <v>0</v>
      </c>
      <c r="Y444" s="259">
        <v>0</v>
      </c>
    </row>
    <row r="445" spans="1:25" x14ac:dyDescent="0.35">
      <c r="A445" s="259">
        <v>521</v>
      </c>
      <c r="B445" s="265">
        <v>44933</v>
      </c>
      <c r="C445" s="259" t="s">
        <v>191</v>
      </c>
      <c r="D445" s="259" t="s">
        <v>973</v>
      </c>
      <c r="E445" s="261">
        <v>15.5</v>
      </c>
      <c r="F445" s="259">
        <v>0</v>
      </c>
      <c r="G445" s="259">
        <v>6.1</v>
      </c>
      <c r="H445" s="259">
        <v>1.6</v>
      </c>
      <c r="I445" s="259">
        <v>1</v>
      </c>
      <c r="J445" s="259">
        <v>0</v>
      </c>
      <c r="K445" s="259">
        <v>0</v>
      </c>
      <c r="L445" s="259">
        <v>0</v>
      </c>
      <c r="M445" s="259">
        <v>0</v>
      </c>
      <c r="N445" s="259">
        <v>1.4</v>
      </c>
      <c r="O445" s="259">
        <v>0</v>
      </c>
      <c r="P445" s="262">
        <v>1436.7</v>
      </c>
      <c r="Q445" s="262">
        <v>487.4</v>
      </c>
      <c r="R445" s="262">
        <v>1249.2</v>
      </c>
      <c r="S445" s="262">
        <v>2434.1</v>
      </c>
      <c r="T445" s="259" t="s">
        <v>814</v>
      </c>
      <c r="U445" s="259">
        <v>29849</v>
      </c>
      <c r="V445" s="259">
        <v>9621</v>
      </c>
      <c r="W445" s="259">
        <v>158</v>
      </c>
      <c r="X445" s="259">
        <v>0</v>
      </c>
      <c r="Y445" s="259">
        <v>0</v>
      </c>
    </row>
    <row r="446" spans="1:25" x14ac:dyDescent="0.35">
      <c r="A446" s="259">
        <v>522</v>
      </c>
      <c r="B446" s="260">
        <v>44933</v>
      </c>
      <c r="C446" s="259" t="s">
        <v>172</v>
      </c>
      <c r="D446" s="259" t="s">
        <v>970</v>
      </c>
      <c r="E446" s="261">
        <v>6.1</v>
      </c>
      <c r="F446" s="259">
        <v>0</v>
      </c>
      <c r="G446" s="259">
        <v>15.2</v>
      </c>
      <c r="H446" s="259">
        <v>1.2</v>
      </c>
      <c r="I446" s="259">
        <v>0.8</v>
      </c>
      <c r="J446" s="259">
        <v>0</v>
      </c>
      <c r="K446" s="259">
        <v>0</v>
      </c>
      <c r="L446" s="259">
        <v>0</v>
      </c>
      <c r="M446" s="259">
        <v>0</v>
      </c>
      <c r="N446" s="259">
        <v>0</v>
      </c>
      <c r="O446" s="259">
        <v>1.3</v>
      </c>
      <c r="P446" s="262">
        <v>1144.2</v>
      </c>
      <c r="Q446" s="262">
        <v>11.8</v>
      </c>
      <c r="R446" s="262">
        <v>1068.5999999999999</v>
      </c>
      <c r="S446" s="262">
        <v>3694.2</v>
      </c>
      <c r="T446" s="259" t="s">
        <v>748</v>
      </c>
      <c r="U446" s="259">
        <v>94679</v>
      </c>
      <c r="V446" s="259">
        <v>37209</v>
      </c>
      <c r="W446" s="259">
        <v>254</v>
      </c>
      <c r="X446" s="259">
        <v>0</v>
      </c>
      <c r="Y446" s="259">
        <v>0</v>
      </c>
    </row>
    <row r="447" spans="1:25" x14ac:dyDescent="0.35">
      <c r="A447" s="266">
        <v>523</v>
      </c>
      <c r="B447" s="265">
        <v>44933</v>
      </c>
      <c r="C447" s="266" t="s">
        <v>192</v>
      </c>
      <c r="D447" s="259" t="s">
        <v>970</v>
      </c>
      <c r="E447" s="267">
        <v>6.1</v>
      </c>
      <c r="F447" s="259">
        <v>0</v>
      </c>
      <c r="G447" s="266">
        <v>14.7</v>
      </c>
      <c r="H447" s="266">
        <v>1.2</v>
      </c>
      <c r="I447" s="266">
        <v>0.8</v>
      </c>
      <c r="J447" s="266">
        <v>0</v>
      </c>
      <c r="K447" s="266">
        <v>0</v>
      </c>
      <c r="L447" s="266">
        <v>0</v>
      </c>
      <c r="M447" s="266">
        <v>0</v>
      </c>
      <c r="N447" s="266">
        <v>0</v>
      </c>
      <c r="O447" s="266">
        <v>1</v>
      </c>
      <c r="P447" s="268">
        <v>1160.5999999999999</v>
      </c>
      <c r="Q447" s="268">
        <v>11.8</v>
      </c>
      <c r="R447" s="268">
        <v>1084.8</v>
      </c>
      <c r="S447" s="268">
        <v>3742.1</v>
      </c>
      <c r="T447" s="266" t="s">
        <v>748</v>
      </c>
      <c r="U447" s="266">
        <v>97033</v>
      </c>
      <c r="V447" s="266">
        <v>35279</v>
      </c>
      <c r="W447" s="266">
        <v>240</v>
      </c>
      <c r="X447" s="266">
        <v>0</v>
      </c>
      <c r="Y447" s="266">
        <v>0</v>
      </c>
    </row>
    <row r="448" spans="1:25" x14ac:dyDescent="0.35">
      <c r="A448" s="259">
        <v>1231</v>
      </c>
      <c r="B448" s="260">
        <v>44941</v>
      </c>
      <c r="C448" s="259" t="s">
        <v>162</v>
      </c>
      <c r="D448" s="259" t="s">
        <v>970</v>
      </c>
      <c r="E448" s="259">
        <v>6.1</v>
      </c>
      <c r="F448" s="259">
        <v>0</v>
      </c>
      <c r="G448" s="259">
        <v>14.92099816</v>
      </c>
      <c r="H448" s="259">
        <v>1.818770969</v>
      </c>
      <c r="I448" s="259">
        <v>0.85810166980000002</v>
      </c>
      <c r="J448" s="259">
        <v>0</v>
      </c>
      <c r="K448" s="259">
        <v>0</v>
      </c>
      <c r="L448" s="259">
        <v>0</v>
      </c>
      <c r="M448" s="259">
        <v>0</v>
      </c>
      <c r="N448" s="259">
        <v>0</v>
      </c>
      <c r="O448" s="259">
        <v>1.466247028</v>
      </c>
      <c r="P448" s="262">
        <v>1124.8278869999999</v>
      </c>
      <c r="Q448" s="262">
        <v>11.309188130000001</v>
      </c>
      <c r="R448" s="262">
        <v>1014.015823</v>
      </c>
      <c r="S448" s="262">
        <v>3579.6861549999999</v>
      </c>
      <c r="T448" s="259" t="s">
        <v>748</v>
      </c>
      <c r="U448" s="264">
        <v>90962.66</v>
      </c>
      <c r="V448" s="264">
        <v>37522.120000000003</v>
      </c>
      <c r="W448" s="264">
        <v>230.81</v>
      </c>
      <c r="X448" s="264">
        <v>0</v>
      </c>
      <c r="Y448" s="259">
        <v>0</v>
      </c>
    </row>
    <row r="449" spans="1:25" x14ac:dyDescent="0.35">
      <c r="A449" s="259">
        <v>1232</v>
      </c>
      <c r="B449" s="260">
        <v>44941</v>
      </c>
      <c r="C449" s="259" t="s">
        <v>164</v>
      </c>
      <c r="D449" s="259" t="s">
        <v>973</v>
      </c>
      <c r="E449" s="261">
        <v>15.4</v>
      </c>
      <c r="F449" s="259">
        <v>0</v>
      </c>
      <c r="G449" s="259">
        <v>5.4621223700000003</v>
      </c>
      <c r="H449" s="259">
        <v>1.900947905</v>
      </c>
      <c r="I449" s="259">
        <v>1.4622004289999999</v>
      </c>
      <c r="J449" s="259">
        <v>1.064249219E-2</v>
      </c>
      <c r="K449" s="259">
        <v>0</v>
      </c>
      <c r="L449" s="259">
        <v>3.2122651320000001E-2</v>
      </c>
      <c r="M449" s="259">
        <v>0</v>
      </c>
      <c r="N449" s="259">
        <v>1.372482676</v>
      </c>
      <c r="O449" s="259">
        <v>0</v>
      </c>
      <c r="P449" s="262">
        <v>1419.664125</v>
      </c>
      <c r="Q449" s="262">
        <v>484.5502654</v>
      </c>
      <c r="R449" s="262">
        <v>1184.7956260000001</v>
      </c>
      <c r="S449" s="262">
        <v>2404.0857660000001</v>
      </c>
      <c r="T449" s="259" t="s">
        <v>814</v>
      </c>
      <c r="U449" s="259">
        <v>33830.949999999997</v>
      </c>
      <c r="V449" s="259">
        <v>8663.56</v>
      </c>
      <c r="W449" s="259">
        <v>156.94999999999999</v>
      </c>
      <c r="X449" s="259">
        <v>0</v>
      </c>
      <c r="Y449" s="259">
        <v>0</v>
      </c>
    </row>
    <row r="450" spans="1:25" x14ac:dyDescent="0.35">
      <c r="A450" s="259">
        <v>1233</v>
      </c>
      <c r="B450" s="260">
        <v>44942</v>
      </c>
      <c r="C450" s="259" t="s">
        <v>172</v>
      </c>
      <c r="D450" s="259" t="s">
        <v>970</v>
      </c>
      <c r="E450" s="261">
        <v>6.1</v>
      </c>
      <c r="F450" s="259">
        <v>0</v>
      </c>
      <c r="G450" s="259">
        <v>14.40456794</v>
      </c>
      <c r="H450" s="259">
        <v>1.36912145</v>
      </c>
      <c r="I450" s="259">
        <v>1.0871729720000001</v>
      </c>
      <c r="J450" s="259">
        <v>0</v>
      </c>
      <c r="K450" s="259">
        <v>0</v>
      </c>
      <c r="L450" s="259">
        <v>4.0223323970000002E-2</v>
      </c>
      <c r="M450" s="259">
        <v>0</v>
      </c>
      <c r="N450" s="259">
        <v>0</v>
      </c>
      <c r="O450" s="259">
        <v>1.2795067360000001</v>
      </c>
      <c r="P450" s="262">
        <v>1130.378062</v>
      </c>
      <c r="Q450" s="262">
        <v>12.548276209999999</v>
      </c>
      <c r="R450" s="262">
        <v>1026.1864840000001</v>
      </c>
      <c r="S450" s="262">
        <v>3609.4139420000001</v>
      </c>
      <c r="T450" s="259" t="s">
        <v>748</v>
      </c>
      <c r="U450" s="264">
        <v>94684.22</v>
      </c>
      <c r="V450" s="264">
        <v>38271.79</v>
      </c>
      <c r="W450" s="264">
        <v>240.04</v>
      </c>
      <c r="X450" s="264">
        <v>3.08</v>
      </c>
      <c r="Y450" s="259">
        <v>0</v>
      </c>
    </row>
    <row r="451" spans="1:25" x14ac:dyDescent="0.35">
      <c r="A451" s="266">
        <v>1234</v>
      </c>
      <c r="B451" s="265">
        <v>44942</v>
      </c>
      <c r="C451" s="266" t="s">
        <v>191</v>
      </c>
      <c r="D451" s="266" t="s">
        <v>973</v>
      </c>
      <c r="E451" s="267">
        <v>15.4</v>
      </c>
      <c r="F451" s="259">
        <v>0</v>
      </c>
      <c r="G451" s="266">
        <v>5.1404208740000001</v>
      </c>
      <c r="H451" s="266">
        <v>1.7249903230000001</v>
      </c>
      <c r="I451" s="266">
        <v>1.236481537</v>
      </c>
      <c r="J451" s="266">
        <v>0</v>
      </c>
      <c r="K451" s="266">
        <v>0</v>
      </c>
      <c r="L451" s="266">
        <v>0</v>
      </c>
      <c r="M451" s="266">
        <v>0</v>
      </c>
      <c r="N451" s="266">
        <v>1.2510176749999999</v>
      </c>
      <c r="O451" s="266">
        <v>0.2297625865</v>
      </c>
      <c r="P451" s="268">
        <v>1436.62931</v>
      </c>
      <c r="Q451" s="268">
        <v>487.2287182</v>
      </c>
      <c r="R451" s="268">
        <v>1211.897792</v>
      </c>
      <c r="S451" s="268">
        <v>2509.4139420000001</v>
      </c>
      <c r="T451" s="266" t="s">
        <v>762</v>
      </c>
      <c r="U451" s="269">
        <v>47949.93</v>
      </c>
      <c r="V451" s="269">
        <v>14255.08</v>
      </c>
      <c r="W451" s="269">
        <v>201.64</v>
      </c>
      <c r="X451" s="269">
        <v>6.16</v>
      </c>
      <c r="Y451" s="266">
        <v>0</v>
      </c>
    </row>
    <row r="452" spans="1:25" x14ac:dyDescent="0.35">
      <c r="A452" s="259">
        <v>1460</v>
      </c>
      <c r="B452" s="260">
        <v>44944</v>
      </c>
      <c r="C452" s="259" t="s">
        <v>181</v>
      </c>
      <c r="D452" s="259" t="s">
        <v>973</v>
      </c>
      <c r="E452" s="259">
        <v>15.4</v>
      </c>
      <c r="F452" s="259">
        <v>0</v>
      </c>
      <c r="G452" s="259">
        <v>6.5849339210000002</v>
      </c>
      <c r="H452" s="259">
        <v>1.7296278540000001</v>
      </c>
      <c r="I452" s="259">
        <v>1.2925061179999999</v>
      </c>
      <c r="J452" s="259">
        <v>1.7331824289999999E-2</v>
      </c>
      <c r="K452" s="259">
        <v>0</v>
      </c>
      <c r="L452" s="259">
        <v>0</v>
      </c>
      <c r="M452" s="259">
        <v>0</v>
      </c>
      <c r="N452" s="259">
        <v>7.8565084239999999E-2</v>
      </c>
      <c r="O452" s="259">
        <v>0.3073534295</v>
      </c>
      <c r="P452" s="262">
        <v>1351.2897720000001</v>
      </c>
      <c r="Q452" s="262">
        <v>473.40994849999998</v>
      </c>
      <c r="R452" s="262">
        <v>1183.7050710000001</v>
      </c>
      <c r="S452" s="262">
        <v>2395.0808889999998</v>
      </c>
      <c r="T452" s="259" t="s">
        <v>814</v>
      </c>
      <c r="U452" s="264">
        <v>35101.01</v>
      </c>
      <c r="V452" s="264">
        <v>9050.09</v>
      </c>
      <c r="W452" s="264">
        <v>141.56</v>
      </c>
      <c r="X452" s="264">
        <v>0</v>
      </c>
      <c r="Y452" s="259">
        <v>0</v>
      </c>
    </row>
    <row r="453" spans="1:25" x14ac:dyDescent="0.35">
      <c r="A453" s="259">
        <v>1461</v>
      </c>
      <c r="B453" s="260">
        <v>44944</v>
      </c>
      <c r="C453" s="259" t="s">
        <v>182</v>
      </c>
      <c r="D453" s="259" t="s">
        <v>973</v>
      </c>
      <c r="E453" s="261">
        <v>15.4</v>
      </c>
      <c r="F453" s="259">
        <v>0</v>
      </c>
      <c r="G453" s="259">
        <v>6.8899200379999996</v>
      </c>
      <c r="H453" s="259">
        <v>1.7069468160000001</v>
      </c>
      <c r="I453" s="259">
        <v>1.413415563</v>
      </c>
      <c r="J453" s="259">
        <v>0</v>
      </c>
      <c r="K453" s="259">
        <v>0</v>
      </c>
      <c r="L453" s="259">
        <v>0</v>
      </c>
      <c r="M453" s="259">
        <v>0</v>
      </c>
      <c r="N453" s="259">
        <v>0.36567748160000002</v>
      </c>
      <c r="O453" s="259">
        <v>0.3351512103</v>
      </c>
      <c r="P453" s="262">
        <v>1364.0126419999999</v>
      </c>
      <c r="Q453" s="262">
        <v>482.5673314</v>
      </c>
      <c r="R453" s="262">
        <v>1206.892441</v>
      </c>
      <c r="S453" s="262">
        <v>2444.1282959999999</v>
      </c>
      <c r="T453" s="259" t="s">
        <v>814</v>
      </c>
      <c r="U453" s="264">
        <v>34158.31</v>
      </c>
      <c r="V453" s="264">
        <v>8388.51</v>
      </c>
      <c r="W453" s="264">
        <v>112.33</v>
      </c>
      <c r="X453" s="264">
        <v>0</v>
      </c>
      <c r="Y453" s="259">
        <v>0</v>
      </c>
    </row>
    <row r="454" spans="1:25" x14ac:dyDescent="0.35">
      <c r="A454" s="259">
        <v>1462</v>
      </c>
      <c r="B454" s="260">
        <v>44944</v>
      </c>
      <c r="C454" s="259" t="s">
        <v>183</v>
      </c>
      <c r="D454" s="259" t="s">
        <v>973</v>
      </c>
      <c r="E454" s="261">
        <v>15.4</v>
      </c>
      <c r="F454" s="259">
        <v>0</v>
      </c>
      <c r="G454" s="259">
        <v>7.4022268599999999</v>
      </c>
      <c r="H454" s="259">
        <v>1.820706516</v>
      </c>
      <c r="I454" s="259">
        <v>1.4341490640000001</v>
      </c>
      <c r="J454" s="259">
        <v>0</v>
      </c>
      <c r="K454" s="259">
        <v>0</v>
      </c>
      <c r="L454" s="259">
        <v>2.1216643189999999E-2</v>
      </c>
      <c r="M454" s="259">
        <v>0</v>
      </c>
      <c r="N454" s="259">
        <v>0.23110773609999999</v>
      </c>
      <c r="O454" s="259">
        <v>0.20231300150000001</v>
      </c>
      <c r="P454" s="262">
        <v>1371.0201500000001</v>
      </c>
      <c r="Q454" s="262">
        <v>473.00079640000001</v>
      </c>
      <c r="R454" s="262">
        <v>1184.36475</v>
      </c>
      <c r="S454" s="262">
        <v>2398.94751</v>
      </c>
      <c r="T454" s="259" t="s">
        <v>794</v>
      </c>
      <c r="U454" s="264">
        <v>34781.11</v>
      </c>
      <c r="V454" s="264">
        <v>8716.7999999999993</v>
      </c>
      <c r="W454" s="264">
        <v>189.26</v>
      </c>
      <c r="X454" s="264">
        <v>1.54</v>
      </c>
      <c r="Y454" s="259">
        <v>0</v>
      </c>
    </row>
    <row r="455" spans="1:25" x14ac:dyDescent="0.35">
      <c r="A455" s="266">
        <v>1463</v>
      </c>
      <c r="B455" s="265">
        <v>44946</v>
      </c>
      <c r="C455" s="266" t="s">
        <v>171</v>
      </c>
      <c r="D455" s="266" t="s">
        <v>973</v>
      </c>
      <c r="E455" s="267">
        <v>15.3</v>
      </c>
      <c r="F455" s="259">
        <v>0</v>
      </c>
      <c r="G455" s="266">
        <v>6.5375911840000001</v>
      </c>
      <c r="H455" s="266">
        <v>1.676679689</v>
      </c>
      <c r="I455" s="266">
        <v>1.1593839889999999</v>
      </c>
      <c r="J455" s="266">
        <v>0</v>
      </c>
      <c r="K455" s="266">
        <v>0</v>
      </c>
      <c r="L455" s="266">
        <v>2.9327804329999999E-2</v>
      </c>
      <c r="M455" s="266">
        <v>0</v>
      </c>
      <c r="N455" s="266">
        <v>0.33794174249999998</v>
      </c>
      <c r="O455" s="266">
        <v>6.7743437030000006E-2</v>
      </c>
      <c r="P455" s="268">
        <v>1358.4667770000001</v>
      </c>
      <c r="Q455" s="268">
        <v>473.11546060000001</v>
      </c>
      <c r="R455" s="268">
        <v>1200.697649</v>
      </c>
      <c r="S455" s="268">
        <v>2428.7533050000002</v>
      </c>
      <c r="T455" s="266" t="s">
        <v>794</v>
      </c>
      <c r="U455" s="269">
        <v>32875.480000000003</v>
      </c>
      <c r="V455" s="269">
        <v>8859.36</v>
      </c>
      <c r="W455" s="269">
        <v>246.2</v>
      </c>
      <c r="X455" s="269">
        <v>7.69</v>
      </c>
      <c r="Y455" s="266">
        <v>0</v>
      </c>
    </row>
    <row r="456" spans="1:25" x14ac:dyDescent="0.35">
      <c r="A456" s="266">
        <v>1464</v>
      </c>
      <c r="B456" s="265">
        <v>44946</v>
      </c>
      <c r="C456" s="266" t="s">
        <v>191</v>
      </c>
      <c r="D456" s="266" t="s">
        <v>973</v>
      </c>
      <c r="E456" s="266">
        <v>15.3</v>
      </c>
      <c r="F456" s="266">
        <v>0</v>
      </c>
      <c r="G456" s="266">
        <v>6.3063716789999997</v>
      </c>
      <c r="H456" s="266">
        <v>1.6511258</v>
      </c>
      <c r="I456" s="266">
        <v>1.083075024</v>
      </c>
      <c r="J456" s="266">
        <v>0</v>
      </c>
      <c r="K456" s="266">
        <v>0</v>
      </c>
      <c r="L456" s="266">
        <v>0</v>
      </c>
      <c r="M456" s="266">
        <v>0</v>
      </c>
      <c r="N456" s="266">
        <v>0.38942324890000002</v>
      </c>
      <c r="O456" s="266">
        <v>0</v>
      </c>
      <c r="P456" s="268">
        <v>1366.4374</v>
      </c>
      <c r="Q456" s="268">
        <v>467.61868939999999</v>
      </c>
      <c r="R456" s="268">
        <v>1187.4382430000001</v>
      </c>
      <c r="S456" s="268">
        <v>2404.079052</v>
      </c>
      <c r="T456" s="266" t="s">
        <v>811</v>
      </c>
      <c r="U456" s="269">
        <v>36599.870000000003</v>
      </c>
      <c r="V456" s="269">
        <v>10614.06</v>
      </c>
      <c r="W456" s="269">
        <v>132.37</v>
      </c>
      <c r="X456" s="269">
        <v>1.54</v>
      </c>
      <c r="Y456" s="266">
        <v>0</v>
      </c>
    </row>
    <row r="457" spans="1:25" x14ac:dyDescent="0.35">
      <c r="A457" s="259">
        <v>1608</v>
      </c>
      <c r="B457" s="260">
        <v>44946</v>
      </c>
      <c r="C457" s="259" t="s">
        <v>162</v>
      </c>
      <c r="D457" s="259" t="s">
        <v>970</v>
      </c>
      <c r="E457" s="270">
        <v>6.1</v>
      </c>
      <c r="F457" s="259">
        <v>0</v>
      </c>
      <c r="G457" s="270">
        <v>5.5299282520000004</v>
      </c>
      <c r="H457" s="270">
        <v>1.390517776</v>
      </c>
      <c r="I457" s="270">
        <v>1.1002827509999999</v>
      </c>
      <c r="J457" s="270">
        <v>1.489372154E-2</v>
      </c>
      <c r="K457" s="270">
        <v>0</v>
      </c>
      <c r="L457" s="270">
        <v>4.3027687180000003E-2</v>
      </c>
      <c r="M457" s="270">
        <v>0</v>
      </c>
      <c r="N457" s="270">
        <v>0</v>
      </c>
      <c r="O457" s="270">
        <v>1.058608808</v>
      </c>
      <c r="P457" s="271">
        <v>1167.6788550000001</v>
      </c>
      <c r="Q457" s="271">
        <v>11.76801991</v>
      </c>
      <c r="R457" s="271">
        <v>1060.5824009999999</v>
      </c>
      <c r="S457" s="271">
        <v>3609.5915869999999</v>
      </c>
      <c r="T457" s="270" t="s">
        <v>764</v>
      </c>
      <c r="U457" s="272">
        <v>96508.23</v>
      </c>
      <c r="V457" s="272">
        <v>37699.54</v>
      </c>
      <c r="W457" s="272">
        <v>364.68</v>
      </c>
      <c r="X457" s="272">
        <v>3.08</v>
      </c>
      <c r="Y457" s="272">
        <v>0</v>
      </c>
    </row>
    <row r="458" spans="1:25" x14ac:dyDescent="0.35">
      <c r="A458" s="259">
        <v>1609</v>
      </c>
      <c r="B458" s="260">
        <v>44947</v>
      </c>
      <c r="C458" s="259" t="s">
        <v>163</v>
      </c>
      <c r="D458" s="259" t="s">
        <v>749</v>
      </c>
      <c r="E458" s="270">
        <v>25.5</v>
      </c>
      <c r="F458" s="259">
        <v>0</v>
      </c>
      <c r="G458" s="270">
        <v>7.3311555779999997</v>
      </c>
      <c r="H458" s="270">
        <v>1.4633097049999999</v>
      </c>
      <c r="I458" s="270">
        <v>1.1701819019999999</v>
      </c>
      <c r="J458" s="270">
        <v>1.737777778E-3</v>
      </c>
      <c r="K458" s="270">
        <v>0</v>
      </c>
      <c r="L458" s="270">
        <v>1.196185478E-2</v>
      </c>
      <c r="M458" s="270">
        <v>4.6307387499999998E-2</v>
      </c>
      <c r="N458" s="270">
        <v>0</v>
      </c>
      <c r="O458" s="270">
        <v>0.89108323970000003</v>
      </c>
      <c r="P458" s="271">
        <v>1159.3525440000001</v>
      </c>
      <c r="Q458" s="271">
        <v>10.84410804</v>
      </c>
      <c r="R458" s="271">
        <v>1060.078411</v>
      </c>
      <c r="S458" s="271">
        <v>3572.8240230000001</v>
      </c>
      <c r="T458" s="270" t="s">
        <v>710</v>
      </c>
      <c r="U458" s="272">
        <v>75686.02</v>
      </c>
      <c r="V458" s="272">
        <v>24024.27</v>
      </c>
      <c r="W458" s="272">
        <v>139.88</v>
      </c>
      <c r="X458" s="272">
        <v>27.98</v>
      </c>
      <c r="Y458" s="272">
        <v>23.04</v>
      </c>
    </row>
    <row r="459" spans="1:25" x14ac:dyDescent="0.35">
      <c r="A459" s="259">
        <v>1610</v>
      </c>
      <c r="B459" s="260">
        <v>44947</v>
      </c>
      <c r="C459" s="259" t="s">
        <v>164</v>
      </c>
      <c r="D459" s="259" t="s">
        <v>970</v>
      </c>
      <c r="E459" s="270">
        <v>6.1</v>
      </c>
      <c r="F459" s="259">
        <v>0</v>
      </c>
      <c r="G459" s="270">
        <v>5.8578397649999996</v>
      </c>
      <c r="H459" s="270">
        <v>1.3507244620000001</v>
      </c>
      <c r="I459" s="270">
        <v>1.100923045</v>
      </c>
      <c r="J459" s="270">
        <v>1.143362087E-4</v>
      </c>
      <c r="K459" s="270">
        <v>0</v>
      </c>
      <c r="L459" s="270">
        <v>3.9781672589999997E-2</v>
      </c>
      <c r="M459" s="270">
        <v>0</v>
      </c>
      <c r="N459" s="270">
        <v>0</v>
      </c>
      <c r="O459" s="270">
        <v>0.78344195480000001</v>
      </c>
      <c r="P459" s="271">
        <v>1146.1175209999999</v>
      </c>
      <c r="Q459" s="271">
        <v>11.445211219999999</v>
      </c>
      <c r="R459" s="271">
        <v>1054.5847329999999</v>
      </c>
      <c r="S459" s="271">
        <v>3572.595503</v>
      </c>
      <c r="T459" s="270" t="s">
        <v>748</v>
      </c>
      <c r="U459" s="272">
        <v>96059.91</v>
      </c>
      <c r="V459" s="272">
        <v>39192.33</v>
      </c>
      <c r="W459" s="272">
        <v>240.04</v>
      </c>
      <c r="X459" s="272">
        <v>3.08</v>
      </c>
      <c r="Y459" s="272">
        <v>0</v>
      </c>
    </row>
    <row r="460" spans="1:25" x14ac:dyDescent="0.35">
      <c r="A460" s="259">
        <v>1611</v>
      </c>
      <c r="B460" s="260">
        <v>44948</v>
      </c>
      <c r="C460" s="259" t="s">
        <v>172</v>
      </c>
      <c r="D460" s="259" t="s">
        <v>970</v>
      </c>
      <c r="E460" s="270">
        <v>6.1</v>
      </c>
      <c r="F460" s="259">
        <v>0</v>
      </c>
      <c r="G460" s="270">
        <v>6.038268993</v>
      </c>
      <c r="H460" s="270">
        <v>1.3048406159999999</v>
      </c>
      <c r="I460" s="270">
        <v>0.98747094550000003</v>
      </c>
      <c r="J460" s="270">
        <v>0</v>
      </c>
      <c r="K460" s="270">
        <v>2.0718919169999999E-2</v>
      </c>
      <c r="L460" s="270">
        <v>0</v>
      </c>
      <c r="M460" s="270">
        <v>0</v>
      </c>
      <c r="N460" s="270">
        <v>0</v>
      </c>
      <c r="O460" s="270">
        <v>0.41989933060000001</v>
      </c>
      <c r="P460" s="271">
        <v>1156.848749</v>
      </c>
      <c r="Q460" s="271">
        <v>11.125090050000001</v>
      </c>
      <c r="R460" s="271">
        <v>1060.472933</v>
      </c>
      <c r="S460" s="271">
        <v>3583.46965</v>
      </c>
      <c r="T460" s="270" t="s">
        <v>748</v>
      </c>
      <c r="U460" s="272">
        <v>94071.5</v>
      </c>
      <c r="V460" s="272">
        <v>37712.61</v>
      </c>
      <c r="W460" s="272">
        <v>318.52</v>
      </c>
      <c r="X460" s="272">
        <v>1.54</v>
      </c>
      <c r="Y460" s="272">
        <v>0</v>
      </c>
    </row>
    <row r="461" spans="1:25" x14ac:dyDescent="0.35">
      <c r="A461" s="259">
        <v>1612</v>
      </c>
      <c r="B461" s="260">
        <v>44948</v>
      </c>
      <c r="C461" s="259" t="s">
        <v>237</v>
      </c>
      <c r="D461" s="259" t="s">
        <v>749</v>
      </c>
      <c r="E461" s="270">
        <v>25.1</v>
      </c>
      <c r="F461" s="259">
        <v>0</v>
      </c>
      <c r="G461" s="270">
        <v>6.618683624</v>
      </c>
      <c r="H461" s="270">
        <v>1.203758514</v>
      </c>
      <c r="I461" s="270">
        <v>1.112377967</v>
      </c>
      <c r="J461" s="270">
        <v>0</v>
      </c>
      <c r="K461" s="270">
        <v>0</v>
      </c>
      <c r="L461" s="270">
        <v>7.7506159790000001E-2</v>
      </c>
      <c r="M461" s="270">
        <v>0</v>
      </c>
      <c r="N461" s="270">
        <v>0</v>
      </c>
      <c r="O461" s="270">
        <v>0.28677264409999997</v>
      </c>
      <c r="P461" s="271">
        <v>1174.7018419999999</v>
      </c>
      <c r="Q461" s="271">
        <v>11.98171949</v>
      </c>
      <c r="R461" s="271">
        <v>1067.2283190000001</v>
      </c>
      <c r="S461" s="271">
        <v>3598.5347870000001</v>
      </c>
      <c r="T461" s="270" t="s">
        <v>792</v>
      </c>
      <c r="U461" s="272">
        <v>68511.34</v>
      </c>
      <c r="V461" s="272">
        <v>19667.830000000002</v>
      </c>
      <c r="W461" s="272">
        <v>64.489999999999995</v>
      </c>
      <c r="X461" s="272">
        <v>0</v>
      </c>
      <c r="Y461" s="272">
        <v>0</v>
      </c>
    </row>
    <row r="462" spans="1:25" x14ac:dyDescent="0.35">
      <c r="A462" s="259">
        <v>1613</v>
      </c>
      <c r="B462" s="260">
        <v>44948</v>
      </c>
      <c r="C462" s="259" t="s">
        <v>192</v>
      </c>
      <c r="D462" s="259" t="s">
        <v>970</v>
      </c>
      <c r="E462" s="270">
        <v>6.1</v>
      </c>
      <c r="F462" s="259">
        <v>0</v>
      </c>
      <c r="G462" s="270">
        <v>6.1742750229999999</v>
      </c>
      <c r="H462" s="270">
        <v>1.33550002</v>
      </c>
      <c r="I462" s="270">
        <v>1.1421049830000001</v>
      </c>
      <c r="J462" s="270">
        <v>0</v>
      </c>
      <c r="K462" s="270">
        <v>0</v>
      </c>
      <c r="L462" s="270">
        <v>6.648022764E-2</v>
      </c>
      <c r="M462" s="270">
        <v>0.1040691527</v>
      </c>
      <c r="N462" s="270">
        <v>0</v>
      </c>
      <c r="O462" s="270">
        <v>0.43142485339999997</v>
      </c>
      <c r="P462" s="271">
        <v>1156.939431</v>
      </c>
      <c r="Q462" s="271">
        <v>11.39162408</v>
      </c>
      <c r="R462" s="271">
        <v>1058.091494</v>
      </c>
      <c r="S462" s="271">
        <v>3566.20669</v>
      </c>
      <c r="T462" s="270" t="s">
        <v>797</v>
      </c>
      <c r="U462" s="272">
        <v>134191.91</v>
      </c>
      <c r="V462" s="272">
        <v>49225.2</v>
      </c>
      <c r="W462" s="272">
        <v>497.01</v>
      </c>
      <c r="X462" s="272">
        <v>0</v>
      </c>
      <c r="Y462" s="272">
        <v>0</v>
      </c>
    </row>
    <row r="463" spans="1:25" x14ac:dyDescent="0.35">
      <c r="A463" s="259">
        <v>2234</v>
      </c>
      <c r="B463" s="260">
        <v>44954</v>
      </c>
      <c r="C463" s="259" t="s">
        <v>181</v>
      </c>
      <c r="D463" s="266" t="s">
        <v>973</v>
      </c>
      <c r="E463" s="270">
        <v>15.6</v>
      </c>
      <c r="F463" s="259">
        <v>0</v>
      </c>
      <c r="G463" s="270">
        <v>4.8</v>
      </c>
      <c r="H463" s="270">
        <v>1.6</v>
      </c>
      <c r="I463" s="270">
        <v>1.4</v>
      </c>
      <c r="J463" s="270">
        <v>0.3</v>
      </c>
      <c r="K463" s="270">
        <v>0.1</v>
      </c>
      <c r="L463" s="270">
        <v>0</v>
      </c>
      <c r="M463" s="270">
        <v>0</v>
      </c>
      <c r="N463" s="270">
        <v>2</v>
      </c>
      <c r="O463" s="270">
        <v>0</v>
      </c>
      <c r="P463" s="271">
        <v>1253.4000000000001</v>
      </c>
      <c r="Q463" s="271">
        <v>475.1</v>
      </c>
      <c r="R463" s="271">
        <v>1143.2</v>
      </c>
      <c r="S463" s="271">
        <v>2319.1</v>
      </c>
      <c r="T463" s="270" t="s">
        <v>814</v>
      </c>
      <c r="U463" s="272">
        <v>33828</v>
      </c>
      <c r="V463" s="272">
        <v>8071</v>
      </c>
      <c r="W463" s="272">
        <v>154</v>
      </c>
      <c r="X463" s="272">
        <v>0</v>
      </c>
      <c r="Y463" s="272">
        <v>0</v>
      </c>
    </row>
    <row r="464" spans="1:25" x14ac:dyDescent="0.35">
      <c r="A464" s="259">
        <v>2235</v>
      </c>
      <c r="B464" s="260">
        <v>44954</v>
      </c>
      <c r="C464" s="259" t="s">
        <v>182</v>
      </c>
      <c r="D464" s="259" t="s">
        <v>970</v>
      </c>
      <c r="E464" s="270">
        <v>6.1</v>
      </c>
      <c r="F464" s="259">
        <v>0</v>
      </c>
      <c r="G464" s="270">
        <v>14.1</v>
      </c>
      <c r="H464" s="270">
        <v>1.4</v>
      </c>
      <c r="I464" s="270">
        <v>1.1000000000000001</v>
      </c>
      <c r="J464" s="270">
        <v>0</v>
      </c>
      <c r="K464" s="270">
        <v>0</v>
      </c>
      <c r="L464" s="270">
        <v>0</v>
      </c>
      <c r="M464" s="270">
        <v>0</v>
      </c>
      <c r="N464" s="270">
        <v>0.2</v>
      </c>
      <c r="O464" s="270">
        <v>1.2</v>
      </c>
      <c r="P464" s="271">
        <v>1041.0999999999999</v>
      </c>
      <c r="Q464" s="271">
        <v>15.4</v>
      </c>
      <c r="R464" s="271">
        <v>992.7</v>
      </c>
      <c r="S464" s="271">
        <v>3465.5</v>
      </c>
      <c r="T464" s="270" t="s">
        <v>764</v>
      </c>
      <c r="U464" s="272">
        <v>95872</v>
      </c>
      <c r="V464" s="272">
        <v>38496</v>
      </c>
      <c r="W464" s="272">
        <v>452</v>
      </c>
      <c r="X464" s="272">
        <v>0</v>
      </c>
      <c r="Y464" s="272">
        <v>0</v>
      </c>
    </row>
    <row r="465" spans="1:25" x14ac:dyDescent="0.35">
      <c r="A465" s="259">
        <v>2236</v>
      </c>
      <c r="B465" s="260">
        <v>44954</v>
      </c>
      <c r="C465" s="259" t="s">
        <v>183</v>
      </c>
      <c r="D465" s="266" t="s">
        <v>973</v>
      </c>
      <c r="E465" s="270">
        <v>15.6</v>
      </c>
      <c r="F465" s="259">
        <v>0</v>
      </c>
      <c r="G465" s="270">
        <v>4.7</v>
      </c>
      <c r="H465" s="270">
        <v>1.6</v>
      </c>
      <c r="I465" s="270">
        <v>1.4</v>
      </c>
      <c r="J465" s="270">
        <v>0</v>
      </c>
      <c r="K465" s="270">
        <v>0</v>
      </c>
      <c r="L465" s="270">
        <v>0</v>
      </c>
      <c r="M465" s="270">
        <v>0</v>
      </c>
      <c r="N465" s="270">
        <v>1.6</v>
      </c>
      <c r="O465" s="270">
        <v>0</v>
      </c>
      <c r="P465" s="271">
        <v>1322.5</v>
      </c>
      <c r="Q465" s="271">
        <v>478.1</v>
      </c>
      <c r="R465" s="271">
        <v>1154.5</v>
      </c>
      <c r="S465" s="271">
        <v>2337.4</v>
      </c>
      <c r="T465" s="270" t="s">
        <v>794</v>
      </c>
      <c r="U465" s="272">
        <v>33267</v>
      </c>
      <c r="V465" s="272">
        <v>8060</v>
      </c>
      <c r="W465" s="272">
        <v>165</v>
      </c>
      <c r="X465" s="272">
        <v>0</v>
      </c>
      <c r="Y465" s="272">
        <v>0</v>
      </c>
    </row>
    <row r="466" spans="1:25" x14ac:dyDescent="0.35">
      <c r="A466" s="259">
        <v>2237</v>
      </c>
      <c r="B466" s="260">
        <v>44955</v>
      </c>
      <c r="C466" s="259" t="s">
        <v>191</v>
      </c>
      <c r="D466" s="266" t="s">
        <v>973</v>
      </c>
      <c r="E466" s="270">
        <v>15.6</v>
      </c>
      <c r="F466" s="259">
        <v>0</v>
      </c>
      <c r="G466" s="270">
        <v>4.3</v>
      </c>
      <c r="H466" s="270">
        <v>1.6</v>
      </c>
      <c r="I466" s="270">
        <v>1.2</v>
      </c>
      <c r="J466" s="270">
        <v>0</v>
      </c>
      <c r="K466" s="270">
        <v>0</v>
      </c>
      <c r="L466" s="270">
        <v>0</v>
      </c>
      <c r="M466" s="270">
        <v>0</v>
      </c>
      <c r="N466" s="270">
        <v>1.6</v>
      </c>
      <c r="O466" s="270">
        <v>0</v>
      </c>
      <c r="P466" s="271">
        <v>1337.4</v>
      </c>
      <c r="Q466" s="271">
        <v>481.8</v>
      </c>
      <c r="R466" s="271">
        <v>1174.9000000000001</v>
      </c>
      <c r="S466" s="271">
        <v>2373</v>
      </c>
      <c r="T466" s="270" t="s">
        <v>811</v>
      </c>
      <c r="U466" s="272">
        <v>38357</v>
      </c>
      <c r="V466" s="272">
        <v>11008</v>
      </c>
      <c r="W466" s="272">
        <v>115</v>
      </c>
      <c r="X466" s="272">
        <v>0</v>
      </c>
      <c r="Y466" s="272">
        <v>0</v>
      </c>
    </row>
    <row r="467" spans="1:25" x14ac:dyDescent="0.35">
      <c r="A467" s="259">
        <v>2238</v>
      </c>
      <c r="B467" s="260">
        <v>44955</v>
      </c>
      <c r="C467" s="259" t="s">
        <v>172</v>
      </c>
      <c r="D467" s="259" t="s">
        <v>970</v>
      </c>
      <c r="E467" s="270">
        <v>6.1</v>
      </c>
      <c r="F467" s="259">
        <v>0</v>
      </c>
      <c r="G467" s="270">
        <v>12.7</v>
      </c>
      <c r="H467" s="270">
        <v>1.2</v>
      </c>
      <c r="I467" s="270">
        <v>1.1000000000000001</v>
      </c>
      <c r="J467" s="270">
        <v>0</v>
      </c>
      <c r="K467" s="270">
        <v>0</v>
      </c>
      <c r="L467" s="270">
        <v>0</v>
      </c>
      <c r="M467" s="270">
        <v>0</v>
      </c>
      <c r="N467" s="270">
        <v>0.2</v>
      </c>
      <c r="O467" s="270">
        <v>1.1000000000000001</v>
      </c>
      <c r="P467" s="271">
        <v>1104.9000000000001</v>
      </c>
      <c r="Q467" s="271">
        <v>11.2</v>
      </c>
      <c r="R467" s="271">
        <v>1002</v>
      </c>
      <c r="S467" s="271">
        <v>3519.9</v>
      </c>
      <c r="T467" s="270" t="s">
        <v>716</v>
      </c>
      <c r="U467" s="272">
        <v>95843</v>
      </c>
      <c r="V467" s="272">
        <v>37624</v>
      </c>
      <c r="W467" s="272">
        <v>82</v>
      </c>
      <c r="X467" s="272">
        <v>0</v>
      </c>
      <c r="Y467" s="272">
        <v>0</v>
      </c>
    </row>
    <row r="468" spans="1:25" x14ac:dyDescent="0.35">
      <c r="A468" s="259">
        <v>2239</v>
      </c>
      <c r="B468" s="260">
        <v>44955</v>
      </c>
      <c r="C468" s="259" t="s">
        <v>171</v>
      </c>
      <c r="D468" s="266" t="s">
        <v>973</v>
      </c>
      <c r="E468" s="270">
        <v>15.5</v>
      </c>
      <c r="F468" s="259">
        <v>0</v>
      </c>
      <c r="G468" s="270">
        <v>4.5</v>
      </c>
      <c r="H468" s="270">
        <v>1.6</v>
      </c>
      <c r="I468" s="270">
        <v>1.2</v>
      </c>
      <c r="J468" s="270">
        <v>0</v>
      </c>
      <c r="K468" s="270">
        <v>0</v>
      </c>
      <c r="L468" s="270">
        <v>0</v>
      </c>
      <c r="M468" s="270">
        <v>0</v>
      </c>
      <c r="N468" s="270">
        <v>1.5</v>
      </c>
      <c r="O468" s="270">
        <v>0</v>
      </c>
      <c r="P468" s="271">
        <v>1355.7</v>
      </c>
      <c r="Q468" s="271">
        <v>480.6</v>
      </c>
      <c r="R468" s="271">
        <v>1172.9000000000001</v>
      </c>
      <c r="S468" s="271">
        <v>2374</v>
      </c>
      <c r="T468" s="270" t="s">
        <v>814</v>
      </c>
      <c r="U468" s="272">
        <v>37887</v>
      </c>
      <c r="V468" s="272">
        <v>9708</v>
      </c>
      <c r="W468" s="272">
        <v>129</v>
      </c>
      <c r="X468" s="272">
        <v>0</v>
      </c>
      <c r="Y468" s="272">
        <v>0</v>
      </c>
    </row>
    <row r="469" spans="1:25" x14ac:dyDescent="0.35">
      <c r="A469" s="259">
        <v>2765</v>
      </c>
      <c r="B469" s="260">
        <v>44960</v>
      </c>
      <c r="C469" s="259" t="s">
        <v>181</v>
      </c>
      <c r="D469" s="259" t="s">
        <v>970</v>
      </c>
      <c r="E469" s="270">
        <v>6.1</v>
      </c>
      <c r="F469" s="259">
        <v>0</v>
      </c>
      <c r="G469" s="270">
        <v>15.5</v>
      </c>
      <c r="H469" s="270">
        <v>1.3</v>
      </c>
      <c r="I469" s="270">
        <v>0.8</v>
      </c>
      <c r="J469" s="270">
        <v>0</v>
      </c>
      <c r="K469" s="270">
        <v>0</v>
      </c>
      <c r="L469" s="270">
        <v>0</v>
      </c>
      <c r="M469" s="270">
        <v>0</v>
      </c>
      <c r="N469" s="270">
        <v>0.4</v>
      </c>
      <c r="O469" s="270">
        <v>1.4</v>
      </c>
      <c r="P469" s="271">
        <v>1016.9</v>
      </c>
      <c r="Q469" s="271">
        <v>12.1</v>
      </c>
      <c r="R469" s="271">
        <v>1025.5</v>
      </c>
      <c r="S469" s="271">
        <v>3561.4</v>
      </c>
      <c r="T469" s="270" t="s">
        <v>764</v>
      </c>
      <c r="U469" s="272">
        <v>94088</v>
      </c>
      <c r="V469" s="272">
        <v>38974</v>
      </c>
      <c r="W469" s="272">
        <v>431</v>
      </c>
      <c r="X469" s="272">
        <v>5</v>
      </c>
      <c r="Y469" s="272">
        <v>2</v>
      </c>
    </row>
    <row r="470" spans="1:25" x14ac:dyDescent="0.35">
      <c r="A470" s="259">
        <v>2766</v>
      </c>
      <c r="B470" s="260">
        <v>44960</v>
      </c>
      <c r="C470" s="259" t="s">
        <v>182</v>
      </c>
      <c r="D470" s="266" t="s">
        <v>973</v>
      </c>
      <c r="E470" s="270">
        <v>15.4</v>
      </c>
      <c r="F470" s="259">
        <v>0</v>
      </c>
      <c r="G470" s="270">
        <v>5.9</v>
      </c>
      <c r="H470" s="270">
        <v>1.7</v>
      </c>
      <c r="I470" s="270">
        <v>1.2</v>
      </c>
      <c r="J470" s="270">
        <v>0</v>
      </c>
      <c r="K470" s="270">
        <v>0</v>
      </c>
      <c r="L470" s="270">
        <v>0.1</v>
      </c>
      <c r="M470" s="270">
        <v>0</v>
      </c>
      <c r="N470" s="270">
        <v>1.9</v>
      </c>
      <c r="O470" s="270">
        <v>0.7</v>
      </c>
      <c r="P470" s="271">
        <v>1275.5</v>
      </c>
      <c r="Q470" s="271">
        <v>492.9</v>
      </c>
      <c r="R470" s="271">
        <v>1193.5999999999999</v>
      </c>
      <c r="S470" s="271">
        <v>2389.6999999999998</v>
      </c>
      <c r="T470" s="270" t="s">
        <v>794</v>
      </c>
      <c r="U470" s="272">
        <v>36020</v>
      </c>
      <c r="V470" s="272">
        <v>9902</v>
      </c>
      <c r="W470" s="272">
        <v>277</v>
      </c>
      <c r="X470" s="272">
        <v>0</v>
      </c>
      <c r="Y470" s="272">
        <v>0</v>
      </c>
    </row>
    <row r="471" spans="1:25" x14ac:dyDescent="0.35">
      <c r="A471" s="259">
        <v>2767</v>
      </c>
      <c r="B471" s="260">
        <v>44960</v>
      </c>
      <c r="C471" s="259" t="s">
        <v>183</v>
      </c>
      <c r="D471" s="266" t="s">
        <v>973</v>
      </c>
      <c r="E471" s="270">
        <v>15.5</v>
      </c>
      <c r="F471" s="259">
        <v>0</v>
      </c>
      <c r="G471" s="270">
        <v>5.7</v>
      </c>
      <c r="H471" s="270">
        <v>1.7</v>
      </c>
      <c r="I471" s="270">
        <v>1.4</v>
      </c>
      <c r="J471" s="270">
        <v>0</v>
      </c>
      <c r="K471" s="270">
        <v>0</v>
      </c>
      <c r="L471" s="270">
        <v>0</v>
      </c>
      <c r="M471" s="270">
        <v>0</v>
      </c>
      <c r="N471" s="270">
        <v>1.7</v>
      </c>
      <c r="O471" s="270">
        <v>0.9</v>
      </c>
      <c r="P471" s="271">
        <v>1290.9000000000001</v>
      </c>
      <c r="Q471" s="271">
        <v>490.8</v>
      </c>
      <c r="R471" s="271">
        <v>1184.9000000000001</v>
      </c>
      <c r="S471" s="271">
        <v>2375.1999999999998</v>
      </c>
      <c r="T471" s="270" t="s">
        <v>794</v>
      </c>
      <c r="U471" s="272">
        <v>32669</v>
      </c>
      <c r="V471" s="272">
        <v>8881</v>
      </c>
      <c r="W471" s="272">
        <v>186</v>
      </c>
      <c r="X471" s="272">
        <v>3</v>
      </c>
      <c r="Y471" s="272">
        <v>0</v>
      </c>
    </row>
    <row r="472" spans="1:25" x14ac:dyDescent="0.35">
      <c r="A472" s="259">
        <v>2768</v>
      </c>
      <c r="B472" s="260">
        <v>44962</v>
      </c>
      <c r="C472" s="259" t="s">
        <v>192</v>
      </c>
      <c r="D472" s="259" t="s">
        <v>970</v>
      </c>
      <c r="E472" s="270">
        <v>6.1</v>
      </c>
      <c r="F472" s="259">
        <v>0</v>
      </c>
      <c r="G472" s="270">
        <v>13.9</v>
      </c>
      <c r="H472" s="270">
        <v>1.1000000000000001</v>
      </c>
      <c r="I472" s="270">
        <v>0.7</v>
      </c>
      <c r="J472" s="270">
        <v>0</v>
      </c>
      <c r="K472" s="270">
        <v>0</v>
      </c>
      <c r="L472" s="270">
        <v>0</v>
      </c>
      <c r="M472" s="270">
        <v>0</v>
      </c>
      <c r="N472" s="270">
        <v>0</v>
      </c>
      <c r="O472" s="270">
        <v>1.2</v>
      </c>
      <c r="P472" s="271">
        <v>987.5</v>
      </c>
      <c r="Q472" s="271">
        <v>11.1</v>
      </c>
      <c r="R472" s="271">
        <v>1011.6</v>
      </c>
      <c r="S472" s="271">
        <v>3507.4</v>
      </c>
      <c r="T472" s="270" t="s">
        <v>748</v>
      </c>
      <c r="U472" s="272">
        <v>98909</v>
      </c>
      <c r="V472" s="272">
        <v>36379</v>
      </c>
      <c r="W472" s="272">
        <v>283</v>
      </c>
      <c r="X472" s="272">
        <v>3</v>
      </c>
      <c r="Y472" s="272">
        <v>0</v>
      </c>
    </row>
    <row r="473" spans="1:25" x14ac:dyDescent="0.35">
      <c r="A473" s="259">
        <v>2769</v>
      </c>
      <c r="B473" s="260">
        <v>44962</v>
      </c>
      <c r="C473" s="259" t="s">
        <v>171</v>
      </c>
      <c r="D473" s="266" t="s">
        <v>973</v>
      </c>
      <c r="E473" s="270">
        <v>15.4</v>
      </c>
      <c r="F473" s="259">
        <v>0</v>
      </c>
      <c r="G473" s="270">
        <v>5.3</v>
      </c>
      <c r="H473" s="270">
        <v>1.6</v>
      </c>
      <c r="I473" s="270">
        <v>1.2</v>
      </c>
      <c r="J473" s="270">
        <v>0</v>
      </c>
      <c r="K473" s="270">
        <v>0</v>
      </c>
      <c r="L473" s="270">
        <v>0</v>
      </c>
      <c r="M473" s="270">
        <v>0</v>
      </c>
      <c r="N473" s="270">
        <v>1.7</v>
      </c>
      <c r="O473" s="270">
        <v>0.7</v>
      </c>
      <c r="P473" s="271">
        <v>1282</v>
      </c>
      <c r="Q473" s="271">
        <v>494.2</v>
      </c>
      <c r="R473" s="271">
        <v>1207.2</v>
      </c>
      <c r="S473" s="271">
        <v>2410</v>
      </c>
      <c r="T473" s="270" t="s">
        <v>794</v>
      </c>
      <c r="U473" s="272">
        <v>32952</v>
      </c>
      <c r="V473" s="272">
        <v>8293</v>
      </c>
      <c r="W473" s="272">
        <v>172</v>
      </c>
      <c r="X473" s="272">
        <v>0</v>
      </c>
      <c r="Y473" s="272">
        <v>0</v>
      </c>
    </row>
    <row r="474" spans="1:25" x14ac:dyDescent="0.35">
      <c r="A474" s="259">
        <v>2939</v>
      </c>
      <c r="B474" s="260">
        <v>44964</v>
      </c>
      <c r="C474" s="259" t="s">
        <v>162</v>
      </c>
      <c r="D474" s="266" t="s">
        <v>970</v>
      </c>
      <c r="E474" s="270">
        <v>6.1</v>
      </c>
      <c r="F474" s="259">
        <v>0</v>
      </c>
      <c r="G474" s="270">
        <v>15.4</v>
      </c>
      <c r="H474" s="270">
        <v>1.4</v>
      </c>
      <c r="I474" s="270">
        <v>1</v>
      </c>
      <c r="J474" s="270">
        <v>0</v>
      </c>
      <c r="K474" s="270">
        <v>0.2</v>
      </c>
      <c r="L474" s="270">
        <v>0.1</v>
      </c>
      <c r="M474" s="270">
        <v>0</v>
      </c>
      <c r="N474" s="270">
        <v>0.5</v>
      </c>
      <c r="O474" s="270">
        <v>1.4</v>
      </c>
      <c r="P474" s="271">
        <v>1021.4</v>
      </c>
      <c r="Q474" s="271">
        <v>12</v>
      </c>
      <c r="R474" s="271">
        <v>1045.9000000000001</v>
      </c>
      <c r="S474" s="271">
        <v>3666.5</v>
      </c>
      <c r="T474" s="270" t="s">
        <v>764</v>
      </c>
      <c r="U474" s="272">
        <v>96060</v>
      </c>
      <c r="V474" s="272">
        <v>37264</v>
      </c>
      <c r="W474" s="272">
        <v>354</v>
      </c>
      <c r="X474" s="272">
        <v>0</v>
      </c>
      <c r="Y474" s="272">
        <v>0</v>
      </c>
    </row>
    <row r="475" spans="1:25" x14ac:dyDescent="0.35">
      <c r="A475" s="259">
        <v>2940</v>
      </c>
      <c r="B475" s="260">
        <v>44964</v>
      </c>
      <c r="C475" s="259" t="s">
        <v>163</v>
      </c>
      <c r="D475" s="266" t="s">
        <v>973</v>
      </c>
      <c r="E475" s="270">
        <v>15.2</v>
      </c>
      <c r="F475" s="259">
        <v>0</v>
      </c>
      <c r="G475" s="270">
        <v>6.3</v>
      </c>
      <c r="H475" s="270">
        <v>2.9</v>
      </c>
      <c r="I475" s="270">
        <v>1.6</v>
      </c>
      <c r="J475" s="270">
        <v>0</v>
      </c>
      <c r="K475" s="270">
        <v>0</v>
      </c>
      <c r="L475" s="270">
        <v>0</v>
      </c>
      <c r="M475" s="270">
        <v>0</v>
      </c>
      <c r="N475" s="270">
        <v>2.2999999999999998</v>
      </c>
      <c r="O475" s="270">
        <v>1</v>
      </c>
      <c r="P475" s="271">
        <v>1321.7</v>
      </c>
      <c r="Q475" s="271">
        <v>514.29999999999995</v>
      </c>
      <c r="R475" s="271">
        <v>1236.4000000000001</v>
      </c>
      <c r="S475" s="271">
        <v>2497.6</v>
      </c>
      <c r="T475" s="270" t="s">
        <v>785</v>
      </c>
      <c r="U475" s="272">
        <v>148428</v>
      </c>
      <c r="V475" s="272">
        <v>41176</v>
      </c>
      <c r="W475" s="272">
        <v>1267</v>
      </c>
      <c r="X475" s="272">
        <v>31</v>
      </c>
      <c r="Y475" s="272">
        <v>0</v>
      </c>
    </row>
    <row r="476" spans="1:25" x14ac:dyDescent="0.35">
      <c r="A476" s="259">
        <v>2941</v>
      </c>
      <c r="B476" s="260">
        <v>44964</v>
      </c>
      <c r="C476" s="259" t="s">
        <v>164</v>
      </c>
      <c r="D476" s="259" t="s">
        <v>973</v>
      </c>
      <c r="E476" s="270">
        <v>15.6</v>
      </c>
      <c r="F476" s="259">
        <v>0</v>
      </c>
      <c r="G476" s="270">
        <v>6.1</v>
      </c>
      <c r="H476" s="270">
        <v>2.9</v>
      </c>
      <c r="I476" s="270">
        <v>1.5</v>
      </c>
      <c r="J476" s="270">
        <v>0</v>
      </c>
      <c r="K476" s="270">
        <v>0.3</v>
      </c>
      <c r="L476" s="270">
        <v>0</v>
      </c>
      <c r="M476" s="270">
        <v>0</v>
      </c>
      <c r="N476" s="270">
        <v>2.6</v>
      </c>
      <c r="O476" s="270">
        <v>1</v>
      </c>
      <c r="P476" s="271">
        <v>1319.6</v>
      </c>
      <c r="Q476" s="271">
        <v>516.20000000000005</v>
      </c>
      <c r="R476" s="271">
        <v>1243</v>
      </c>
      <c r="S476" s="271">
        <v>2510.4</v>
      </c>
      <c r="T476" s="270" t="s">
        <v>818</v>
      </c>
      <c r="U476" s="272">
        <v>67692</v>
      </c>
      <c r="V476" s="272">
        <v>17089</v>
      </c>
      <c r="W476" s="272">
        <v>749</v>
      </c>
      <c r="X476" s="272">
        <v>35</v>
      </c>
      <c r="Y476" s="272">
        <v>8</v>
      </c>
    </row>
    <row r="477" spans="1:25" x14ac:dyDescent="0.35">
      <c r="A477" s="259">
        <v>2942</v>
      </c>
      <c r="B477" s="260">
        <v>44964</v>
      </c>
      <c r="C477" s="259" t="s">
        <v>172</v>
      </c>
      <c r="D477" s="259" t="s">
        <v>970</v>
      </c>
      <c r="E477" s="270">
        <v>6.1</v>
      </c>
      <c r="F477" s="259">
        <v>0</v>
      </c>
      <c r="G477" s="270">
        <v>14.3</v>
      </c>
      <c r="H477" s="270">
        <v>1.3</v>
      </c>
      <c r="I477" s="270">
        <v>0.9</v>
      </c>
      <c r="J477" s="270">
        <v>0</v>
      </c>
      <c r="K477" s="270">
        <v>0.1</v>
      </c>
      <c r="L477" s="270">
        <v>0</v>
      </c>
      <c r="M477" s="270">
        <v>0.1</v>
      </c>
      <c r="N477" s="270">
        <v>0.6</v>
      </c>
      <c r="O477" s="270">
        <v>1.3</v>
      </c>
      <c r="P477" s="271">
        <v>1013.9</v>
      </c>
      <c r="Q477" s="271">
        <v>12.6</v>
      </c>
      <c r="R477" s="271">
        <v>1019</v>
      </c>
      <c r="S477" s="271">
        <v>3568.3</v>
      </c>
      <c r="T477" s="270" t="s">
        <v>748</v>
      </c>
      <c r="U477" s="272">
        <v>100831</v>
      </c>
      <c r="V477" s="272">
        <v>39733</v>
      </c>
      <c r="W477" s="272">
        <v>249</v>
      </c>
      <c r="X477" s="272">
        <v>2</v>
      </c>
      <c r="Y477" s="272">
        <v>0</v>
      </c>
    </row>
    <row r="478" spans="1:25" x14ac:dyDescent="0.35">
      <c r="A478" s="259">
        <v>2943</v>
      </c>
      <c r="B478" s="260">
        <v>44964</v>
      </c>
      <c r="C478" s="259" t="s">
        <v>191</v>
      </c>
      <c r="D478" s="259" t="s">
        <v>973</v>
      </c>
      <c r="E478" s="270">
        <v>15.5</v>
      </c>
      <c r="F478" s="259">
        <v>0</v>
      </c>
      <c r="G478" s="270">
        <v>5.8</v>
      </c>
      <c r="H478" s="270">
        <v>1.7</v>
      </c>
      <c r="I478" s="270">
        <v>1.4</v>
      </c>
      <c r="J478" s="270">
        <v>0</v>
      </c>
      <c r="K478" s="270">
        <v>0.1</v>
      </c>
      <c r="L478" s="270">
        <v>0</v>
      </c>
      <c r="M478" s="270">
        <v>0</v>
      </c>
      <c r="N478" s="270">
        <v>2.2000000000000002</v>
      </c>
      <c r="O478" s="270">
        <v>0.7</v>
      </c>
      <c r="P478" s="271">
        <v>1293.0999999999999</v>
      </c>
      <c r="Q478" s="271">
        <v>503.8</v>
      </c>
      <c r="R478" s="271">
        <v>1218.2</v>
      </c>
      <c r="S478" s="271">
        <v>2454</v>
      </c>
      <c r="T478" s="270" t="s">
        <v>762</v>
      </c>
      <c r="U478" s="272">
        <v>44253</v>
      </c>
      <c r="V478" s="272">
        <v>11027</v>
      </c>
      <c r="W478" s="272">
        <v>202</v>
      </c>
      <c r="X478" s="272">
        <v>0</v>
      </c>
      <c r="Y478" s="272">
        <v>0</v>
      </c>
    </row>
    <row r="479" spans="1:25" x14ac:dyDescent="0.35">
      <c r="A479" s="259">
        <v>3389</v>
      </c>
      <c r="B479" s="260">
        <v>44969</v>
      </c>
      <c r="C479" s="259" t="s">
        <v>974</v>
      </c>
      <c r="D479" s="259" t="s">
        <v>973</v>
      </c>
      <c r="E479" s="270">
        <v>15.4</v>
      </c>
      <c r="F479" s="259">
        <v>0</v>
      </c>
      <c r="G479" s="270">
        <v>25.5</v>
      </c>
      <c r="H479" s="270">
        <v>0.3</v>
      </c>
      <c r="I479" s="270">
        <v>0</v>
      </c>
      <c r="J479" s="270">
        <v>0</v>
      </c>
      <c r="K479" s="270">
        <v>0</v>
      </c>
      <c r="L479" s="270">
        <v>0</v>
      </c>
      <c r="M479" s="270">
        <v>0.1</v>
      </c>
      <c r="N479" s="270">
        <v>0</v>
      </c>
      <c r="O479" s="270">
        <v>0</v>
      </c>
      <c r="P479" s="271">
        <v>504.3</v>
      </c>
      <c r="Q479" s="271">
        <v>2.6</v>
      </c>
      <c r="R479" s="271">
        <v>9.8000000000000007</v>
      </c>
      <c r="S479" s="271">
        <v>14.9</v>
      </c>
      <c r="T479" s="270" t="s">
        <v>743</v>
      </c>
      <c r="U479" s="272">
        <v>3314</v>
      </c>
      <c r="V479" s="272">
        <v>828</v>
      </c>
      <c r="W479" s="272">
        <v>44</v>
      </c>
      <c r="X479" s="272">
        <v>0</v>
      </c>
      <c r="Y479" s="272">
        <v>0</v>
      </c>
    </row>
    <row r="480" spans="1:25" x14ac:dyDescent="0.35">
      <c r="A480" s="259">
        <v>3390</v>
      </c>
      <c r="B480" s="260">
        <v>44969</v>
      </c>
      <c r="C480" s="259" t="s">
        <v>975</v>
      </c>
      <c r="D480" s="259" t="s">
        <v>973</v>
      </c>
      <c r="E480" s="270">
        <v>15.4</v>
      </c>
      <c r="F480" s="259">
        <v>0</v>
      </c>
      <c r="G480" s="270">
        <v>4.5999999999999996</v>
      </c>
      <c r="H480" s="270">
        <v>1.7</v>
      </c>
      <c r="I480" s="270">
        <v>1.4</v>
      </c>
      <c r="J480" s="270">
        <v>0</v>
      </c>
      <c r="K480" s="270">
        <v>0</v>
      </c>
      <c r="L480" s="270">
        <v>0.1</v>
      </c>
      <c r="M480" s="270">
        <v>0</v>
      </c>
      <c r="N480" s="270">
        <v>1.5</v>
      </c>
      <c r="O480" s="270">
        <v>0.2</v>
      </c>
      <c r="P480" s="271">
        <v>1225.5</v>
      </c>
      <c r="Q480" s="271">
        <v>487.6</v>
      </c>
      <c r="R480" s="271">
        <v>1203.3</v>
      </c>
      <c r="S480" s="271">
        <v>2370.6</v>
      </c>
      <c r="T480" s="270" t="s">
        <v>812</v>
      </c>
      <c r="U480" s="272">
        <v>36932</v>
      </c>
      <c r="V480" s="272">
        <v>10547</v>
      </c>
      <c r="W480" s="272">
        <v>177</v>
      </c>
      <c r="X480" s="272">
        <v>2</v>
      </c>
      <c r="Y480" s="272">
        <v>0</v>
      </c>
    </row>
    <row r="481" spans="1:25" x14ac:dyDescent="0.35">
      <c r="A481" s="259">
        <v>3391</v>
      </c>
      <c r="B481" s="260">
        <v>44969</v>
      </c>
      <c r="C481" s="259" t="s">
        <v>976</v>
      </c>
      <c r="D481" s="259" t="s">
        <v>823</v>
      </c>
      <c r="E481" s="270">
        <v>78.099999999999994</v>
      </c>
      <c r="F481" s="259">
        <v>0</v>
      </c>
      <c r="G481" s="270">
        <v>4.7</v>
      </c>
      <c r="H481" s="270">
        <v>1.9</v>
      </c>
      <c r="I481" s="270">
        <v>1.5</v>
      </c>
      <c r="J481" s="270">
        <v>0.2</v>
      </c>
      <c r="K481" s="270">
        <v>0</v>
      </c>
      <c r="L481" s="270">
        <v>0.1</v>
      </c>
      <c r="M481" s="270">
        <v>0</v>
      </c>
      <c r="N481" s="270">
        <v>1.8</v>
      </c>
      <c r="O481" s="270">
        <v>0.3</v>
      </c>
      <c r="P481" s="271">
        <v>1259.7</v>
      </c>
      <c r="Q481" s="271">
        <v>506.3</v>
      </c>
      <c r="R481" s="271">
        <v>1248.7</v>
      </c>
      <c r="S481" s="271">
        <v>2459.4</v>
      </c>
      <c r="T481" s="270" t="s">
        <v>811</v>
      </c>
      <c r="U481" s="272">
        <v>37391</v>
      </c>
      <c r="V481" s="272">
        <v>10001</v>
      </c>
      <c r="W481" s="272">
        <v>89</v>
      </c>
      <c r="X481" s="272">
        <v>0</v>
      </c>
      <c r="Y481" s="272">
        <v>0</v>
      </c>
    </row>
    <row r="482" spans="1:25" x14ac:dyDescent="0.35">
      <c r="A482" s="259">
        <v>3523</v>
      </c>
      <c r="B482" s="260">
        <v>44970</v>
      </c>
      <c r="C482" s="259" t="s">
        <v>171</v>
      </c>
      <c r="D482" s="259" t="s">
        <v>973</v>
      </c>
      <c r="E482" s="270">
        <v>15.4</v>
      </c>
      <c r="F482" s="259">
        <v>0</v>
      </c>
      <c r="G482" s="270">
        <v>4.3</v>
      </c>
      <c r="H482" s="270">
        <v>1.9</v>
      </c>
      <c r="I482" s="270">
        <v>1.4</v>
      </c>
      <c r="J482" s="270">
        <v>0</v>
      </c>
      <c r="K482" s="270">
        <v>0</v>
      </c>
      <c r="L482" s="270">
        <v>0</v>
      </c>
      <c r="M482" s="270">
        <v>0</v>
      </c>
      <c r="N482" s="270">
        <v>2.5</v>
      </c>
      <c r="O482" s="270">
        <v>0.1</v>
      </c>
      <c r="P482" s="271">
        <v>1247.0999999999999</v>
      </c>
      <c r="Q482" s="271">
        <v>505.1</v>
      </c>
      <c r="R482" s="271">
        <v>1196.2</v>
      </c>
      <c r="S482" s="271">
        <v>2449.5</v>
      </c>
      <c r="T482" s="270" t="s">
        <v>812</v>
      </c>
      <c r="U482" s="272">
        <v>34180</v>
      </c>
      <c r="V482" s="272">
        <v>10218</v>
      </c>
      <c r="W482" s="272">
        <v>260</v>
      </c>
      <c r="X482" s="272">
        <v>0</v>
      </c>
      <c r="Y482" s="272">
        <v>0</v>
      </c>
    </row>
    <row r="483" spans="1:25" x14ac:dyDescent="0.35">
      <c r="A483" s="259">
        <v>3524</v>
      </c>
      <c r="B483" s="260">
        <v>44970</v>
      </c>
      <c r="C483" s="259" t="s">
        <v>259</v>
      </c>
      <c r="D483" s="259" t="s">
        <v>823</v>
      </c>
      <c r="E483" s="270">
        <v>78.599999999999994</v>
      </c>
      <c r="F483" s="259">
        <v>0</v>
      </c>
      <c r="G483" s="270">
        <v>23.5</v>
      </c>
      <c r="H483" s="270">
        <v>0.1</v>
      </c>
      <c r="I483" s="270">
        <v>0</v>
      </c>
      <c r="J483" s="270">
        <v>0</v>
      </c>
      <c r="K483" s="270">
        <v>0</v>
      </c>
      <c r="L483" s="270">
        <v>0</v>
      </c>
      <c r="M483" s="270">
        <v>0</v>
      </c>
      <c r="N483" s="270">
        <v>0</v>
      </c>
      <c r="O483" s="270">
        <v>0</v>
      </c>
      <c r="P483" s="271">
        <v>465.5</v>
      </c>
      <c r="Q483" s="271">
        <v>1.8</v>
      </c>
      <c r="R483" s="271">
        <v>7.7</v>
      </c>
      <c r="S483" s="271">
        <v>12</v>
      </c>
      <c r="T483" s="270" t="s">
        <v>743</v>
      </c>
      <c r="U483" s="272">
        <v>3314</v>
      </c>
      <c r="V483" s="272">
        <v>828</v>
      </c>
      <c r="W483" s="272">
        <v>44</v>
      </c>
      <c r="X483" s="272">
        <v>0</v>
      </c>
      <c r="Y483" s="272">
        <v>0</v>
      </c>
    </row>
    <row r="484" spans="1:25" x14ac:dyDescent="0.35">
      <c r="A484" s="259">
        <v>3525</v>
      </c>
      <c r="B484" s="260">
        <v>44970</v>
      </c>
      <c r="C484" s="259" t="s">
        <v>191</v>
      </c>
      <c r="D484" s="259" t="s">
        <v>973</v>
      </c>
      <c r="E484" s="270">
        <v>15.4</v>
      </c>
      <c r="F484" s="259">
        <v>0</v>
      </c>
      <c r="G484" s="270">
        <v>4.8</v>
      </c>
      <c r="H484" s="270">
        <v>1.6</v>
      </c>
      <c r="I484" s="270">
        <v>1.3</v>
      </c>
      <c r="J484" s="270">
        <v>0</v>
      </c>
      <c r="K484" s="270">
        <v>0</v>
      </c>
      <c r="L484" s="270">
        <v>0</v>
      </c>
      <c r="M484" s="270">
        <v>0</v>
      </c>
      <c r="N484" s="270">
        <v>2.1</v>
      </c>
      <c r="O484" s="270">
        <v>0.4</v>
      </c>
      <c r="P484" s="271">
        <v>1190.7</v>
      </c>
      <c r="Q484" s="271">
        <v>477.5</v>
      </c>
      <c r="R484" s="271">
        <v>1176.3</v>
      </c>
      <c r="S484" s="271">
        <v>2324.1999999999998</v>
      </c>
      <c r="T484" s="270" t="s">
        <v>812</v>
      </c>
      <c r="U484" s="272">
        <v>34231</v>
      </c>
      <c r="V484" s="272">
        <v>10255</v>
      </c>
      <c r="W484" s="272">
        <v>174</v>
      </c>
      <c r="X484" s="272">
        <v>3</v>
      </c>
      <c r="Y484" s="272">
        <v>0</v>
      </c>
    </row>
    <row r="485" spans="1:25" x14ac:dyDescent="0.35">
      <c r="A485" s="259">
        <v>3684</v>
      </c>
      <c r="B485" s="260">
        <v>44972</v>
      </c>
      <c r="C485" s="259" t="s">
        <v>181</v>
      </c>
      <c r="D485" s="259" t="s">
        <v>971</v>
      </c>
      <c r="E485" s="270">
        <v>11.4</v>
      </c>
      <c r="F485" s="263">
        <v>0</v>
      </c>
      <c r="G485" s="270">
        <v>15.2</v>
      </c>
      <c r="H485" s="270">
        <v>1.7</v>
      </c>
      <c r="I485" s="270">
        <v>1</v>
      </c>
      <c r="J485" s="270">
        <v>0</v>
      </c>
      <c r="K485" s="270">
        <v>0.5</v>
      </c>
      <c r="L485" s="270">
        <v>0</v>
      </c>
      <c r="M485" s="270">
        <v>0.2</v>
      </c>
      <c r="N485" s="270">
        <v>0</v>
      </c>
      <c r="O485" s="270">
        <v>1.2</v>
      </c>
      <c r="P485" s="271">
        <v>905</v>
      </c>
      <c r="Q485" s="271">
        <v>10.5</v>
      </c>
      <c r="R485" s="271">
        <v>962.2</v>
      </c>
      <c r="S485" s="271">
        <v>3396.8</v>
      </c>
      <c r="T485" s="270" t="s">
        <v>797</v>
      </c>
      <c r="U485" s="272">
        <v>86106</v>
      </c>
      <c r="V485" s="272">
        <v>43496</v>
      </c>
      <c r="W485" s="272">
        <v>599</v>
      </c>
      <c r="X485" s="272">
        <v>2</v>
      </c>
      <c r="Y485" s="272">
        <v>0</v>
      </c>
    </row>
    <row r="486" spans="1:25" x14ac:dyDescent="0.35">
      <c r="A486" s="259">
        <v>3685</v>
      </c>
      <c r="B486" s="260">
        <v>44972</v>
      </c>
      <c r="C486" s="259" t="s">
        <v>182</v>
      </c>
      <c r="D486" s="259" t="s">
        <v>970</v>
      </c>
      <c r="E486" s="270">
        <v>6.2</v>
      </c>
      <c r="F486" s="259">
        <v>0</v>
      </c>
      <c r="G486" s="270">
        <v>13.7</v>
      </c>
      <c r="H486" s="270">
        <v>1.5</v>
      </c>
      <c r="I486" s="270">
        <v>0.9</v>
      </c>
      <c r="J486" s="270">
        <v>0</v>
      </c>
      <c r="K486" s="270">
        <v>0</v>
      </c>
      <c r="L486" s="270">
        <v>0</v>
      </c>
      <c r="M486" s="270">
        <v>0.1</v>
      </c>
      <c r="N486" s="270">
        <v>0</v>
      </c>
      <c r="O486" s="270">
        <v>1.2</v>
      </c>
      <c r="P486" s="271">
        <v>929.1</v>
      </c>
      <c r="Q486" s="271">
        <v>13.7</v>
      </c>
      <c r="R486" s="271">
        <v>991.2</v>
      </c>
      <c r="S486" s="271">
        <v>3466.6</v>
      </c>
      <c r="T486" s="270" t="s">
        <v>764</v>
      </c>
      <c r="U486" s="272">
        <v>84254</v>
      </c>
      <c r="V486" s="272">
        <v>36489</v>
      </c>
      <c r="W486" s="272">
        <v>368</v>
      </c>
      <c r="X486" s="272">
        <v>0</v>
      </c>
      <c r="Y486" s="272">
        <v>0</v>
      </c>
    </row>
    <row r="487" spans="1:25" x14ac:dyDescent="0.35">
      <c r="A487" s="259">
        <v>3686</v>
      </c>
      <c r="B487" s="260">
        <v>44972</v>
      </c>
      <c r="C487" s="259" t="s">
        <v>183</v>
      </c>
      <c r="D487" s="259" t="s">
        <v>971</v>
      </c>
      <c r="E487" s="270">
        <v>11.2</v>
      </c>
      <c r="F487" s="263">
        <v>0</v>
      </c>
      <c r="G487" s="270">
        <v>15.2</v>
      </c>
      <c r="H487" s="270">
        <v>1.6</v>
      </c>
      <c r="I487" s="270">
        <v>0.7</v>
      </c>
      <c r="J487" s="270">
        <v>0</v>
      </c>
      <c r="K487" s="270">
        <v>0</v>
      </c>
      <c r="L487" s="270">
        <v>0</v>
      </c>
      <c r="M487" s="270">
        <v>0</v>
      </c>
      <c r="N487" s="270">
        <v>0.5</v>
      </c>
      <c r="O487" s="270">
        <v>1.1000000000000001</v>
      </c>
      <c r="P487" s="271">
        <v>907.7</v>
      </c>
      <c r="Q487" s="271">
        <v>10.6</v>
      </c>
      <c r="R487" s="271">
        <v>971.5</v>
      </c>
      <c r="S487" s="271">
        <v>3402.2</v>
      </c>
      <c r="T487" s="270" t="s">
        <v>797</v>
      </c>
      <c r="U487" s="272">
        <v>97655</v>
      </c>
      <c r="V487" s="272">
        <v>46169</v>
      </c>
      <c r="W487" s="272">
        <v>465</v>
      </c>
      <c r="X487" s="272">
        <v>0</v>
      </c>
      <c r="Y487" s="272">
        <v>0</v>
      </c>
    </row>
    <row r="488" spans="1:25" x14ac:dyDescent="0.35">
      <c r="A488" s="259">
        <v>3687</v>
      </c>
      <c r="B488" s="260">
        <v>44973</v>
      </c>
      <c r="C488" s="259" t="s">
        <v>236</v>
      </c>
      <c r="D488" s="259" t="s">
        <v>971</v>
      </c>
      <c r="E488" s="270">
        <v>11.3</v>
      </c>
      <c r="F488" s="263">
        <v>0</v>
      </c>
      <c r="G488" s="270">
        <v>14.9</v>
      </c>
      <c r="H488" s="270">
        <v>1.4</v>
      </c>
      <c r="I488" s="270">
        <v>1.3</v>
      </c>
      <c r="J488" s="270">
        <v>0.2</v>
      </c>
      <c r="K488" s="270">
        <v>0.4</v>
      </c>
      <c r="L488" s="270">
        <v>0.1</v>
      </c>
      <c r="M488" s="270">
        <v>0.1</v>
      </c>
      <c r="N488" s="270">
        <v>0.8</v>
      </c>
      <c r="O488" s="270">
        <v>1.4</v>
      </c>
      <c r="P488" s="271">
        <v>938.3</v>
      </c>
      <c r="Q488" s="271">
        <v>12.6</v>
      </c>
      <c r="R488" s="271">
        <v>1013.1</v>
      </c>
      <c r="S488" s="271">
        <v>3542</v>
      </c>
      <c r="T488" s="270" t="s">
        <v>375</v>
      </c>
      <c r="U488" s="272">
        <v>106988</v>
      </c>
      <c r="V488" s="272">
        <v>42543</v>
      </c>
      <c r="W488" s="272">
        <v>228</v>
      </c>
      <c r="X488" s="272">
        <v>0</v>
      </c>
      <c r="Y488" s="272">
        <v>0</v>
      </c>
    </row>
    <row r="489" spans="1:25" x14ac:dyDescent="0.35">
      <c r="A489" s="259">
        <v>3688</v>
      </c>
      <c r="B489" s="260">
        <v>44973</v>
      </c>
      <c r="C489" s="259" t="s">
        <v>172</v>
      </c>
      <c r="D489" s="259" t="s">
        <v>970</v>
      </c>
      <c r="E489" s="270">
        <v>6.1</v>
      </c>
      <c r="F489" s="259">
        <v>0</v>
      </c>
      <c r="G489" s="270">
        <v>14.8</v>
      </c>
      <c r="H489" s="270">
        <v>1.2</v>
      </c>
      <c r="I489" s="270">
        <v>1.2</v>
      </c>
      <c r="J489" s="270">
        <v>0</v>
      </c>
      <c r="K489" s="270">
        <v>0</v>
      </c>
      <c r="L489" s="270">
        <v>0</v>
      </c>
      <c r="M489" s="270">
        <v>0</v>
      </c>
      <c r="N489" s="270">
        <v>0.3</v>
      </c>
      <c r="O489" s="270">
        <v>1.4</v>
      </c>
      <c r="P489" s="271">
        <v>927.4</v>
      </c>
      <c r="Q489" s="271">
        <v>11.9</v>
      </c>
      <c r="R489" s="271">
        <v>1015.2</v>
      </c>
      <c r="S489" s="271">
        <v>3540.4</v>
      </c>
      <c r="T489" s="270" t="s">
        <v>748</v>
      </c>
      <c r="U489" s="272">
        <v>99411</v>
      </c>
      <c r="V489" s="272">
        <v>39491</v>
      </c>
      <c r="W489" s="272">
        <v>220</v>
      </c>
      <c r="X489" s="272">
        <v>0</v>
      </c>
      <c r="Y489" s="272">
        <v>0</v>
      </c>
    </row>
    <row r="490" spans="1:25" x14ac:dyDescent="0.35">
      <c r="A490" s="259">
        <v>4220</v>
      </c>
      <c r="B490" s="260">
        <v>44979</v>
      </c>
      <c r="C490" s="259" t="s">
        <v>181</v>
      </c>
      <c r="D490" s="259" t="s">
        <v>970</v>
      </c>
      <c r="E490" s="270">
        <v>6.1</v>
      </c>
      <c r="F490" s="259">
        <v>0</v>
      </c>
      <c r="G490" s="270">
        <v>11.6</v>
      </c>
      <c r="H490" s="270">
        <v>1.2</v>
      </c>
      <c r="I490" s="270">
        <v>0.9</v>
      </c>
      <c r="J490" s="270">
        <v>0</v>
      </c>
      <c r="K490" s="270">
        <v>0</v>
      </c>
      <c r="L490" s="270">
        <v>0</v>
      </c>
      <c r="M490" s="270">
        <v>0</v>
      </c>
      <c r="N490" s="270">
        <v>1.4</v>
      </c>
      <c r="O490" s="270">
        <v>1.1000000000000001</v>
      </c>
      <c r="P490" s="271">
        <v>905.3</v>
      </c>
      <c r="Q490" s="271">
        <v>13</v>
      </c>
      <c r="R490" s="271">
        <v>973.9</v>
      </c>
      <c r="S490" s="271">
        <v>3321.3</v>
      </c>
      <c r="T490" s="270" t="s">
        <v>764</v>
      </c>
      <c r="U490" s="272">
        <v>80274</v>
      </c>
      <c r="V490" s="272">
        <v>37329</v>
      </c>
      <c r="W490" s="272">
        <v>362</v>
      </c>
      <c r="X490" s="272">
        <v>2</v>
      </c>
      <c r="Y490" s="272">
        <v>0</v>
      </c>
    </row>
    <row r="491" spans="1:25" x14ac:dyDescent="0.35">
      <c r="A491" s="259">
        <v>4221</v>
      </c>
      <c r="B491" s="260">
        <v>44979</v>
      </c>
      <c r="C491" s="259" t="s">
        <v>182</v>
      </c>
      <c r="D491" s="259" t="s">
        <v>973</v>
      </c>
      <c r="E491" s="270">
        <v>15.3</v>
      </c>
      <c r="F491" s="259">
        <v>0</v>
      </c>
      <c r="G491" s="270">
        <v>5</v>
      </c>
      <c r="H491" s="270">
        <v>1.5</v>
      </c>
      <c r="I491" s="270">
        <v>1.4</v>
      </c>
      <c r="J491" s="270">
        <v>0</v>
      </c>
      <c r="K491" s="270">
        <v>0.3</v>
      </c>
      <c r="L491" s="270">
        <v>0</v>
      </c>
      <c r="M491" s="270">
        <v>0</v>
      </c>
      <c r="N491" s="270">
        <v>2.5</v>
      </c>
      <c r="O491" s="270">
        <v>0.1</v>
      </c>
      <c r="P491" s="271">
        <v>1162.0999999999999</v>
      </c>
      <c r="Q491" s="271">
        <v>461.4</v>
      </c>
      <c r="R491" s="271">
        <v>1159.3</v>
      </c>
      <c r="S491" s="271">
        <v>2288.1</v>
      </c>
      <c r="T491" s="270" t="s">
        <v>794</v>
      </c>
      <c r="U491" s="272">
        <v>23182</v>
      </c>
      <c r="V491" s="272">
        <v>5033</v>
      </c>
      <c r="W491" s="272">
        <v>222</v>
      </c>
      <c r="X491" s="272">
        <v>52</v>
      </c>
      <c r="Y491" s="272">
        <v>0</v>
      </c>
    </row>
    <row r="492" spans="1:25" x14ac:dyDescent="0.35">
      <c r="A492" s="259">
        <v>4222</v>
      </c>
      <c r="B492" s="260">
        <v>44979</v>
      </c>
      <c r="C492" s="259" t="s">
        <v>183</v>
      </c>
      <c r="D492" s="259" t="s">
        <v>973</v>
      </c>
      <c r="E492" s="270">
        <v>15.3</v>
      </c>
      <c r="F492" s="259">
        <v>0</v>
      </c>
      <c r="G492" s="270">
        <v>6.4</v>
      </c>
      <c r="H492" s="270">
        <v>1.5</v>
      </c>
      <c r="I492" s="270">
        <v>1.4</v>
      </c>
      <c r="J492" s="270">
        <v>0</v>
      </c>
      <c r="K492" s="270">
        <v>0.1</v>
      </c>
      <c r="L492" s="270">
        <v>0</v>
      </c>
      <c r="M492" s="270">
        <v>0</v>
      </c>
      <c r="N492" s="270">
        <v>2.6</v>
      </c>
      <c r="O492" s="270">
        <v>0.1</v>
      </c>
      <c r="P492" s="271">
        <v>1155.0999999999999</v>
      </c>
      <c r="Q492" s="271">
        <v>452.7</v>
      </c>
      <c r="R492" s="271">
        <v>1138.4000000000001</v>
      </c>
      <c r="S492" s="271">
        <v>2248.1</v>
      </c>
      <c r="T492" s="270" t="s">
        <v>814</v>
      </c>
      <c r="U492" s="272">
        <v>23727</v>
      </c>
      <c r="V492" s="272">
        <v>6168</v>
      </c>
      <c r="W492" s="272">
        <v>105</v>
      </c>
      <c r="X492" s="272">
        <v>9</v>
      </c>
      <c r="Y492" s="272">
        <v>0</v>
      </c>
    </row>
    <row r="493" spans="1:25" x14ac:dyDescent="0.35">
      <c r="A493" s="259">
        <v>4223</v>
      </c>
      <c r="B493" s="260">
        <v>44979</v>
      </c>
      <c r="C493" s="259" t="s">
        <v>172</v>
      </c>
      <c r="D493" s="259" t="s">
        <v>970</v>
      </c>
      <c r="E493" s="270">
        <v>6.1</v>
      </c>
      <c r="F493" s="259">
        <v>0</v>
      </c>
      <c r="G493" s="270">
        <v>14.7</v>
      </c>
      <c r="H493" s="270">
        <v>1.2</v>
      </c>
      <c r="I493" s="270">
        <v>0.9</v>
      </c>
      <c r="J493" s="270">
        <v>0</v>
      </c>
      <c r="K493" s="270">
        <v>0.2</v>
      </c>
      <c r="L493" s="270">
        <v>0</v>
      </c>
      <c r="M493" s="270">
        <v>0</v>
      </c>
      <c r="N493" s="270">
        <v>0.8</v>
      </c>
      <c r="O493" s="270">
        <v>1</v>
      </c>
      <c r="P493" s="271">
        <v>916.2</v>
      </c>
      <c r="Q493" s="271">
        <v>12.5</v>
      </c>
      <c r="R493" s="271">
        <v>986.2</v>
      </c>
      <c r="S493" s="271">
        <v>3371.1</v>
      </c>
      <c r="T493" s="270" t="s">
        <v>764</v>
      </c>
      <c r="U493" s="272">
        <v>89038</v>
      </c>
      <c r="V493" s="272">
        <v>37685</v>
      </c>
      <c r="W493" s="272">
        <v>326</v>
      </c>
      <c r="X493" s="272">
        <v>0</v>
      </c>
      <c r="Y493" s="272">
        <v>0</v>
      </c>
    </row>
    <row r="494" spans="1:25" x14ac:dyDescent="0.35">
      <c r="A494" s="259">
        <v>4224</v>
      </c>
      <c r="B494" s="260">
        <v>44979</v>
      </c>
      <c r="C494" s="259" t="s">
        <v>191</v>
      </c>
      <c r="D494" s="259" t="s">
        <v>973</v>
      </c>
      <c r="E494" s="270">
        <v>15.6</v>
      </c>
      <c r="F494" s="259">
        <v>0</v>
      </c>
      <c r="G494" s="270">
        <v>5.5</v>
      </c>
      <c r="H494" s="270">
        <v>1.6</v>
      </c>
      <c r="I494" s="270">
        <v>1.2</v>
      </c>
      <c r="J494" s="270">
        <v>0.1</v>
      </c>
      <c r="K494" s="270">
        <v>0</v>
      </c>
      <c r="L494" s="270">
        <v>0</v>
      </c>
      <c r="M494" s="270">
        <v>0</v>
      </c>
      <c r="N494" s="270">
        <v>1.8</v>
      </c>
      <c r="O494" s="270">
        <v>0.3</v>
      </c>
      <c r="P494" s="271">
        <v>1189.8</v>
      </c>
      <c r="Q494" s="271">
        <v>469.6</v>
      </c>
      <c r="R494" s="271">
        <v>1173.8</v>
      </c>
      <c r="S494" s="271">
        <v>2267</v>
      </c>
      <c r="T494" s="270" t="s">
        <v>794</v>
      </c>
      <c r="U494" s="272">
        <v>27606</v>
      </c>
      <c r="V494" s="272">
        <v>6967</v>
      </c>
      <c r="W494" s="272">
        <v>191</v>
      </c>
      <c r="X494" s="272">
        <v>0</v>
      </c>
      <c r="Y494" s="272">
        <v>0</v>
      </c>
    </row>
    <row r="495" spans="1:25" x14ac:dyDescent="0.35">
      <c r="A495" s="259">
        <v>4225</v>
      </c>
      <c r="B495" s="260">
        <v>44979</v>
      </c>
      <c r="C495" s="259" t="s">
        <v>171</v>
      </c>
      <c r="D495" s="259" t="s">
        <v>973</v>
      </c>
      <c r="E495" s="270">
        <v>15.7</v>
      </c>
      <c r="F495" s="259">
        <v>0</v>
      </c>
      <c r="G495" s="270">
        <v>4.7</v>
      </c>
      <c r="H495" s="270">
        <v>1.6</v>
      </c>
      <c r="I495" s="270">
        <v>1.2</v>
      </c>
      <c r="J495" s="270">
        <v>0</v>
      </c>
      <c r="K495" s="270">
        <v>0</v>
      </c>
      <c r="L495" s="270">
        <v>0</v>
      </c>
      <c r="M495" s="270">
        <v>0</v>
      </c>
      <c r="N495" s="270">
        <v>1.8</v>
      </c>
      <c r="O495" s="270">
        <v>0.2</v>
      </c>
      <c r="P495" s="271">
        <v>1171.4000000000001</v>
      </c>
      <c r="Q495" s="271">
        <v>469.1</v>
      </c>
      <c r="R495" s="271">
        <v>1172.4000000000001</v>
      </c>
      <c r="S495" s="271">
        <v>2268.6</v>
      </c>
      <c r="T495" s="270" t="s">
        <v>977</v>
      </c>
      <c r="U495" s="272">
        <v>22194</v>
      </c>
      <c r="V495" s="272">
        <v>5839</v>
      </c>
      <c r="W495" s="272">
        <v>697</v>
      </c>
      <c r="X495" s="272">
        <v>336</v>
      </c>
      <c r="Y495" s="272">
        <v>0</v>
      </c>
    </row>
    <row r="496" spans="1:25" x14ac:dyDescent="0.35">
      <c r="A496" s="259">
        <v>6076</v>
      </c>
      <c r="B496" s="260">
        <v>44978</v>
      </c>
      <c r="C496" s="259" t="s">
        <v>181</v>
      </c>
      <c r="D496" s="259" t="s">
        <v>970</v>
      </c>
      <c r="E496" s="270">
        <v>6.2</v>
      </c>
      <c r="F496" s="259">
        <v>0</v>
      </c>
      <c r="G496" s="270">
        <v>12.8</v>
      </c>
      <c r="H496" s="270">
        <v>1.3</v>
      </c>
      <c r="I496" s="270">
        <v>0.8</v>
      </c>
      <c r="J496" s="270">
        <v>0</v>
      </c>
      <c r="K496" s="270">
        <v>0</v>
      </c>
      <c r="L496" s="270">
        <v>0</v>
      </c>
      <c r="M496" s="270">
        <v>0.2</v>
      </c>
      <c r="N496" s="270">
        <v>0.2</v>
      </c>
      <c r="O496" s="270">
        <v>0.6</v>
      </c>
      <c r="P496" s="271">
        <v>1055.5999999999999</v>
      </c>
      <c r="Q496" s="271">
        <v>11.6</v>
      </c>
      <c r="R496" s="271">
        <v>981</v>
      </c>
      <c r="S496" s="271">
        <v>3403.5</v>
      </c>
      <c r="T496" s="270" t="s">
        <v>748</v>
      </c>
      <c r="U496" s="272">
        <v>82937</v>
      </c>
      <c r="V496" s="272">
        <v>35213</v>
      </c>
      <c r="W496" s="272">
        <v>259</v>
      </c>
      <c r="X496" s="272">
        <v>0</v>
      </c>
      <c r="Y496" s="272">
        <v>0</v>
      </c>
    </row>
    <row r="497" spans="1:25" x14ac:dyDescent="0.35">
      <c r="A497" s="259">
        <v>6077</v>
      </c>
      <c r="B497" s="260">
        <v>44978</v>
      </c>
      <c r="C497" s="259" t="s">
        <v>182</v>
      </c>
      <c r="D497" s="259" t="s">
        <v>970</v>
      </c>
      <c r="E497" s="270">
        <v>6.2</v>
      </c>
      <c r="F497" s="259">
        <v>0</v>
      </c>
      <c r="G497" s="270">
        <v>6</v>
      </c>
      <c r="H497" s="270">
        <v>1.5</v>
      </c>
      <c r="I497" s="270">
        <v>1.2</v>
      </c>
      <c r="J497" s="270">
        <v>0</v>
      </c>
      <c r="K497" s="270">
        <v>0</v>
      </c>
      <c r="L497" s="270">
        <v>0.1</v>
      </c>
      <c r="M497" s="270">
        <v>0</v>
      </c>
      <c r="N497" s="270">
        <v>0.9</v>
      </c>
      <c r="O497" s="270">
        <v>0</v>
      </c>
      <c r="P497" s="271">
        <v>1254.8</v>
      </c>
      <c r="Q497" s="271">
        <v>446.9</v>
      </c>
      <c r="R497" s="271">
        <v>1092.9000000000001</v>
      </c>
      <c r="S497" s="271">
        <v>2211</v>
      </c>
      <c r="T497" s="270" t="s">
        <v>748</v>
      </c>
      <c r="U497" s="272">
        <v>80326</v>
      </c>
      <c r="V497" s="272">
        <v>34690</v>
      </c>
      <c r="W497" s="272">
        <v>234</v>
      </c>
      <c r="X497" s="272">
        <v>0</v>
      </c>
      <c r="Y497" s="272">
        <v>0</v>
      </c>
    </row>
    <row r="498" spans="1:25" x14ac:dyDescent="0.35">
      <c r="A498" s="259">
        <v>6078</v>
      </c>
      <c r="B498" s="260">
        <v>44978</v>
      </c>
      <c r="C498" s="259" t="s">
        <v>183</v>
      </c>
      <c r="D498" s="259" t="s">
        <v>973</v>
      </c>
      <c r="E498" s="270">
        <v>15.5</v>
      </c>
      <c r="F498" s="259">
        <v>0</v>
      </c>
      <c r="G498" s="270">
        <v>5.2</v>
      </c>
      <c r="H498" s="270">
        <v>1.5</v>
      </c>
      <c r="I498" s="270">
        <v>1.2</v>
      </c>
      <c r="J498" s="270">
        <v>0</v>
      </c>
      <c r="K498" s="270">
        <v>0.2</v>
      </c>
      <c r="L498" s="270">
        <v>0</v>
      </c>
      <c r="M498" s="270">
        <v>0</v>
      </c>
      <c r="N498" s="270">
        <v>1.3</v>
      </c>
      <c r="O498" s="270">
        <v>0</v>
      </c>
      <c r="P498" s="271">
        <v>1315.7</v>
      </c>
      <c r="Q498" s="271">
        <v>447.3</v>
      </c>
      <c r="R498" s="271">
        <v>1110.0999999999999</v>
      </c>
      <c r="S498" s="271">
        <v>2197.6</v>
      </c>
      <c r="T498" s="270" t="s">
        <v>794</v>
      </c>
      <c r="U498" s="272">
        <v>37192</v>
      </c>
      <c r="V498" s="272">
        <v>8892</v>
      </c>
      <c r="W498" s="272">
        <v>217</v>
      </c>
      <c r="X498" s="272">
        <v>12</v>
      </c>
      <c r="Y498" s="272">
        <v>0</v>
      </c>
    </row>
    <row r="499" spans="1:25" x14ac:dyDescent="0.35">
      <c r="A499" s="259">
        <v>6079</v>
      </c>
      <c r="B499" s="260">
        <v>44978</v>
      </c>
      <c r="C499" s="259" t="s">
        <v>191</v>
      </c>
      <c r="D499" s="259" t="s">
        <v>973</v>
      </c>
      <c r="E499" s="270">
        <v>15.3</v>
      </c>
      <c r="F499" s="259">
        <v>0</v>
      </c>
      <c r="G499" s="270">
        <v>5.0999999999999996</v>
      </c>
      <c r="H499" s="270">
        <v>1.5</v>
      </c>
      <c r="I499" s="270">
        <v>1.4</v>
      </c>
      <c r="J499" s="270">
        <v>0</v>
      </c>
      <c r="K499" s="270">
        <v>0</v>
      </c>
      <c r="L499" s="270">
        <v>0.1</v>
      </c>
      <c r="M499" s="270">
        <v>0</v>
      </c>
      <c r="N499" s="270">
        <v>1.5</v>
      </c>
      <c r="O499" s="270">
        <v>0</v>
      </c>
      <c r="P499" s="271">
        <v>1320.4</v>
      </c>
      <c r="Q499" s="271">
        <v>449.1</v>
      </c>
      <c r="R499" s="271">
        <v>1117.4000000000001</v>
      </c>
      <c r="S499" s="271">
        <v>2216.1</v>
      </c>
      <c r="T499" s="270" t="s">
        <v>814</v>
      </c>
      <c r="U499" s="272">
        <v>35783</v>
      </c>
      <c r="V499" s="272">
        <v>9719</v>
      </c>
      <c r="W499" s="272">
        <v>120</v>
      </c>
      <c r="X499" s="272">
        <v>8</v>
      </c>
      <c r="Y499" s="272">
        <v>0</v>
      </c>
    </row>
    <row r="500" spans="1:25" x14ac:dyDescent="0.35">
      <c r="A500" s="259">
        <v>6080</v>
      </c>
      <c r="B500" s="260">
        <v>44978</v>
      </c>
      <c r="C500" s="259" t="s">
        <v>172</v>
      </c>
      <c r="D500" s="259" t="s">
        <v>970</v>
      </c>
      <c r="E500" s="270">
        <v>6.2</v>
      </c>
      <c r="F500" s="259">
        <v>0</v>
      </c>
      <c r="G500" s="270">
        <v>11.7</v>
      </c>
      <c r="H500" s="270">
        <v>1.2</v>
      </c>
      <c r="I500" s="270">
        <v>0.7</v>
      </c>
      <c r="J500" s="270">
        <v>0</v>
      </c>
      <c r="K500" s="270">
        <v>0</v>
      </c>
      <c r="L500" s="270">
        <v>0</v>
      </c>
      <c r="M500" s="270">
        <v>0</v>
      </c>
      <c r="N500" s="270">
        <v>0.4</v>
      </c>
      <c r="O500" s="270">
        <v>0.4</v>
      </c>
      <c r="P500" s="271">
        <v>1061.4000000000001</v>
      </c>
      <c r="Q500" s="271">
        <v>12.8</v>
      </c>
      <c r="R500" s="271">
        <v>965.3</v>
      </c>
      <c r="S500" s="271">
        <v>3282.7</v>
      </c>
      <c r="T500" s="270" t="s">
        <v>748</v>
      </c>
      <c r="U500" s="272">
        <v>84255</v>
      </c>
      <c r="V500" s="272">
        <v>37843</v>
      </c>
      <c r="W500" s="272">
        <v>255</v>
      </c>
      <c r="X500" s="272">
        <v>0</v>
      </c>
      <c r="Y500" s="272">
        <v>0</v>
      </c>
    </row>
    <row r="501" spans="1:25" x14ac:dyDescent="0.35">
      <c r="A501" s="259">
        <v>4730</v>
      </c>
      <c r="B501" s="260">
        <v>44986</v>
      </c>
      <c r="C501" s="259" t="s">
        <v>162</v>
      </c>
      <c r="D501" s="259" t="s">
        <v>973</v>
      </c>
      <c r="E501" s="270">
        <v>15.4</v>
      </c>
      <c r="F501" s="259">
        <v>0</v>
      </c>
      <c r="G501" s="270">
        <v>6.1491188030000004</v>
      </c>
      <c r="H501" s="270">
        <v>1.6082042679999999</v>
      </c>
      <c r="I501" s="270">
        <v>1.3707199859999999</v>
      </c>
      <c r="J501" s="270">
        <v>2.3917687579999999E-2</v>
      </c>
      <c r="K501" s="270">
        <v>7.1156789489999997E-2</v>
      </c>
      <c r="L501" s="270">
        <v>2.1087221520000002E-3</v>
      </c>
      <c r="M501" s="270">
        <v>0</v>
      </c>
      <c r="N501" s="270">
        <v>1.8088413910000001</v>
      </c>
      <c r="O501" s="270">
        <v>0.49871126729999998</v>
      </c>
      <c r="P501" s="271">
        <v>1390.3697529999999</v>
      </c>
      <c r="Q501" s="271">
        <v>450.87322970000002</v>
      </c>
      <c r="R501" s="271">
        <v>1152.438795</v>
      </c>
      <c r="S501" s="271">
        <v>2446.0481869999999</v>
      </c>
      <c r="T501" s="270" t="s">
        <v>812</v>
      </c>
      <c r="U501" s="272">
        <v>36054.480000000003</v>
      </c>
      <c r="V501" s="272">
        <v>10324.84</v>
      </c>
      <c r="W501" s="272">
        <v>295.44</v>
      </c>
      <c r="X501" s="272">
        <v>13.85</v>
      </c>
      <c r="Y501" s="272">
        <v>0</v>
      </c>
    </row>
    <row r="502" spans="1:25" x14ac:dyDescent="0.35">
      <c r="A502" s="259">
        <v>4731</v>
      </c>
      <c r="B502" s="260">
        <v>44986</v>
      </c>
      <c r="C502" s="259" t="s">
        <v>163</v>
      </c>
      <c r="D502" s="259" t="s">
        <v>749</v>
      </c>
      <c r="E502" s="270">
        <v>24.9</v>
      </c>
      <c r="F502" s="259">
        <v>0</v>
      </c>
      <c r="G502" s="270">
        <v>16.453365590000001</v>
      </c>
      <c r="H502" s="270">
        <v>1.1966005319999999</v>
      </c>
      <c r="I502" s="270">
        <v>0.71336995489999999</v>
      </c>
      <c r="J502" s="270">
        <v>0</v>
      </c>
      <c r="K502" s="270">
        <v>0</v>
      </c>
      <c r="L502" s="270">
        <v>1.9138765429999999E-2</v>
      </c>
      <c r="M502" s="270">
        <v>0</v>
      </c>
      <c r="N502" s="270">
        <v>0.34854877740000001</v>
      </c>
      <c r="O502" s="270">
        <v>1.0602710230000001</v>
      </c>
      <c r="P502" s="271">
        <v>1073.6998450000001</v>
      </c>
      <c r="Q502" s="271">
        <v>13.474030259999999</v>
      </c>
      <c r="R502" s="271">
        <v>978.79397630000005</v>
      </c>
      <c r="S502" s="271">
        <v>3257.9142919999999</v>
      </c>
      <c r="T502" s="270" t="s">
        <v>801</v>
      </c>
      <c r="U502" s="272">
        <v>25417.02</v>
      </c>
      <c r="V502" s="272">
        <v>7944.23</v>
      </c>
      <c r="W502" s="272">
        <v>445.31</v>
      </c>
      <c r="X502" s="272">
        <v>3.08</v>
      </c>
      <c r="Y502" s="272">
        <v>0</v>
      </c>
    </row>
    <row r="503" spans="1:25" x14ac:dyDescent="0.35">
      <c r="A503" s="259">
        <v>4732</v>
      </c>
      <c r="B503" s="260">
        <v>44986</v>
      </c>
      <c r="C503" s="259" t="s">
        <v>164</v>
      </c>
      <c r="D503" s="259" t="s">
        <v>971</v>
      </c>
      <c r="E503" s="270">
        <v>11.4</v>
      </c>
      <c r="F503" s="263">
        <v>0</v>
      </c>
      <c r="G503" s="270">
        <v>13.58471681</v>
      </c>
      <c r="H503" s="270">
        <v>1.2110779709999999</v>
      </c>
      <c r="I503" s="270">
        <v>1.0092094730000001</v>
      </c>
      <c r="J503" s="270">
        <v>0</v>
      </c>
      <c r="K503" s="270">
        <v>3.4444770610000001E-2</v>
      </c>
      <c r="L503" s="270">
        <v>5.006656114E-2</v>
      </c>
      <c r="M503" s="270">
        <v>0</v>
      </c>
      <c r="N503" s="270">
        <v>0.4173691041</v>
      </c>
      <c r="O503" s="270">
        <v>1.22608406</v>
      </c>
      <c r="P503" s="271">
        <v>1050.4983569999999</v>
      </c>
      <c r="Q503" s="271">
        <v>11.271446299999999</v>
      </c>
      <c r="R503" s="271">
        <v>952.06495299999995</v>
      </c>
      <c r="S503" s="271">
        <v>3191.0730450000001</v>
      </c>
      <c r="T503" s="270" t="s">
        <v>972</v>
      </c>
      <c r="U503" s="272">
        <v>79786.28</v>
      </c>
      <c r="V503" s="272">
        <v>38768.79</v>
      </c>
      <c r="W503" s="272">
        <v>510.86</v>
      </c>
      <c r="X503" s="272">
        <v>3.08</v>
      </c>
      <c r="Y503" s="272">
        <v>0</v>
      </c>
    </row>
    <row r="504" spans="1:25" x14ac:dyDescent="0.35">
      <c r="A504" s="259">
        <v>4733</v>
      </c>
      <c r="B504" s="260">
        <v>44986</v>
      </c>
      <c r="C504" s="259" t="s">
        <v>191</v>
      </c>
      <c r="D504" s="259" t="s">
        <v>973</v>
      </c>
      <c r="E504" s="270">
        <v>15.4</v>
      </c>
      <c r="F504" s="259">
        <v>0</v>
      </c>
      <c r="G504" s="270">
        <v>5.5631594140000002</v>
      </c>
      <c r="H504" s="270">
        <v>1.5310332120000001</v>
      </c>
      <c r="I504" s="270">
        <v>1.285306193</v>
      </c>
      <c r="J504" s="270">
        <v>0.14602452569999999</v>
      </c>
      <c r="K504" s="270">
        <v>0.65177391210000002</v>
      </c>
      <c r="L504" s="270">
        <v>1.9712215080000001E-2</v>
      </c>
      <c r="M504" s="270">
        <v>0</v>
      </c>
      <c r="N504" s="270">
        <v>1.3929340779999999</v>
      </c>
      <c r="O504" s="270">
        <v>0.55825809150000005</v>
      </c>
      <c r="P504" s="271">
        <v>1383.3630740000001</v>
      </c>
      <c r="Q504" s="271">
        <v>463.54500059999998</v>
      </c>
      <c r="R504" s="271">
        <v>1170.2911369999999</v>
      </c>
      <c r="S504" s="271">
        <v>2404.3072419999999</v>
      </c>
      <c r="T504" s="270" t="s">
        <v>780</v>
      </c>
      <c r="U504" s="272">
        <v>39038.78</v>
      </c>
      <c r="V504" s="272">
        <v>9105.65</v>
      </c>
      <c r="W504" s="272">
        <v>118.52</v>
      </c>
      <c r="X504" s="272">
        <v>0</v>
      </c>
      <c r="Y504" s="272">
        <v>0</v>
      </c>
    </row>
    <row r="505" spans="1:25" x14ac:dyDescent="0.35">
      <c r="A505" s="259">
        <v>4734</v>
      </c>
      <c r="B505" s="260">
        <v>44986</v>
      </c>
      <c r="C505" s="259" t="s">
        <v>237</v>
      </c>
      <c r="D505" s="259" t="s">
        <v>749</v>
      </c>
      <c r="E505" s="270">
        <v>25.3</v>
      </c>
      <c r="F505" s="259">
        <v>0</v>
      </c>
      <c r="G505" s="270">
        <v>15.07460296</v>
      </c>
      <c r="H505" s="270">
        <v>1.1751200260000001</v>
      </c>
      <c r="I505" s="270">
        <v>0.87621841690000002</v>
      </c>
      <c r="J505" s="270">
        <v>0</v>
      </c>
      <c r="K505" s="270">
        <v>0.29523937169999998</v>
      </c>
      <c r="L505" s="270">
        <v>4.7690858709999997E-3</v>
      </c>
      <c r="M505" s="270">
        <v>0</v>
      </c>
      <c r="N505" s="270">
        <v>0.1175589027</v>
      </c>
      <c r="O505" s="270">
        <v>0.8825716146</v>
      </c>
      <c r="P505" s="271">
        <v>1080.0861339999999</v>
      </c>
      <c r="Q505" s="271">
        <v>10.57694073</v>
      </c>
      <c r="R505" s="271">
        <v>990.9296233</v>
      </c>
      <c r="S505" s="271">
        <v>3314.9899329999998</v>
      </c>
      <c r="T505" s="270" t="s">
        <v>978</v>
      </c>
      <c r="U505" s="272">
        <v>14105.15</v>
      </c>
      <c r="V505" s="272">
        <v>4262.8999999999996</v>
      </c>
      <c r="W505" s="272">
        <v>251.51</v>
      </c>
      <c r="X505" s="272">
        <v>9.24</v>
      </c>
      <c r="Y505" s="272">
        <v>0</v>
      </c>
    </row>
    <row r="506" spans="1:25" x14ac:dyDescent="0.35">
      <c r="A506" s="259">
        <v>4735</v>
      </c>
      <c r="B506" s="260">
        <v>44986</v>
      </c>
      <c r="C506" s="259" t="s">
        <v>236</v>
      </c>
      <c r="D506" s="259" t="s">
        <v>971</v>
      </c>
      <c r="E506" s="270">
        <v>11.4</v>
      </c>
      <c r="F506" s="263">
        <v>0</v>
      </c>
      <c r="G506" s="270">
        <v>13.70851794</v>
      </c>
      <c r="H506" s="270">
        <v>1.1711349179999999</v>
      </c>
      <c r="I506" s="270">
        <v>0.85835272399999996</v>
      </c>
      <c r="J506" s="270">
        <v>0</v>
      </c>
      <c r="K506" s="270">
        <v>0.2164336499</v>
      </c>
      <c r="L506" s="270">
        <v>4.26685038E-2</v>
      </c>
      <c r="M506" s="270">
        <v>4.955053265E-2</v>
      </c>
      <c r="N506" s="270">
        <v>0.14881591659999999</v>
      </c>
      <c r="O506" s="270">
        <v>1.0084715280000001</v>
      </c>
      <c r="P506" s="271">
        <v>1055.360833</v>
      </c>
      <c r="Q506" s="271">
        <v>9.9060508420000009</v>
      </c>
      <c r="R506" s="271">
        <v>970.23634249999998</v>
      </c>
      <c r="S506" s="271">
        <v>3261.5471130000001</v>
      </c>
      <c r="T506" s="270" t="s">
        <v>979</v>
      </c>
      <c r="U506" s="272">
        <v>96050.91</v>
      </c>
      <c r="V506" s="272">
        <v>43556.36</v>
      </c>
      <c r="W506" s="272">
        <v>377.11</v>
      </c>
      <c r="X506" s="272">
        <v>0</v>
      </c>
      <c r="Y506" s="272">
        <v>0</v>
      </c>
    </row>
    <row r="507" spans="1:25" x14ac:dyDescent="0.35">
      <c r="A507" s="259">
        <v>5563</v>
      </c>
      <c r="B507" s="260">
        <v>44997</v>
      </c>
      <c r="C507" s="259" t="s">
        <v>181</v>
      </c>
      <c r="D507" s="259" t="s">
        <v>970</v>
      </c>
      <c r="E507" s="270">
        <v>6.2</v>
      </c>
      <c r="F507" s="259">
        <v>0</v>
      </c>
      <c r="G507" s="270">
        <v>13.81590971</v>
      </c>
      <c r="H507" s="270">
        <v>4.3063564889999997</v>
      </c>
      <c r="I507" s="270">
        <v>1.75903035</v>
      </c>
      <c r="J507" s="270">
        <v>0.59927185689999996</v>
      </c>
      <c r="K507" s="270">
        <v>1.808808481</v>
      </c>
      <c r="L507" s="270">
        <v>3.3042564830000003E-2</v>
      </c>
      <c r="M507" s="270">
        <v>0</v>
      </c>
      <c r="N507" s="270">
        <v>0.45940610339999999</v>
      </c>
      <c r="O507" s="270">
        <v>1.0106065209999999</v>
      </c>
      <c r="P507" s="271">
        <v>1072.3213000000001</v>
      </c>
      <c r="Q507" s="271">
        <v>9.7908580740000009</v>
      </c>
      <c r="R507" s="271">
        <v>995.18557629999998</v>
      </c>
      <c r="S507" s="271">
        <v>3309.2447219999999</v>
      </c>
      <c r="T507" s="270" t="s">
        <v>748</v>
      </c>
      <c r="U507" s="272">
        <v>82993.91</v>
      </c>
      <c r="V507" s="272">
        <v>35751.51</v>
      </c>
      <c r="W507" s="272">
        <v>316.98</v>
      </c>
      <c r="X507" s="272">
        <v>0</v>
      </c>
      <c r="Y507" s="272">
        <v>0</v>
      </c>
    </row>
    <row r="508" spans="1:25" x14ac:dyDescent="0.35">
      <c r="A508" s="259">
        <v>5564</v>
      </c>
      <c r="B508" s="260">
        <v>44997</v>
      </c>
      <c r="C508" s="259" t="s">
        <v>182</v>
      </c>
      <c r="D508" s="259" t="s">
        <v>973</v>
      </c>
      <c r="E508" s="270">
        <v>15.4</v>
      </c>
      <c r="F508" s="259">
        <v>0</v>
      </c>
      <c r="G508" s="270">
        <v>5.9405184780000004</v>
      </c>
      <c r="H508" s="270">
        <v>2.2886785430000001</v>
      </c>
      <c r="I508" s="270">
        <v>1.4997593279999999</v>
      </c>
      <c r="J508" s="270">
        <v>0.264397665</v>
      </c>
      <c r="K508" s="270">
        <v>0.28491744499999999</v>
      </c>
      <c r="L508" s="270">
        <v>0.19437020899999999</v>
      </c>
      <c r="M508" s="270">
        <v>0</v>
      </c>
      <c r="N508" s="270">
        <v>0.73262710900000005</v>
      </c>
      <c r="O508" s="270">
        <v>0</v>
      </c>
      <c r="P508" s="271">
        <v>1362.6560159999999</v>
      </c>
      <c r="Q508" s="271">
        <v>461.09221120000001</v>
      </c>
      <c r="R508" s="271">
        <v>1161.5337730000001</v>
      </c>
      <c r="S508" s="271">
        <v>2308.8670090000001</v>
      </c>
      <c r="T508" s="270" t="s">
        <v>792</v>
      </c>
      <c r="U508" s="272">
        <v>40453.47</v>
      </c>
      <c r="V508" s="272">
        <v>11095.98</v>
      </c>
      <c r="W508" s="272">
        <v>333.01</v>
      </c>
      <c r="X508" s="272">
        <v>7.71</v>
      </c>
      <c r="Y508" s="272">
        <v>0</v>
      </c>
    </row>
    <row r="509" spans="1:25" x14ac:dyDescent="0.35">
      <c r="A509" s="259">
        <v>5565</v>
      </c>
      <c r="B509" s="260">
        <v>44997</v>
      </c>
      <c r="C509" s="259" t="s">
        <v>183</v>
      </c>
      <c r="D509" s="259" t="s">
        <v>973</v>
      </c>
      <c r="E509" s="270">
        <v>15.4</v>
      </c>
      <c r="F509" s="259">
        <v>0</v>
      </c>
      <c r="G509" s="270">
        <v>4.9483426939999999</v>
      </c>
      <c r="H509" s="270">
        <v>1.7984139960000001</v>
      </c>
      <c r="I509" s="270">
        <v>1.4385934650000001</v>
      </c>
      <c r="J509" s="270">
        <v>7.3800903000000001E-2</v>
      </c>
      <c r="K509" s="270">
        <v>0</v>
      </c>
      <c r="L509" s="270">
        <v>5.5898917999999999E-2</v>
      </c>
      <c r="M509" s="270">
        <v>0</v>
      </c>
      <c r="N509" s="270">
        <v>0.61578465999999998</v>
      </c>
      <c r="O509" s="270">
        <v>0</v>
      </c>
      <c r="P509" s="271">
        <v>1292.7298089999999</v>
      </c>
      <c r="Q509" s="271">
        <v>439.02101820000001</v>
      </c>
      <c r="R509" s="271">
        <v>1106.516824</v>
      </c>
      <c r="S509" s="271">
        <v>2374.5105840000001</v>
      </c>
      <c r="T509" s="270" t="s">
        <v>812</v>
      </c>
      <c r="U509" s="272">
        <v>37761.01</v>
      </c>
      <c r="V509" s="272">
        <v>10518.65</v>
      </c>
      <c r="W509" s="272">
        <v>298.70999999999998</v>
      </c>
      <c r="X509" s="272">
        <v>0</v>
      </c>
      <c r="Y509" s="272">
        <v>0</v>
      </c>
    </row>
    <row r="510" spans="1:25" x14ac:dyDescent="0.35">
      <c r="A510" s="259">
        <v>5566</v>
      </c>
      <c r="B510" s="260">
        <v>44998</v>
      </c>
      <c r="C510" s="259" t="s">
        <v>192</v>
      </c>
      <c r="D510" s="259" t="s">
        <v>970</v>
      </c>
      <c r="E510" s="270">
        <v>6.1</v>
      </c>
      <c r="F510" s="259">
        <v>0</v>
      </c>
      <c r="G510" s="270">
        <v>13.45898708</v>
      </c>
      <c r="H510" s="270">
        <v>1.3365219530000001</v>
      </c>
      <c r="I510" s="270">
        <v>1.106450379</v>
      </c>
      <c r="J510" s="270">
        <v>1.7353575999999999E-2</v>
      </c>
      <c r="K510" s="270">
        <v>0.24016942799999999</v>
      </c>
      <c r="L510" s="270">
        <v>5.1231389000000002E-2</v>
      </c>
      <c r="M510" s="270">
        <v>0</v>
      </c>
      <c r="N510" s="270">
        <v>0.499525355</v>
      </c>
      <c r="O510" s="270">
        <v>1.0143384179999999</v>
      </c>
      <c r="P510" s="271">
        <v>1086.138111</v>
      </c>
      <c r="Q510" s="271">
        <v>14.203157579999999</v>
      </c>
      <c r="R510" s="271">
        <v>1006.672501</v>
      </c>
      <c r="S510" s="271">
        <v>3466.170959</v>
      </c>
      <c r="T510" s="270" t="s">
        <v>748</v>
      </c>
      <c r="U510" s="272">
        <v>96613.55</v>
      </c>
      <c r="V510" s="272">
        <v>37349.699999999997</v>
      </c>
      <c r="W510" s="272">
        <v>204.65</v>
      </c>
      <c r="X510" s="272">
        <v>0</v>
      </c>
      <c r="Y510" s="272">
        <v>0</v>
      </c>
    </row>
    <row r="511" spans="1:25" x14ac:dyDescent="0.35">
      <c r="A511" s="259">
        <v>5567</v>
      </c>
      <c r="B511" s="260">
        <v>44998</v>
      </c>
      <c r="C511" s="259" t="s">
        <v>171</v>
      </c>
      <c r="D511" s="259" t="s">
        <v>973</v>
      </c>
      <c r="E511" s="270">
        <v>15.4</v>
      </c>
      <c r="F511" s="259">
        <v>0</v>
      </c>
      <c r="G511" s="270">
        <v>5.3456617670000002</v>
      </c>
      <c r="H511" s="270">
        <v>1.751605589</v>
      </c>
      <c r="I511" s="270">
        <v>1.4711977650000001</v>
      </c>
      <c r="J511" s="270">
        <v>2.8573425E-2</v>
      </c>
      <c r="K511" s="270">
        <v>0</v>
      </c>
      <c r="L511" s="270">
        <v>1.5228116999999999E-2</v>
      </c>
      <c r="M511" s="270">
        <v>0</v>
      </c>
      <c r="N511" s="270">
        <v>0.70450969799999996</v>
      </c>
      <c r="O511" s="270">
        <v>0</v>
      </c>
      <c r="P511" s="271">
        <v>1373.4198120000001</v>
      </c>
      <c r="Q511" s="271">
        <v>473.55009460000002</v>
      </c>
      <c r="R511" s="271">
        <v>1193.9099120000001</v>
      </c>
      <c r="S511" s="271">
        <v>2374.5105840000001</v>
      </c>
      <c r="T511" s="270" t="s">
        <v>794</v>
      </c>
      <c r="U511" s="272">
        <v>35514.47</v>
      </c>
      <c r="V511" s="272">
        <v>8954.84</v>
      </c>
      <c r="W511" s="272">
        <v>166.18</v>
      </c>
      <c r="X511" s="272">
        <v>0</v>
      </c>
      <c r="Y511" s="272">
        <v>0</v>
      </c>
    </row>
    <row r="512" spans="1:25" x14ac:dyDescent="0.35">
      <c r="A512" s="259">
        <v>5687</v>
      </c>
      <c r="B512" s="260">
        <v>44999</v>
      </c>
      <c r="C512" s="259" t="s">
        <v>162</v>
      </c>
      <c r="D512" s="259" t="s">
        <v>970</v>
      </c>
      <c r="E512" s="270">
        <v>6.2</v>
      </c>
      <c r="F512" s="259">
        <v>0</v>
      </c>
      <c r="G512" s="270">
        <v>13.0623422</v>
      </c>
      <c r="H512" s="270">
        <v>1.27292603</v>
      </c>
      <c r="I512" s="270">
        <v>0.93980354769999996</v>
      </c>
      <c r="J512" s="270">
        <v>0</v>
      </c>
      <c r="K512" s="270">
        <v>0</v>
      </c>
      <c r="L512" s="270">
        <v>7.6773943550000001E-2</v>
      </c>
      <c r="M512" s="270">
        <v>0</v>
      </c>
      <c r="N512" s="270">
        <v>0</v>
      </c>
      <c r="O512" s="270">
        <v>0.30501972999999999</v>
      </c>
      <c r="P512" s="271">
        <v>1065.3246979999999</v>
      </c>
      <c r="Q512" s="271">
        <v>10.78804478</v>
      </c>
      <c r="R512" s="271">
        <v>948.4282839</v>
      </c>
      <c r="S512" s="271">
        <v>3301.660241</v>
      </c>
      <c r="T512" s="270" t="s">
        <v>748</v>
      </c>
      <c r="U512" s="272">
        <v>82420.97</v>
      </c>
      <c r="V512" s="272">
        <v>35111.629999999997</v>
      </c>
      <c r="W512" s="272">
        <v>318.52</v>
      </c>
      <c r="X512" s="272">
        <v>0</v>
      </c>
      <c r="Y512" s="272">
        <v>0</v>
      </c>
    </row>
    <row r="513" spans="1:25" x14ac:dyDescent="0.35">
      <c r="A513" s="259">
        <v>5688</v>
      </c>
      <c r="B513" s="260">
        <v>44999</v>
      </c>
      <c r="C513" s="259" t="s">
        <v>163</v>
      </c>
      <c r="D513" s="259" t="s">
        <v>973</v>
      </c>
      <c r="E513" s="270">
        <v>15.4</v>
      </c>
      <c r="F513" s="259">
        <v>0</v>
      </c>
      <c r="G513" s="270">
        <v>5.25699513</v>
      </c>
      <c r="H513" s="270">
        <v>1.6316922659999999</v>
      </c>
      <c r="I513" s="270">
        <v>1.269866513</v>
      </c>
      <c r="J513" s="270">
        <v>0</v>
      </c>
      <c r="K513" s="270">
        <v>0</v>
      </c>
      <c r="L513" s="270">
        <v>4.0927968949999997E-2</v>
      </c>
      <c r="M513" s="270">
        <v>0</v>
      </c>
      <c r="N513" s="270">
        <v>0.90704364569999996</v>
      </c>
      <c r="O513" s="270">
        <v>0</v>
      </c>
      <c r="P513" s="271">
        <v>1347.044463</v>
      </c>
      <c r="Q513" s="271">
        <v>441.0358875</v>
      </c>
      <c r="R513" s="271">
        <v>1116.3606010000001</v>
      </c>
      <c r="S513" s="271">
        <v>2346.0420779999999</v>
      </c>
      <c r="T513" s="270" t="s">
        <v>792</v>
      </c>
      <c r="U513" s="272">
        <v>45180.35</v>
      </c>
      <c r="V513" s="272">
        <v>11632.76</v>
      </c>
      <c r="W513" s="272">
        <v>346.21</v>
      </c>
      <c r="X513" s="272">
        <v>3.08</v>
      </c>
      <c r="Y513" s="272">
        <v>0</v>
      </c>
    </row>
    <row r="514" spans="1:25" x14ac:dyDescent="0.35">
      <c r="A514" s="259">
        <v>5689</v>
      </c>
      <c r="B514" s="260">
        <v>44999</v>
      </c>
      <c r="C514" s="259" t="s">
        <v>164</v>
      </c>
      <c r="D514" s="259" t="s">
        <v>971</v>
      </c>
      <c r="E514" s="270">
        <v>11.4</v>
      </c>
      <c r="F514" s="263">
        <v>0</v>
      </c>
      <c r="G514" s="270">
        <v>14.158043599999999</v>
      </c>
      <c r="H514" s="270">
        <v>1.245485312</v>
      </c>
      <c r="I514" s="270">
        <v>0.68092877760000003</v>
      </c>
      <c r="J514" s="270">
        <v>9.8658376670000006E-2</v>
      </c>
      <c r="K514" s="270">
        <v>0.42613243420000002</v>
      </c>
      <c r="L514" s="270">
        <v>3.7478167089999999E-3</v>
      </c>
      <c r="M514" s="270">
        <v>0.13790253129999999</v>
      </c>
      <c r="N514" s="270">
        <v>0.39940667769999999</v>
      </c>
      <c r="O514" s="270">
        <v>1.0864439880000001</v>
      </c>
      <c r="P514" s="271">
        <v>1038.841803</v>
      </c>
      <c r="Q514" s="271">
        <v>11.61524097</v>
      </c>
      <c r="R514" s="271">
        <v>965.4357493</v>
      </c>
      <c r="S514" s="271">
        <v>3284.310023</v>
      </c>
      <c r="T514" s="270" t="s">
        <v>797</v>
      </c>
      <c r="U514" s="272">
        <v>82665.38</v>
      </c>
      <c r="V514" s="272">
        <v>41366.76</v>
      </c>
      <c r="W514" s="272">
        <v>545.15</v>
      </c>
      <c r="X514" s="272">
        <v>7.74</v>
      </c>
      <c r="Y514" s="272">
        <v>0</v>
      </c>
    </row>
    <row r="515" spans="1:25" x14ac:dyDescent="0.35">
      <c r="A515" s="259">
        <v>5690</v>
      </c>
      <c r="B515" s="260">
        <v>45000</v>
      </c>
      <c r="C515" s="259" t="s">
        <v>172</v>
      </c>
      <c r="D515" s="259" t="s">
        <v>970</v>
      </c>
      <c r="E515" s="270">
        <v>6.1</v>
      </c>
      <c r="F515" s="259">
        <v>0</v>
      </c>
      <c r="G515" s="270">
        <v>13.20602974</v>
      </c>
      <c r="H515" s="270">
        <v>1.1933181390000001</v>
      </c>
      <c r="I515" s="270">
        <v>0.79987968760000006</v>
      </c>
      <c r="J515" s="270">
        <v>0</v>
      </c>
      <c r="K515" s="270">
        <v>0.27628367390000003</v>
      </c>
      <c r="L515" s="270">
        <v>0</v>
      </c>
      <c r="M515" s="270">
        <v>0</v>
      </c>
      <c r="N515" s="270">
        <v>0.47887896969999999</v>
      </c>
      <c r="O515" s="270">
        <v>1.0160492299999999</v>
      </c>
      <c r="P515" s="271">
        <v>1030.174888</v>
      </c>
      <c r="Q515" s="271">
        <v>12.445888350000001</v>
      </c>
      <c r="R515" s="271">
        <v>963.30196679999995</v>
      </c>
      <c r="S515" s="271">
        <v>3279.3637290000001</v>
      </c>
      <c r="T515" s="270" t="s">
        <v>713</v>
      </c>
      <c r="U515" s="272">
        <v>77892.88</v>
      </c>
      <c r="V515" s="272">
        <v>35228.800000000003</v>
      </c>
      <c r="W515" s="272">
        <v>258.51</v>
      </c>
      <c r="X515" s="272">
        <v>0</v>
      </c>
      <c r="Y515" s="272">
        <v>0</v>
      </c>
    </row>
    <row r="516" spans="1:25" x14ac:dyDescent="0.35">
      <c r="A516" s="259">
        <v>5691</v>
      </c>
      <c r="B516" s="260">
        <v>45000</v>
      </c>
      <c r="C516" s="259" t="s">
        <v>191</v>
      </c>
      <c r="D516" s="259" t="s">
        <v>973</v>
      </c>
      <c r="E516" s="270">
        <v>15.4</v>
      </c>
      <c r="F516" s="259">
        <v>0</v>
      </c>
      <c r="G516" s="270">
        <v>5.2592428729999998</v>
      </c>
      <c r="H516" s="270">
        <v>1.4885120439999999</v>
      </c>
      <c r="I516" s="270">
        <v>1.2910294099999999</v>
      </c>
      <c r="J516" s="270">
        <v>2.1001829310000001E-3</v>
      </c>
      <c r="K516" s="270">
        <v>0.1528743353</v>
      </c>
      <c r="L516" s="270">
        <v>5.1765102969999997E-2</v>
      </c>
      <c r="M516" s="270">
        <v>0</v>
      </c>
      <c r="N516" s="270">
        <v>1.3709327469999999</v>
      </c>
      <c r="O516" s="270">
        <v>0</v>
      </c>
      <c r="P516" s="271">
        <v>1300.3903150000001</v>
      </c>
      <c r="Q516" s="271">
        <v>443.63191749999999</v>
      </c>
      <c r="R516" s="271">
        <v>1124.0778310000001</v>
      </c>
      <c r="S516" s="271">
        <v>2306.1541099999999</v>
      </c>
      <c r="T516" s="270" t="s">
        <v>812</v>
      </c>
      <c r="U516" s="272">
        <v>37591.29</v>
      </c>
      <c r="V516" s="272">
        <v>10081.19</v>
      </c>
      <c r="W516" s="272">
        <v>235.42</v>
      </c>
      <c r="X516" s="272">
        <v>1.54</v>
      </c>
      <c r="Y516" s="272">
        <v>0</v>
      </c>
    </row>
    <row r="517" spans="1:25" x14ac:dyDescent="0.35">
      <c r="A517" s="259">
        <v>5692</v>
      </c>
      <c r="B517" s="260">
        <v>45000</v>
      </c>
      <c r="C517" s="259" t="s">
        <v>238</v>
      </c>
      <c r="D517" s="259" t="s">
        <v>971</v>
      </c>
      <c r="E517" s="270">
        <v>11.4</v>
      </c>
      <c r="F517" s="263">
        <v>0</v>
      </c>
      <c r="G517" s="270">
        <v>12</v>
      </c>
      <c r="H517" s="270">
        <v>1.3368735350000001</v>
      </c>
      <c r="I517" s="270">
        <v>1.0830610119999999</v>
      </c>
      <c r="J517" s="270">
        <v>4.7735058660000003E-2</v>
      </c>
      <c r="K517" s="270">
        <v>0.1329218429</v>
      </c>
      <c r="L517" s="270">
        <v>0</v>
      </c>
      <c r="M517" s="270">
        <v>0</v>
      </c>
      <c r="N517" s="270">
        <v>0.36802819860000002</v>
      </c>
      <c r="O517" s="270">
        <v>1.094328288</v>
      </c>
      <c r="P517" s="271">
        <v>1074.693755</v>
      </c>
      <c r="Q517" s="271">
        <v>11.46870637</v>
      </c>
      <c r="R517" s="271">
        <v>1003.017556</v>
      </c>
      <c r="S517" s="271">
        <v>3390.9668080000001</v>
      </c>
      <c r="T517" s="270" t="s">
        <v>817</v>
      </c>
      <c r="U517" s="272">
        <v>66920.61</v>
      </c>
      <c r="V517" s="272">
        <v>21493.45</v>
      </c>
      <c r="W517" s="272">
        <v>1936.79</v>
      </c>
      <c r="X517" s="272">
        <v>15.39</v>
      </c>
      <c r="Y517" s="272">
        <v>0</v>
      </c>
    </row>
    <row r="518" spans="1:25" x14ac:dyDescent="0.35">
      <c r="A518" s="259">
        <v>6683</v>
      </c>
      <c r="B518" s="260">
        <v>45014</v>
      </c>
      <c r="C518" s="259" t="s">
        <v>181</v>
      </c>
      <c r="D518" s="259" t="s">
        <v>973</v>
      </c>
      <c r="E518" s="270">
        <v>15.5</v>
      </c>
      <c r="F518" s="259">
        <v>0</v>
      </c>
      <c r="G518" s="270">
        <v>5</v>
      </c>
      <c r="H518" s="270">
        <v>1.6</v>
      </c>
      <c r="I518" s="270">
        <v>1.5</v>
      </c>
      <c r="J518" s="270">
        <v>0.1</v>
      </c>
      <c r="K518" s="270">
        <v>0.1</v>
      </c>
      <c r="L518" s="270">
        <v>0.1</v>
      </c>
      <c r="M518" s="270">
        <v>0</v>
      </c>
      <c r="N518" s="270">
        <v>1.4</v>
      </c>
      <c r="O518" s="270">
        <v>0</v>
      </c>
      <c r="P518" s="271">
        <v>1274</v>
      </c>
      <c r="Q518" s="271">
        <v>450.9</v>
      </c>
      <c r="R518" s="271">
        <v>1130.2</v>
      </c>
      <c r="S518" s="271">
        <v>2210.3000000000002</v>
      </c>
      <c r="T518" s="270" t="s">
        <v>980</v>
      </c>
      <c r="U518" s="272">
        <v>41144</v>
      </c>
      <c r="V518" s="272">
        <v>9364</v>
      </c>
      <c r="W518" s="272">
        <v>195</v>
      </c>
      <c r="X518" s="272">
        <v>0</v>
      </c>
      <c r="Y518" s="272">
        <v>0</v>
      </c>
    </row>
    <row r="519" spans="1:25" x14ac:dyDescent="0.35">
      <c r="A519" s="259">
        <v>6684</v>
      </c>
      <c r="B519" s="260">
        <v>45014</v>
      </c>
      <c r="C519" s="259" t="s">
        <v>182</v>
      </c>
      <c r="D519" s="259" t="s">
        <v>970</v>
      </c>
      <c r="E519" s="270">
        <v>6.1</v>
      </c>
      <c r="F519" s="259">
        <v>0</v>
      </c>
      <c r="G519" s="270">
        <v>13.4</v>
      </c>
      <c r="H519" s="270">
        <v>1.3</v>
      </c>
      <c r="I519" s="270">
        <v>1</v>
      </c>
      <c r="J519" s="270">
        <v>0</v>
      </c>
      <c r="K519" s="270">
        <v>0</v>
      </c>
      <c r="L519" s="270">
        <v>0.1</v>
      </c>
      <c r="M519" s="270">
        <v>0</v>
      </c>
      <c r="N519" s="270">
        <v>0.2</v>
      </c>
      <c r="O519" s="270">
        <v>1.4</v>
      </c>
      <c r="P519" s="271">
        <v>1051.7</v>
      </c>
      <c r="Q519" s="271">
        <v>13.1</v>
      </c>
      <c r="R519" s="271">
        <v>1002.6</v>
      </c>
      <c r="S519" s="271">
        <v>3368.3</v>
      </c>
      <c r="T519" s="270" t="s">
        <v>809</v>
      </c>
      <c r="U519" s="272">
        <v>64614</v>
      </c>
      <c r="V519" s="272">
        <v>30464</v>
      </c>
      <c r="W519" s="272">
        <v>1002</v>
      </c>
      <c r="X519" s="272">
        <v>0</v>
      </c>
      <c r="Y519" s="272">
        <v>0</v>
      </c>
    </row>
    <row r="520" spans="1:25" x14ac:dyDescent="0.35">
      <c r="A520" s="259">
        <v>6685</v>
      </c>
      <c r="B520" s="260">
        <v>45014</v>
      </c>
      <c r="C520" s="259" t="s">
        <v>183</v>
      </c>
      <c r="D520" s="259" t="s">
        <v>970</v>
      </c>
      <c r="E520" s="270">
        <v>6.1</v>
      </c>
      <c r="F520" s="259">
        <v>0</v>
      </c>
      <c r="G520" s="270">
        <v>13.9</v>
      </c>
      <c r="H520" s="270">
        <v>1.3</v>
      </c>
      <c r="I520" s="270">
        <v>0.9</v>
      </c>
      <c r="J520" s="270">
        <v>0</v>
      </c>
      <c r="K520" s="270">
        <v>0</v>
      </c>
      <c r="L520" s="270">
        <v>0.1</v>
      </c>
      <c r="M520" s="270">
        <v>0</v>
      </c>
      <c r="N520" s="270">
        <v>0</v>
      </c>
      <c r="O520" s="270">
        <v>1.2</v>
      </c>
      <c r="P520" s="271">
        <v>1056.2</v>
      </c>
      <c r="Q520" s="271">
        <v>12.1</v>
      </c>
      <c r="R520" s="271">
        <v>1013.1</v>
      </c>
      <c r="S520" s="271">
        <v>3397</v>
      </c>
      <c r="T520" s="270" t="s">
        <v>809</v>
      </c>
      <c r="U520" s="272">
        <v>68122</v>
      </c>
      <c r="V520" s="272">
        <v>31241</v>
      </c>
      <c r="W520" s="272">
        <v>659</v>
      </c>
      <c r="X520" s="272">
        <v>2</v>
      </c>
      <c r="Y520" s="272">
        <v>0</v>
      </c>
    </row>
    <row r="521" spans="1:25" x14ac:dyDescent="0.35">
      <c r="A521" s="259">
        <v>6686</v>
      </c>
      <c r="B521" s="260">
        <v>45015</v>
      </c>
      <c r="C521" s="259" t="s">
        <v>191</v>
      </c>
      <c r="D521" s="259" t="s">
        <v>973</v>
      </c>
      <c r="E521" s="270">
        <v>15.7</v>
      </c>
      <c r="F521" s="259">
        <v>0</v>
      </c>
      <c r="G521" s="270">
        <v>5.2</v>
      </c>
      <c r="H521" s="270">
        <v>1.6</v>
      </c>
      <c r="I521" s="270">
        <v>1.4</v>
      </c>
      <c r="J521" s="270">
        <v>0</v>
      </c>
      <c r="K521" s="270">
        <v>0</v>
      </c>
      <c r="L521" s="270">
        <v>0.1</v>
      </c>
      <c r="M521" s="270">
        <v>0</v>
      </c>
      <c r="N521" s="270">
        <v>1.4</v>
      </c>
      <c r="O521" s="270">
        <v>0</v>
      </c>
      <c r="P521" s="271">
        <v>1335.6</v>
      </c>
      <c r="Q521" s="271">
        <v>458</v>
      </c>
      <c r="R521" s="271">
        <v>1167.4000000000001</v>
      </c>
      <c r="S521" s="271">
        <v>2262.9</v>
      </c>
      <c r="T521" s="270" t="s">
        <v>762</v>
      </c>
      <c r="U521" s="272">
        <v>41598</v>
      </c>
      <c r="V521" s="272">
        <v>10032</v>
      </c>
      <c r="W521" s="272">
        <v>219</v>
      </c>
      <c r="X521" s="272">
        <v>0</v>
      </c>
      <c r="Y521" s="272">
        <v>0</v>
      </c>
    </row>
    <row r="522" spans="1:25" x14ac:dyDescent="0.35">
      <c r="A522" s="259">
        <v>6687</v>
      </c>
      <c r="B522" s="260">
        <v>45015</v>
      </c>
      <c r="C522" s="259" t="s">
        <v>172</v>
      </c>
      <c r="D522" s="259" t="s">
        <v>970</v>
      </c>
      <c r="E522" s="270">
        <v>6.1</v>
      </c>
      <c r="F522" s="259">
        <v>0</v>
      </c>
      <c r="G522" s="270">
        <v>13.1</v>
      </c>
      <c r="H522" s="270">
        <v>1.3</v>
      </c>
      <c r="I522" s="270">
        <v>1.1000000000000001</v>
      </c>
      <c r="J522" s="270">
        <v>0</v>
      </c>
      <c r="K522" s="270">
        <v>0.1</v>
      </c>
      <c r="L522" s="270">
        <v>0</v>
      </c>
      <c r="M522" s="270">
        <v>0</v>
      </c>
      <c r="N522" s="270">
        <v>0</v>
      </c>
      <c r="O522" s="270">
        <v>1</v>
      </c>
      <c r="P522" s="271">
        <v>1049.8</v>
      </c>
      <c r="Q522" s="271">
        <v>11.6</v>
      </c>
      <c r="R522" s="271">
        <v>994.3</v>
      </c>
      <c r="S522" s="271">
        <v>3336.6</v>
      </c>
      <c r="T522" s="270" t="s">
        <v>710</v>
      </c>
      <c r="U522" s="272">
        <v>78215</v>
      </c>
      <c r="V522" s="272">
        <v>34440</v>
      </c>
      <c r="W522" s="272">
        <v>451</v>
      </c>
      <c r="X522" s="272">
        <v>0</v>
      </c>
      <c r="Y522" s="272">
        <v>0</v>
      </c>
    </row>
    <row r="523" spans="1:25" x14ac:dyDescent="0.35">
      <c r="A523" s="259">
        <v>6746</v>
      </c>
      <c r="B523" s="260">
        <v>45016</v>
      </c>
      <c r="C523" s="259" t="s">
        <v>981</v>
      </c>
      <c r="D523" s="259" t="s">
        <v>970</v>
      </c>
      <c r="E523" s="270">
        <v>6.1</v>
      </c>
      <c r="F523" s="259">
        <v>0</v>
      </c>
      <c r="G523" s="270">
        <v>12.2</v>
      </c>
      <c r="H523" s="270">
        <v>1.3</v>
      </c>
      <c r="I523" s="270">
        <v>1.2</v>
      </c>
      <c r="J523" s="270">
        <v>0</v>
      </c>
      <c r="K523" s="270">
        <v>0</v>
      </c>
      <c r="L523" s="270">
        <v>0.1</v>
      </c>
      <c r="M523" s="270">
        <v>0.1</v>
      </c>
      <c r="N523" s="270">
        <v>0.3</v>
      </c>
      <c r="O523" s="270">
        <v>0.4</v>
      </c>
      <c r="P523" s="271">
        <v>1063.3</v>
      </c>
      <c r="Q523" s="271">
        <v>9.8000000000000007</v>
      </c>
      <c r="R523" s="271">
        <v>971.5</v>
      </c>
      <c r="S523" s="271">
        <v>3287.4</v>
      </c>
      <c r="T523" s="270" t="s">
        <v>750</v>
      </c>
      <c r="U523" s="272">
        <v>17724</v>
      </c>
      <c r="V523" s="272">
        <v>4238</v>
      </c>
      <c r="W523" s="272">
        <v>146</v>
      </c>
      <c r="X523" s="272">
        <v>0</v>
      </c>
      <c r="Y523" s="272">
        <v>0</v>
      </c>
    </row>
    <row r="524" spans="1:25" x14ac:dyDescent="0.35">
      <c r="A524" s="259">
        <v>6747</v>
      </c>
      <c r="B524" s="260">
        <v>45016</v>
      </c>
      <c r="C524" s="259" t="s">
        <v>982</v>
      </c>
      <c r="D524" s="259" t="s">
        <v>973</v>
      </c>
      <c r="E524" s="270">
        <v>15.6</v>
      </c>
      <c r="F524" s="259">
        <v>0</v>
      </c>
      <c r="G524" s="270">
        <v>5.7</v>
      </c>
      <c r="H524" s="270">
        <v>1.6</v>
      </c>
      <c r="I524" s="270">
        <v>1.4</v>
      </c>
      <c r="J524" s="270">
        <v>0</v>
      </c>
      <c r="K524" s="270">
        <v>0</v>
      </c>
      <c r="L524" s="270">
        <v>0.1</v>
      </c>
      <c r="M524" s="270">
        <v>0</v>
      </c>
      <c r="N524" s="270">
        <v>1</v>
      </c>
      <c r="O524" s="270">
        <v>0</v>
      </c>
      <c r="P524" s="271">
        <v>1330.2</v>
      </c>
      <c r="Q524" s="271">
        <v>451</v>
      </c>
      <c r="R524" s="271">
        <v>1121.0999999999999</v>
      </c>
      <c r="S524" s="271">
        <v>2200.5</v>
      </c>
      <c r="T524" s="270" t="s">
        <v>810</v>
      </c>
      <c r="U524" s="272">
        <v>37820</v>
      </c>
      <c r="V524" s="272">
        <v>9903</v>
      </c>
      <c r="W524" s="272">
        <v>361</v>
      </c>
      <c r="X524" s="272">
        <v>0</v>
      </c>
      <c r="Y524" s="272">
        <v>0</v>
      </c>
    </row>
    <row r="525" spans="1:25" x14ac:dyDescent="0.35">
      <c r="A525" s="259">
        <v>6748</v>
      </c>
      <c r="B525" s="260">
        <v>45016</v>
      </c>
      <c r="C525" s="259" t="s">
        <v>983</v>
      </c>
      <c r="D525" s="259" t="s">
        <v>973</v>
      </c>
      <c r="E525" s="270">
        <v>15.6</v>
      </c>
      <c r="F525" s="259">
        <v>0</v>
      </c>
      <c r="G525" s="270">
        <v>5.7</v>
      </c>
      <c r="H525" s="270">
        <v>1.5</v>
      </c>
      <c r="I525" s="270">
        <v>1.4</v>
      </c>
      <c r="J525" s="270">
        <v>0</v>
      </c>
      <c r="K525" s="270">
        <v>0</v>
      </c>
      <c r="L525" s="270">
        <v>0</v>
      </c>
      <c r="M525" s="270">
        <v>0</v>
      </c>
      <c r="N525" s="270">
        <v>0.9</v>
      </c>
      <c r="O525" s="270">
        <v>0</v>
      </c>
      <c r="P525" s="271">
        <v>1324.8</v>
      </c>
      <c r="Q525" s="271">
        <v>454</v>
      </c>
      <c r="R525" s="271">
        <v>1131.3</v>
      </c>
      <c r="S525" s="271">
        <v>2221</v>
      </c>
      <c r="T525" s="270" t="s">
        <v>758</v>
      </c>
      <c r="U525" s="272">
        <v>12994</v>
      </c>
      <c r="V525" s="272">
        <v>3712</v>
      </c>
      <c r="W525" s="272">
        <v>173</v>
      </c>
      <c r="X525" s="272">
        <v>6</v>
      </c>
      <c r="Y525" s="272">
        <v>0</v>
      </c>
    </row>
    <row r="526" spans="1:25" x14ac:dyDescent="0.35">
      <c r="A526" s="259">
        <v>6749</v>
      </c>
      <c r="B526" s="260">
        <v>45016</v>
      </c>
      <c r="C526" s="259" t="s">
        <v>172</v>
      </c>
      <c r="D526" s="259" t="s">
        <v>970</v>
      </c>
      <c r="E526" s="270">
        <v>6.2</v>
      </c>
      <c r="F526" s="259">
        <v>0</v>
      </c>
      <c r="G526" s="270">
        <v>12.2</v>
      </c>
      <c r="H526" s="270">
        <v>1.2</v>
      </c>
      <c r="I526" s="270">
        <v>1.2</v>
      </c>
      <c r="J526" s="270">
        <v>0</v>
      </c>
      <c r="K526" s="270">
        <v>0.1</v>
      </c>
      <c r="L526" s="270">
        <v>0</v>
      </c>
      <c r="M526" s="270">
        <v>0</v>
      </c>
      <c r="N526" s="270">
        <v>0</v>
      </c>
      <c r="O526" s="270">
        <v>0.7</v>
      </c>
      <c r="P526" s="271">
        <v>1035.3</v>
      </c>
      <c r="Q526" s="271">
        <v>11.2</v>
      </c>
      <c r="R526" s="271">
        <v>935.4</v>
      </c>
      <c r="S526" s="271">
        <v>3254.7</v>
      </c>
      <c r="T526" s="270" t="s">
        <v>794</v>
      </c>
      <c r="U526" s="272">
        <v>35554</v>
      </c>
      <c r="V526" s="272">
        <v>7529</v>
      </c>
      <c r="W526" s="272">
        <v>201</v>
      </c>
      <c r="X526" s="272">
        <v>0</v>
      </c>
      <c r="Y526" s="272">
        <v>0</v>
      </c>
    </row>
    <row r="527" spans="1:25" x14ac:dyDescent="0.35">
      <c r="A527" s="259">
        <v>6750</v>
      </c>
      <c r="B527" s="260">
        <v>45016</v>
      </c>
      <c r="C527" s="259" t="s">
        <v>171</v>
      </c>
      <c r="D527" s="259" t="s">
        <v>973</v>
      </c>
      <c r="E527" s="270">
        <v>15.7</v>
      </c>
      <c r="F527" s="259">
        <v>0</v>
      </c>
      <c r="G527" s="270">
        <v>4.5999999999999996</v>
      </c>
      <c r="H527" s="270">
        <v>1.5</v>
      </c>
      <c r="I527" s="270">
        <v>1.4</v>
      </c>
      <c r="J527" s="270">
        <v>0.1</v>
      </c>
      <c r="K527" s="270">
        <v>0</v>
      </c>
      <c r="L527" s="270">
        <v>0</v>
      </c>
      <c r="M527" s="270">
        <v>0</v>
      </c>
      <c r="N527" s="270">
        <v>1.4</v>
      </c>
      <c r="O527" s="270">
        <v>0</v>
      </c>
      <c r="P527" s="271">
        <v>1280.2</v>
      </c>
      <c r="Q527" s="271">
        <v>447.6</v>
      </c>
      <c r="R527" s="271">
        <v>1073.2</v>
      </c>
      <c r="S527" s="271">
        <v>2166</v>
      </c>
      <c r="T527" s="270" t="s">
        <v>792</v>
      </c>
      <c r="U527" s="272">
        <v>65280</v>
      </c>
      <c r="V527" s="272">
        <v>13454</v>
      </c>
      <c r="W527" s="272">
        <v>447</v>
      </c>
      <c r="X527" s="272">
        <v>6</v>
      </c>
      <c r="Y527" s="272">
        <v>0</v>
      </c>
    </row>
    <row r="528" spans="1:25" x14ac:dyDescent="0.35">
      <c r="A528" s="259">
        <v>6751</v>
      </c>
      <c r="B528" s="260">
        <v>45016</v>
      </c>
      <c r="C528" s="259" t="s">
        <v>191</v>
      </c>
      <c r="D528" s="259" t="s">
        <v>973</v>
      </c>
      <c r="E528" s="270">
        <v>15.7</v>
      </c>
      <c r="F528" s="259">
        <v>0</v>
      </c>
      <c r="G528" s="270">
        <v>4.8</v>
      </c>
      <c r="H528" s="270">
        <v>1.5</v>
      </c>
      <c r="I528" s="270">
        <v>1.5</v>
      </c>
      <c r="J528" s="270">
        <v>0</v>
      </c>
      <c r="K528" s="270">
        <v>0.2</v>
      </c>
      <c r="L528" s="270">
        <v>0</v>
      </c>
      <c r="M528" s="270">
        <v>0</v>
      </c>
      <c r="N528" s="270">
        <v>1.6</v>
      </c>
      <c r="O528" s="270">
        <v>0</v>
      </c>
      <c r="P528" s="271">
        <v>1299</v>
      </c>
      <c r="Q528" s="271">
        <v>462.8</v>
      </c>
      <c r="R528" s="271">
        <v>1107.2</v>
      </c>
      <c r="S528" s="271">
        <v>2238.1</v>
      </c>
      <c r="T528" s="270" t="s">
        <v>721</v>
      </c>
      <c r="U528" s="272">
        <v>4506</v>
      </c>
      <c r="V528" s="272">
        <v>1292</v>
      </c>
      <c r="W528" s="272">
        <v>15</v>
      </c>
      <c r="X528" s="272">
        <v>0</v>
      </c>
      <c r="Y528" s="272">
        <v>0</v>
      </c>
    </row>
    <row r="529" spans="1:25" x14ac:dyDescent="0.35">
      <c r="A529" s="259">
        <v>7195</v>
      </c>
      <c r="B529" s="260">
        <v>45021</v>
      </c>
      <c r="C529" s="259" t="s">
        <v>981</v>
      </c>
      <c r="D529" s="259" t="s">
        <v>970</v>
      </c>
      <c r="E529" s="270">
        <v>6.2</v>
      </c>
      <c r="F529" s="259">
        <v>0</v>
      </c>
      <c r="G529" s="270">
        <v>12.5</v>
      </c>
      <c r="H529" s="270">
        <v>1.5</v>
      </c>
      <c r="I529" s="270">
        <v>0.9</v>
      </c>
      <c r="J529" s="270">
        <v>0</v>
      </c>
      <c r="K529" s="270">
        <v>0.4</v>
      </c>
      <c r="L529" s="270">
        <v>0</v>
      </c>
      <c r="M529" s="270">
        <v>0.1</v>
      </c>
      <c r="N529" s="270">
        <v>0</v>
      </c>
      <c r="O529" s="270">
        <v>1.3</v>
      </c>
      <c r="P529" s="271">
        <v>1125.0999999999999</v>
      </c>
      <c r="Q529" s="271">
        <v>20.399999999999999</v>
      </c>
      <c r="R529" s="271">
        <v>969.8</v>
      </c>
      <c r="S529" s="271">
        <v>3417</v>
      </c>
      <c r="T529" s="270" t="s">
        <v>809</v>
      </c>
      <c r="U529" s="272">
        <v>53977</v>
      </c>
      <c r="V529" s="272">
        <v>26547</v>
      </c>
      <c r="W529" s="272">
        <v>674</v>
      </c>
      <c r="X529" s="272">
        <v>0</v>
      </c>
      <c r="Y529" s="272">
        <v>0</v>
      </c>
    </row>
    <row r="530" spans="1:25" x14ac:dyDescent="0.35">
      <c r="A530" s="259">
        <v>7196</v>
      </c>
      <c r="B530" s="260">
        <v>45021</v>
      </c>
      <c r="C530" s="259" t="s">
        <v>982</v>
      </c>
      <c r="D530" s="259" t="s">
        <v>973</v>
      </c>
      <c r="E530" s="270">
        <v>15.7</v>
      </c>
      <c r="F530" s="259">
        <v>0</v>
      </c>
      <c r="G530" s="270">
        <v>5.7</v>
      </c>
      <c r="H530" s="270">
        <v>1.7</v>
      </c>
      <c r="I530" s="270">
        <v>1.4</v>
      </c>
      <c r="J530" s="270">
        <v>0</v>
      </c>
      <c r="K530" s="270">
        <v>0</v>
      </c>
      <c r="L530" s="270">
        <v>0</v>
      </c>
      <c r="M530" s="270">
        <v>0</v>
      </c>
      <c r="N530" s="270">
        <v>1.8</v>
      </c>
      <c r="O530" s="270">
        <v>0.1</v>
      </c>
      <c r="P530" s="271">
        <v>1398</v>
      </c>
      <c r="Q530" s="271">
        <v>463.6</v>
      </c>
      <c r="R530" s="271">
        <v>1110.9000000000001</v>
      </c>
      <c r="S530" s="271">
        <v>2299.1</v>
      </c>
      <c r="T530" s="270" t="s">
        <v>812</v>
      </c>
      <c r="U530" s="272">
        <v>38920</v>
      </c>
      <c r="V530" s="272">
        <v>10420</v>
      </c>
      <c r="W530" s="272">
        <v>248</v>
      </c>
      <c r="X530" s="272">
        <v>3</v>
      </c>
      <c r="Y530" s="272">
        <v>0</v>
      </c>
    </row>
    <row r="531" spans="1:25" x14ac:dyDescent="0.35">
      <c r="A531" s="259">
        <v>7197</v>
      </c>
      <c r="B531" s="260">
        <v>45021</v>
      </c>
      <c r="C531" s="259" t="s">
        <v>983</v>
      </c>
      <c r="D531" s="259" t="s">
        <v>970</v>
      </c>
      <c r="E531" s="270">
        <v>6.2</v>
      </c>
      <c r="F531" s="259">
        <v>0</v>
      </c>
      <c r="G531" s="270">
        <v>12.5</v>
      </c>
      <c r="H531" s="270">
        <v>1.4</v>
      </c>
      <c r="I531" s="270">
        <v>1</v>
      </c>
      <c r="J531" s="270">
        <v>0</v>
      </c>
      <c r="K531" s="270">
        <v>0.1</v>
      </c>
      <c r="L531" s="270">
        <v>0</v>
      </c>
      <c r="M531" s="270">
        <v>0.1</v>
      </c>
      <c r="N531" s="270">
        <v>0.5</v>
      </c>
      <c r="O531" s="270">
        <v>1</v>
      </c>
      <c r="P531" s="271">
        <v>1123.8</v>
      </c>
      <c r="Q531" s="271">
        <v>23.6</v>
      </c>
      <c r="R531" s="271">
        <v>969.4</v>
      </c>
      <c r="S531" s="271">
        <v>3399</v>
      </c>
      <c r="T531" s="270" t="s">
        <v>809</v>
      </c>
      <c r="U531" s="272">
        <v>55560</v>
      </c>
      <c r="V531" s="272">
        <v>27688</v>
      </c>
      <c r="W531" s="272">
        <v>805</v>
      </c>
      <c r="X531" s="272">
        <v>2</v>
      </c>
      <c r="Y531" s="272">
        <v>0</v>
      </c>
    </row>
    <row r="532" spans="1:25" x14ac:dyDescent="0.35">
      <c r="A532" s="259">
        <v>7198</v>
      </c>
      <c r="B532" s="260">
        <v>45022</v>
      </c>
      <c r="C532" s="259" t="s">
        <v>984</v>
      </c>
      <c r="D532" s="259" t="s">
        <v>973</v>
      </c>
      <c r="E532" s="270">
        <v>15.6</v>
      </c>
      <c r="F532" s="259">
        <v>0</v>
      </c>
      <c r="G532" s="270">
        <v>5.7</v>
      </c>
      <c r="H532" s="270">
        <v>1.7</v>
      </c>
      <c r="I532" s="270">
        <v>1.4</v>
      </c>
      <c r="J532" s="270">
        <v>0</v>
      </c>
      <c r="K532" s="270">
        <v>0</v>
      </c>
      <c r="L532" s="270">
        <v>0</v>
      </c>
      <c r="M532" s="270">
        <v>0</v>
      </c>
      <c r="N532" s="270">
        <v>1.7</v>
      </c>
      <c r="O532" s="270">
        <v>0</v>
      </c>
      <c r="P532" s="271">
        <v>1436.8</v>
      </c>
      <c r="Q532" s="271">
        <v>465</v>
      </c>
      <c r="R532" s="271">
        <v>1123.0999999999999</v>
      </c>
      <c r="S532" s="271">
        <v>2303.9</v>
      </c>
      <c r="T532" s="270" t="s">
        <v>794</v>
      </c>
      <c r="U532" s="272">
        <v>38496</v>
      </c>
      <c r="V532" s="272">
        <v>8858</v>
      </c>
      <c r="W532" s="272">
        <v>168</v>
      </c>
      <c r="X532" s="272">
        <v>0</v>
      </c>
      <c r="Y532" s="272">
        <v>0</v>
      </c>
    </row>
    <row r="533" spans="1:25" x14ac:dyDescent="0.35">
      <c r="A533" s="259">
        <v>7199</v>
      </c>
      <c r="B533" s="260">
        <v>45022</v>
      </c>
      <c r="C533" s="259" t="s">
        <v>192</v>
      </c>
      <c r="D533" s="259" t="s">
        <v>970</v>
      </c>
      <c r="E533" s="270">
        <v>6.1</v>
      </c>
      <c r="F533" s="259">
        <v>0</v>
      </c>
      <c r="G533" s="270">
        <v>14.4</v>
      </c>
      <c r="H533" s="270">
        <v>1.3</v>
      </c>
      <c r="I533" s="270">
        <v>1</v>
      </c>
      <c r="J533" s="270">
        <v>0</v>
      </c>
      <c r="K533" s="270">
        <v>0</v>
      </c>
      <c r="L533" s="270">
        <v>0.1</v>
      </c>
      <c r="M533" s="270">
        <v>0.1</v>
      </c>
      <c r="N533" s="270">
        <v>0.6</v>
      </c>
      <c r="O533" s="270">
        <v>1</v>
      </c>
      <c r="P533" s="271">
        <v>1141.0999999999999</v>
      </c>
      <c r="Q533" s="271">
        <v>17.899999999999999</v>
      </c>
      <c r="R533" s="271">
        <v>979.4</v>
      </c>
      <c r="S533" s="271">
        <v>3464.7</v>
      </c>
      <c r="T533" s="270" t="s">
        <v>748</v>
      </c>
      <c r="U533" s="272">
        <v>96992</v>
      </c>
      <c r="V533" s="272">
        <v>39455</v>
      </c>
      <c r="W533" s="272">
        <v>265</v>
      </c>
      <c r="X533" s="272">
        <v>0</v>
      </c>
      <c r="Y533" s="272">
        <v>0</v>
      </c>
    </row>
    <row r="534" spans="1:25" x14ac:dyDescent="0.35">
      <c r="A534" s="259">
        <v>7393</v>
      </c>
      <c r="B534" s="260">
        <v>45023</v>
      </c>
      <c r="C534" s="259" t="s">
        <v>985</v>
      </c>
      <c r="D534" s="259" t="s">
        <v>973</v>
      </c>
      <c r="E534" s="270">
        <v>15.6</v>
      </c>
      <c r="F534" s="259">
        <v>0</v>
      </c>
      <c r="G534" s="270">
        <v>6</v>
      </c>
      <c r="H534" s="270">
        <v>5.3</v>
      </c>
      <c r="I534" s="270">
        <v>1.4</v>
      </c>
      <c r="J534" s="270">
        <v>0.2</v>
      </c>
      <c r="K534" s="270">
        <v>0.4</v>
      </c>
      <c r="L534" s="270">
        <v>0</v>
      </c>
      <c r="M534" s="270">
        <v>0</v>
      </c>
      <c r="N534" s="270">
        <v>1.7</v>
      </c>
      <c r="O534" s="270">
        <v>1.5</v>
      </c>
      <c r="P534" s="271">
        <v>1409.2</v>
      </c>
      <c r="Q534" s="271">
        <v>477.3</v>
      </c>
      <c r="R534" s="271">
        <v>1149.7</v>
      </c>
      <c r="S534" s="271">
        <v>2366.1</v>
      </c>
      <c r="T534" s="270" t="s">
        <v>809</v>
      </c>
      <c r="U534" s="272">
        <v>79961</v>
      </c>
      <c r="V534" s="272">
        <v>27847</v>
      </c>
      <c r="W534" s="272">
        <v>878</v>
      </c>
      <c r="X534" s="272">
        <v>9</v>
      </c>
      <c r="Y534" s="272">
        <v>0</v>
      </c>
    </row>
    <row r="535" spans="1:25" x14ac:dyDescent="0.35">
      <c r="A535" s="259">
        <v>7394</v>
      </c>
      <c r="B535" s="260">
        <v>45023</v>
      </c>
      <c r="C535" s="259" t="s">
        <v>986</v>
      </c>
      <c r="D535" s="259" t="s">
        <v>971</v>
      </c>
      <c r="E535" s="270">
        <v>11.4</v>
      </c>
      <c r="F535" s="263">
        <v>0</v>
      </c>
      <c r="G535" s="270">
        <v>12.6</v>
      </c>
      <c r="H535" s="270">
        <v>4.8</v>
      </c>
      <c r="I535" s="270">
        <v>0.9</v>
      </c>
      <c r="J535" s="270">
        <v>0.1</v>
      </c>
      <c r="K535" s="270">
        <v>0</v>
      </c>
      <c r="L535" s="270">
        <v>0</v>
      </c>
      <c r="M535" s="270">
        <v>0</v>
      </c>
      <c r="N535" s="270">
        <v>0.4</v>
      </c>
      <c r="O535" s="270">
        <v>1.7</v>
      </c>
      <c r="P535" s="271">
        <v>1114.3</v>
      </c>
      <c r="Q535" s="271">
        <v>15.2</v>
      </c>
      <c r="R535" s="271">
        <v>976.6</v>
      </c>
      <c r="S535" s="271">
        <v>3407.2</v>
      </c>
      <c r="T535" s="270" t="s">
        <v>774</v>
      </c>
      <c r="U535" s="272">
        <v>205059</v>
      </c>
      <c r="V535" s="272">
        <v>73693</v>
      </c>
      <c r="W535" s="272">
        <v>1291</v>
      </c>
      <c r="X535" s="272">
        <v>25</v>
      </c>
      <c r="Y535" s="272">
        <v>2</v>
      </c>
    </row>
    <row r="536" spans="1:25" x14ac:dyDescent="0.35">
      <c r="A536" s="259">
        <v>7395</v>
      </c>
      <c r="B536" s="260">
        <v>45023</v>
      </c>
      <c r="C536" s="259" t="s">
        <v>987</v>
      </c>
      <c r="D536" s="259" t="s">
        <v>970</v>
      </c>
      <c r="E536" s="270">
        <v>6.1</v>
      </c>
      <c r="F536" s="259">
        <v>0</v>
      </c>
      <c r="G536" s="270">
        <v>14.3</v>
      </c>
      <c r="H536" s="270">
        <v>4</v>
      </c>
      <c r="I536" s="270">
        <v>1.1000000000000001</v>
      </c>
      <c r="J536" s="270">
        <v>0.1</v>
      </c>
      <c r="K536" s="270">
        <v>0.4</v>
      </c>
      <c r="L536" s="270">
        <v>0</v>
      </c>
      <c r="M536" s="270">
        <v>0.1</v>
      </c>
      <c r="N536" s="270">
        <v>1.4</v>
      </c>
      <c r="O536" s="270">
        <v>1.5</v>
      </c>
      <c r="P536" s="271">
        <v>1149.2</v>
      </c>
      <c r="Q536" s="271">
        <v>12</v>
      </c>
      <c r="R536" s="271">
        <v>1007.7</v>
      </c>
      <c r="S536" s="271">
        <v>3547.9</v>
      </c>
      <c r="T536" s="270" t="s">
        <v>806</v>
      </c>
      <c r="U536" s="272">
        <v>162226</v>
      </c>
      <c r="V536" s="272">
        <v>66110</v>
      </c>
      <c r="W536" s="272">
        <v>2355</v>
      </c>
      <c r="X536" s="272">
        <v>28</v>
      </c>
      <c r="Y536" s="272">
        <v>2</v>
      </c>
    </row>
    <row r="537" spans="1:25" x14ac:dyDescent="0.35">
      <c r="A537" s="259">
        <v>7396</v>
      </c>
      <c r="B537" s="260">
        <v>45025</v>
      </c>
      <c r="C537" s="259" t="s">
        <v>988</v>
      </c>
      <c r="D537" s="259" t="s">
        <v>971</v>
      </c>
      <c r="E537" s="270">
        <v>11.4</v>
      </c>
      <c r="F537" s="263">
        <v>0</v>
      </c>
      <c r="G537" s="270">
        <v>14.2</v>
      </c>
      <c r="H537" s="270">
        <v>1.3</v>
      </c>
      <c r="I537" s="270">
        <v>0.9</v>
      </c>
      <c r="J537" s="270">
        <v>0</v>
      </c>
      <c r="K537" s="270">
        <v>0</v>
      </c>
      <c r="L537" s="270">
        <v>0</v>
      </c>
      <c r="M537" s="270">
        <v>0.1</v>
      </c>
      <c r="N537" s="270">
        <v>0</v>
      </c>
      <c r="O537" s="270">
        <v>1</v>
      </c>
      <c r="P537" s="271">
        <v>1139.8</v>
      </c>
      <c r="Q537" s="271">
        <v>11.4</v>
      </c>
      <c r="R537" s="271">
        <v>1000.4</v>
      </c>
      <c r="S537" s="271">
        <v>3540.1</v>
      </c>
      <c r="T537" s="270" t="s">
        <v>797</v>
      </c>
      <c r="U537" s="272">
        <v>91118</v>
      </c>
      <c r="V537" s="272">
        <v>43836</v>
      </c>
      <c r="W537" s="272">
        <v>480</v>
      </c>
      <c r="X537" s="272">
        <v>0</v>
      </c>
      <c r="Y537" s="272">
        <v>0</v>
      </c>
    </row>
    <row r="538" spans="1:25" x14ac:dyDescent="0.35">
      <c r="A538" s="259">
        <v>7397</v>
      </c>
      <c r="B538" s="260">
        <v>45025</v>
      </c>
      <c r="C538" s="259" t="s">
        <v>989</v>
      </c>
      <c r="D538" s="259" t="s">
        <v>973</v>
      </c>
      <c r="E538" s="270">
        <v>15.5</v>
      </c>
      <c r="F538" s="259">
        <v>0</v>
      </c>
      <c r="G538" s="270">
        <v>5.6</v>
      </c>
      <c r="H538" s="270">
        <v>1.6</v>
      </c>
      <c r="I538" s="270">
        <v>1.3</v>
      </c>
      <c r="J538" s="270">
        <v>0</v>
      </c>
      <c r="K538" s="270">
        <v>0.4</v>
      </c>
      <c r="L538" s="270">
        <v>0</v>
      </c>
      <c r="M538" s="270">
        <v>0</v>
      </c>
      <c r="N538" s="270">
        <v>1.7</v>
      </c>
      <c r="O538" s="270">
        <v>0</v>
      </c>
      <c r="P538" s="271">
        <v>1416.1</v>
      </c>
      <c r="Q538" s="271">
        <v>473.7</v>
      </c>
      <c r="R538" s="271">
        <v>1157.5999999999999</v>
      </c>
      <c r="S538" s="271">
        <v>2365.5</v>
      </c>
      <c r="T538" s="270" t="s">
        <v>814</v>
      </c>
      <c r="U538" s="272">
        <v>38658</v>
      </c>
      <c r="V538" s="272">
        <v>9073</v>
      </c>
      <c r="W538" s="272">
        <v>103</v>
      </c>
      <c r="X538" s="272">
        <v>0</v>
      </c>
      <c r="Y538" s="272">
        <v>0</v>
      </c>
    </row>
    <row r="539" spans="1:25" x14ac:dyDescent="0.35">
      <c r="A539" s="259">
        <v>7398</v>
      </c>
      <c r="B539" s="260">
        <v>45025</v>
      </c>
      <c r="C539" s="259" t="s">
        <v>990</v>
      </c>
      <c r="D539" s="259" t="s">
        <v>970</v>
      </c>
      <c r="E539" s="270">
        <v>6.2</v>
      </c>
      <c r="F539" s="259">
        <v>0</v>
      </c>
      <c r="G539" s="270">
        <v>12.7</v>
      </c>
      <c r="H539" s="270">
        <v>1.3</v>
      </c>
      <c r="I539" s="270">
        <v>1</v>
      </c>
      <c r="J539" s="270">
        <v>0</v>
      </c>
      <c r="K539" s="270">
        <v>0</v>
      </c>
      <c r="L539" s="270">
        <v>0</v>
      </c>
      <c r="M539" s="270">
        <v>0</v>
      </c>
      <c r="N539" s="270">
        <v>0.4</v>
      </c>
      <c r="O539" s="270">
        <v>0.9</v>
      </c>
      <c r="P539" s="271">
        <v>1112.4000000000001</v>
      </c>
      <c r="Q539" s="271">
        <v>15.2</v>
      </c>
      <c r="R539" s="271">
        <v>988.5</v>
      </c>
      <c r="S539" s="271">
        <v>3474.6</v>
      </c>
      <c r="T539" s="270" t="s">
        <v>710</v>
      </c>
      <c r="U539" s="272">
        <v>69431</v>
      </c>
      <c r="V539" s="272">
        <v>32269</v>
      </c>
      <c r="W539" s="272">
        <v>591</v>
      </c>
      <c r="X539" s="272">
        <v>0</v>
      </c>
      <c r="Y539" s="272">
        <v>0</v>
      </c>
    </row>
    <row r="540" spans="1:25" x14ac:dyDescent="0.35">
      <c r="A540" s="259">
        <v>7618</v>
      </c>
      <c r="B540" s="260">
        <v>45028</v>
      </c>
      <c r="C540" s="259" t="s">
        <v>162</v>
      </c>
      <c r="D540" s="259" t="s">
        <v>970</v>
      </c>
      <c r="E540" s="270">
        <v>6.21</v>
      </c>
      <c r="F540" s="259">
        <v>0</v>
      </c>
      <c r="G540" s="270">
        <v>12.96205793</v>
      </c>
      <c r="H540" s="270">
        <v>1.4208175279999999</v>
      </c>
      <c r="I540" s="270">
        <v>0.81267270250000001</v>
      </c>
      <c r="J540" s="270">
        <v>0</v>
      </c>
      <c r="K540" s="270">
        <v>0.40945326879999999</v>
      </c>
      <c r="L540" s="270">
        <v>9.2866797500000001E-2</v>
      </c>
      <c r="M540" s="270">
        <v>0</v>
      </c>
      <c r="N540" s="270">
        <v>0.25272697240000003</v>
      </c>
      <c r="O540" s="270">
        <v>0</v>
      </c>
      <c r="P540" s="271">
        <v>1108.33563</v>
      </c>
      <c r="Q540" s="271">
        <v>11.821805899999999</v>
      </c>
      <c r="R540" s="271">
        <v>987.18390769999996</v>
      </c>
      <c r="S540" s="271">
        <v>3456.0667790000002</v>
      </c>
      <c r="T540" s="270" t="s">
        <v>809</v>
      </c>
      <c r="U540" s="272">
        <v>53788.37</v>
      </c>
      <c r="V540" s="272">
        <v>26760.2</v>
      </c>
      <c r="W540" s="272">
        <v>821.68</v>
      </c>
      <c r="X540" s="272">
        <v>0</v>
      </c>
      <c r="Y540" s="272">
        <v>0</v>
      </c>
    </row>
    <row r="541" spans="1:25" x14ac:dyDescent="0.35">
      <c r="A541" s="259">
        <v>7619</v>
      </c>
      <c r="B541" s="260">
        <v>45028</v>
      </c>
      <c r="C541" s="259" t="s">
        <v>163</v>
      </c>
      <c r="D541" s="259" t="s">
        <v>973</v>
      </c>
      <c r="E541" s="270">
        <v>15.6</v>
      </c>
      <c r="F541" s="259">
        <v>0</v>
      </c>
      <c r="G541" s="270">
        <v>5.1874603629999996</v>
      </c>
      <c r="H541" s="270">
        <v>1.676024315</v>
      </c>
      <c r="I541" s="270">
        <v>1.2123507039999999</v>
      </c>
      <c r="J541" s="270">
        <v>0</v>
      </c>
      <c r="K541" s="270">
        <v>0.28241705119999999</v>
      </c>
      <c r="L541" s="270">
        <v>3.7086478329999999E-2</v>
      </c>
      <c r="M541" s="270">
        <v>0</v>
      </c>
      <c r="N541" s="270">
        <v>1.919112014</v>
      </c>
      <c r="O541" s="270">
        <v>0</v>
      </c>
      <c r="P541" s="271">
        <v>1353.9991110000001</v>
      </c>
      <c r="Q541" s="271">
        <v>468.04561580000001</v>
      </c>
      <c r="R541" s="271">
        <v>1145.354257</v>
      </c>
      <c r="S541" s="271">
        <v>2336.451939</v>
      </c>
      <c r="T541" s="270" t="s">
        <v>980</v>
      </c>
      <c r="U541" s="272">
        <v>40722.129999999997</v>
      </c>
      <c r="V541" s="272">
        <v>9664.5</v>
      </c>
      <c r="W541" s="272">
        <v>261.58</v>
      </c>
      <c r="X541" s="272">
        <v>4.62</v>
      </c>
      <c r="Y541" s="272">
        <v>0</v>
      </c>
    </row>
    <row r="542" spans="1:25" x14ac:dyDescent="0.35">
      <c r="A542" s="259">
        <v>7620</v>
      </c>
      <c r="B542" s="260">
        <v>45029</v>
      </c>
      <c r="C542" s="259" t="s">
        <v>164</v>
      </c>
      <c r="D542" s="259" t="s">
        <v>973</v>
      </c>
      <c r="E542" s="270">
        <v>15.7</v>
      </c>
      <c r="F542" s="259">
        <v>0</v>
      </c>
      <c r="G542" s="270">
        <v>5.7130967830000001</v>
      </c>
      <c r="H542" s="270">
        <v>1.7087839469999999</v>
      </c>
      <c r="I542" s="270">
        <v>1.550780263</v>
      </c>
      <c r="J542" s="270">
        <v>0.21329905069999999</v>
      </c>
      <c r="K542" s="270">
        <v>0.11820551</v>
      </c>
      <c r="L542" s="270">
        <v>6.6490755009999999E-2</v>
      </c>
      <c r="M542" s="270">
        <v>0</v>
      </c>
      <c r="N542" s="270">
        <v>1.9893152650000001</v>
      </c>
      <c r="O542" s="270">
        <v>1.2599704</v>
      </c>
      <c r="P542" s="271">
        <v>1383.8140840000001</v>
      </c>
      <c r="Q542" s="271">
        <v>490.69871230000001</v>
      </c>
      <c r="R542" s="271">
        <v>1213.557847</v>
      </c>
      <c r="S542" s="271">
        <v>2416.681247</v>
      </c>
      <c r="T542" s="270" t="s">
        <v>980</v>
      </c>
      <c r="U542" s="272">
        <v>41411.71</v>
      </c>
      <c r="V542" s="272">
        <v>9564.25</v>
      </c>
      <c r="W542" s="272">
        <v>204.65</v>
      </c>
      <c r="X542" s="272">
        <v>1.54</v>
      </c>
      <c r="Y542" s="272">
        <v>0</v>
      </c>
    </row>
    <row r="543" spans="1:25" x14ac:dyDescent="0.35">
      <c r="A543" s="259">
        <v>7621</v>
      </c>
      <c r="B543" s="260">
        <v>45029</v>
      </c>
      <c r="C543" s="259" t="s">
        <v>990</v>
      </c>
      <c r="D543" s="259" t="s">
        <v>970</v>
      </c>
      <c r="E543" s="270">
        <v>6.18</v>
      </c>
      <c r="F543" s="259">
        <v>0</v>
      </c>
      <c r="G543" s="270">
        <v>13.22179375</v>
      </c>
      <c r="H543" s="270">
        <v>1.3249065449999999</v>
      </c>
      <c r="I543" s="270">
        <v>0.99046280099999995</v>
      </c>
      <c r="J543" s="270">
        <v>0</v>
      </c>
      <c r="K543" s="270">
        <v>0</v>
      </c>
      <c r="L543" s="270">
        <v>0.1200573041</v>
      </c>
      <c r="M543" s="270">
        <v>3.6781405480000001E-2</v>
      </c>
      <c r="N543" s="270">
        <v>0.40220804030000001</v>
      </c>
      <c r="O543" s="270">
        <v>0.42043310830000002</v>
      </c>
      <c r="P543" s="271">
        <v>1111.9396569999999</v>
      </c>
      <c r="Q543" s="271">
        <v>11.764304900000001</v>
      </c>
      <c r="R543" s="271">
        <v>1038.762418</v>
      </c>
      <c r="S543" s="271">
        <v>3505.5228379999999</v>
      </c>
      <c r="T543" s="270" t="s">
        <v>809</v>
      </c>
      <c r="U543" s="272">
        <v>68358.02</v>
      </c>
      <c r="V543" s="272">
        <v>31744.82</v>
      </c>
      <c r="W543" s="272">
        <v>807.83</v>
      </c>
      <c r="X543" s="272">
        <v>1.54</v>
      </c>
      <c r="Y543" s="272">
        <v>0</v>
      </c>
    </row>
    <row r="544" spans="1:25" x14ac:dyDescent="0.35">
      <c r="A544" s="259">
        <v>7622</v>
      </c>
      <c r="B544" s="260">
        <v>45029</v>
      </c>
      <c r="C544" s="259" t="s">
        <v>989</v>
      </c>
      <c r="D544" s="259" t="s">
        <v>973</v>
      </c>
      <c r="E544" s="270">
        <v>15.4</v>
      </c>
      <c r="F544" s="259">
        <v>0</v>
      </c>
      <c r="G544" s="270">
        <v>5.4952020409999998</v>
      </c>
      <c r="H544" s="270">
        <v>1.6392789219999999</v>
      </c>
      <c r="I544" s="270">
        <v>1.4317162400000001</v>
      </c>
      <c r="J544" s="270">
        <v>0</v>
      </c>
      <c r="K544" s="270">
        <v>0</v>
      </c>
      <c r="L544" s="270">
        <v>6.6348113439999995E-2</v>
      </c>
      <c r="M544" s="270">
        <v>0</v>
      </c>
      <c r="N544" s="270">
        <v>1.6556914629999999</v>
      </c>
      <c r="O544" s="270">
        <v>0.49971657219999999</v>
      </c>
      <c r="P544" s="271">
        <v>1428.313271</v>
      </c>
      <c r="Q544" s="271">
        <v>493.7677152</v>
      </c>
      <c r="R544" s="271">
        <v>1230.0066220000001</v>
      </c>
      <c r="S544" s="271">
        <v>2463.0740070000002</v>
      </c>
      <c r="T544" s="270" t="s">
        <v>794</v>
      </c>
      <c r="U544" s="272">
        <v>32563.88</v>
      </c>
      <c r="V544" s="272">
        <v>6325.54</v>
      </c>
      <c r="W544" s="272">
        <v>160.13</v>
      </c>
      <c r="X544" s="272">
        <v>0</v>
      </c>
      <c r="Y544" s="272">
        <v>0</v>
      </c>
    </row>
    <row r="545" spans="1:25" x14ac:dyDescent="0.35">
      <c r="A545" s="259">
        <v>7623</v>
      </c>
      <c r="B545" s="260">
        <v>45030</v>
      </c>
      <c r="C545" s="259" t="s">
        <v>171</v>
      </c>
      <c r="D545" s="259" t="s">
        <v>973</v>
      </c>
      <c r="E545" s="270">
        <v>15.6</v>
      </c>
      <c r="F545" s="259">
        <v>0</v>
      </c>
      <c r="G545" s="270">
        <v>5.2538581720000002</v>
      </c>
      <c r="H545" s="270">
        <v>1.675834469</v>
      </c>
      <c r="I545" s="270">
        <v>1.3306272619999999</v>
      </c>
      <c r="J545" s="270">
        <v>0</v>
      </c>
      <c r="K545" s="270">
        <v>0.1183967428</v>
      </c>
      <c r="L545" s="270">
        <v>9.1433935829999993E-2</v>
      </c>
      <c r="M545" s="270">
        <v>0</v>
      </c>
      <c r="N545" s="270">
        <v>2.176257729</v>
      </c>
      <c r="O545" s="270">
        <v>0.4002475606</v>
      </c>
      <c r="P545" s="271">
        <v>1438.921435</v>
      </c>
      <c r="Q545" s="271">
        <v>494.20607139999998</v>
      </c>
      <c r="R545" s="271">
        <v>1228.9627359999999</v>
      </c>
      <c r="S545" s="271">
        <v>2485.9435539999999</v>
      </c>
      <c r="T545" s="270" t="s">
        <v>814</v>
      </c>
      <c r="U545" s="272">
        <v>30900.22</v>
      </c>
      <c r="V545" s="272">
        <v>7192</v>
      </c>
      <c r="W545" s="272">
        <v>103.09</v>
      </c>
      <c r="X545" s="272">
        <v>0</v>
      </c>
      <c r="Y545" s="272">
        <v>0</v>
      </c>
    </row>
    <row r="546" spans="1:25" x14ac:dyDescent="0.35">
      <c r="A546" s="259">
        <v>7881</v>
      </c>
      <c r="B546" s="260">
        <v>45030</v>
      </c>
      <c r="C546" s="273" t="s">
        <v>181</v>
      </c>
      <c r="D546" s="259" t="s">
        <v>973</v>
      </c>
      <c r="E546" s="270">
        <v>15.5</v>
      </c>
      <c r="F546" s="259">
        <v>0</v>
      </c>
      <c r="G546" s="270">
        <v>7.0485340399999998</v>
      </c>
      <c r="H546" s="270">
        <v>1.8117954540000001</v>
      </c>
      <c r="I546" s="270">
        <v>1.3731418740000001</v>
      </c>
      <c r="J546" s="270">
        <v>0</v>
      </c>
      <c r="K546" s="270">
        <v>0</v>
      </c>
      <c r="L546" s="270">
        <v>4.3679284149999997E-2</v>
      </c>
      <c r="M546" s="270">
        <v>0</v>
      </c>
      <c r="N546" s="270">
        <v>1.628250712</v>
      </c>
      <c r="O546" s="270">
        <v>3.6842439659999997E-2</v>
      </c>
      <c r="P546" s="271">
        <v>1442.0168470000001</v>
      </c>
      <c r="Q546" s="271">
        <v>487.23737569999997</v>
      </c>
      <c r="R546" s="271">
        <v>1175.6518639999999</v>
      </c>
      <c r="S546" s="271">
        <v>2399.3145880000002</v>
      </c>
      <c r="T546" s="270" t="s">
        <v>792</v>
      </c>
      <c r="U546" s="272">
        <v>42048.4</v>
      </c>
      <c r="V546" s="272">
        <v>11030.93</v>
      </c>
      <c r="W546" s="272">
        <v>441.76</v>
      </c>
      <c r="X546" s="272">
        <v>23.09</v>
      </c>
      <c r="Y546" s="272">
        <v>0</v>
      </c>
    </row>
    <row r="547" spans="1:25" x14ac:dyDescent="0.35">
      <c r="A547" s="259">
        <v>7882</v>
      </c>
      <c r="B547" s="260">
        <v>45030</v>
      </c>
      <c r="C547" s="273" t="s">
        <v>182</v>
      </c>
      <c r="D547" s="259" t="s">
        <v>971</v>
      </c>
      <c r="E547" s="270">
        <v>11.27</v>
      </c>
      <c r="F547" s="263">
        <v>0</v>
      </c>
      <c r="G547" s="270">
        <v>15.868874330000001</v>
      </c>
      <c r="H547" s="270">
        <v>1.431314942</v>
      </c>
      <c r="I547" s="270">
        <v>1.0490912029999999</v>
      </c>
      <c r="J547" s="270">
        <v>0</v>
      </c>
      <c r="K547" s="270">
        <v>0</v>
      </c>
      <c r="L547" s="270">
        <v>0.1005843931</v>
      </c>
      <c r="M547" s="270">
        <v>7.7557321260000006E-2</v>
      </c>
      <c r="N547" s="270">
        <v>0</v>
      </c>
      <c r="O547" s="270">
        <v>1.0433225500000001</v>
      </c>
      <c r="P547" s="271">
        <v>1147.546664</v>
      </c>
      <c r="Q547" s="271">
        <v>11.760131640000001</v>
      </c>
      <c r="R547" s="271">
        <v>1021.500439</v>
      </c>
      <c r="S547" s="271">
        <v>3593.9302160000002</v>
      </c>
      <c r="T547" s="270" t="s">
        <v>785</v>
      </c>
      <c r="U547" s="272">
        <v>113342.11</v>
      </c>
      <c r="V547" s="272">
        <v>49071.56</v>
      </c>
      <c r="W547" s="272">
        <v>858.61</v>
      </c>
      <c r="X547" s="272">
        <v>10.77</v>
      </c>
      <c r="Y547" s="272">
        <v>0</v>
      </c>
    </row>
    <row r="548" spans="1:25" x14ac:dyDescent="0.35">
      <c r="A548" s="259">
        <v>7883</v>
      </c>
      <c r="B548" s="260">
        <v>45032</v>
      </c>
      <c r="C548" s="274" t="s">
        <v>183</v>
      </c>
      <c r="D548" s="259" t="s">
        <v>970</v>
      </c>
      <c r="E548" s="270">
        <v>6.15</v>
      </c>
      <c r="F548" s="259">
        <v>0</v>
      </c>
      <c r="G548" s="270">
        <v>17.022034990000002</v>
      </c>
      <c r="H548" s="270">
        <v>1.62801939</v>
      </c>
      <c r="I548" s="270">
        <v>0.96610423160000003</v>
      </c>
      <c r="J548" s="270">
        <v>0</v>
      </c>
      <c r="K548" s="270">
        <v>0</v>
      </c>
      <c r="L548" s="270">
        <v>6.4897518129999998E-2</v>
      </c>
      <c r="M548" s="270">
        <v>9.3507447339999994E-2</v>
      </c>
      <c r="N548" s="270">
        <v>0</v>
      </c>
      <c r="O548" s="270">
        <v>1.1455732830000001</v>
      </c>
      <c r="P548" s="271">
        <v>1160.8868010000001</v>
      </c>
      <c r="Q548" s="271">
        <v>10.41777237</v>
      </c>
      <c r="R548" s="271">
        <v>1018.570614</v>
      </c>
      <c r="S548" s="271">
        <v>3572.5722030000002</v>
      </c>
      <c r="T548" s="270" t="s">
        <v>991</v>
      </c>
      <c r="U548" s="272">
        <v>115423.84</v>
      </c>
      <c r="V548" s="272">
        <v>43027.45</v>
      </c>
      <c r="W548" s="272">
        <v>1487.95</v>
      </c>
      <c r="X548" s="272">
        <v>16.93</v>
      </c>
      <c r="Y548" s="272">
        <v>0</v>
      </c>
    </row>
    <row r="549" spans="1:25" x14ac:dyDescent="0.35">
      <c r="A549" s="259">
        <v>7884</v>
      </c>
      <c r="B549" s="260">
        <v>45032</v>
      </c>
      <c r="C549" s="259" t="s">
        <v>171</v>
      </c>
      <c r="D549" s="259" t="s">
        <v>973</v>
      </c>
      <c r="E549" s="270">
        <v>15.3</v>
      </c>
      <c r="F549" s="259">
        <v>0</v>
      </c>
      <c r="G549" s="270">
        <v>7.0123705459999996</v>
      </c>
      <c r="H549" s="270">
        <v>1.610154911</v>
      </c>
      <c r="I549" s="270">
        <v>1.422045711</v>
      </c>
      <c r="J549" s="270">
        <v>0</v>
      </c>
      <c r="K549" s="270">
        <v>0.17614342499999999</v>
      </c>
      <c r="L549" s="270">
        <v>0</v>
      </c>
      <c r="M549" s="270">
        <v>0</v>
      </c>
      <c r="N549" s="270">
        <v>2.0057577700000002</v>
      </c>
      <c r="O549" s="270">
        <v>0.33114878879999998</v>
      </c>
      <c r="P549" s="271">
        <v>1451.813449</v>
      </c>
      <c r="Q549" s="271">
        <v>495.67086399999999</v>
      </c>
      <c r="R549" s="271">
        <v>1240.3636819999999</v>
      </c>
      <c r="S549" s="271">
        <v>2442.6603719999998</v>
      </c>
      <c r="T549" s="270" t="s">
        <v>794</v>
      </c>
      <c r="U549" s="272">
        <v>37723.07</v>
      </c>
      <c r="V549" s="272">
        <v>7441.89</v>
      </c>
      <c r="W549" s="272">
        <v>183.11</v>
      </c>
      <c r="X549" s="272">
        <v>0</v>
      </c>
      <c r="Y549" s="272">
        <v>0</v>
      </c>
    </row>
    <row r="550" spans="1:25" x14ac:dyDescent="0.35">
      <c r="A550" s="259">
        <v>7885</v>
      </c>
      <c r="B550" s="260">
        <v>45032</v>
      </c>
      <c r="C550" s="259" t="s">
        <v>238</v>
      </c>
      <c r="D550" s="259" t="s">
        <v>971</v>
      </c>
      <c r="E550" s="270">
        <v>11.24</v>
      </c>
      <c r="F550" s="263">
        <v>0</v>
      </c>
      <c r="G550" s="270">
        <v>16.767112780000001</v>
      </c>
      <c r="H550" s="270">
        <v>1.374543361</v>
      </c>
      <c r="I550" s="270">
        <v>0.96382401380000005</v>
      </c>
      <c r="J550" s="270">
        <v>9.3187533980000001E-2</v>
      </c>
      <c r="K550" s="270">
        <v>4.8151032529999999E-2</v>
      </c>
      <c r="L550" s="270">
        <v>2.1177554420000001E-2</v>
      </c>
      <c r="M550" s="270">
        <v>0</v>
      </c>
      <c r="N550" s="270">
        <v>0.71787405209999999</v>
      </c>
      <c r="O550" s="270">
        <v>1.6927575500000001</v>
      </c>
      <c r="P550" s="271">
        <v>1163.4163940000001</v>
      </c>
      <c r="Q550" s="271">
        <v>11.356997489999999</v>
      </c>
      <c r="R550" s="271">
        <v>1069.443143</v>
      </c>
      <c r="S550" s="271">
        <v>3557.9692169999998</v>
      </c>
      <c r="T550" s="270" t="s">
        <v>785</v>
      </c>
      <c r="U550" s="272">
        <v>89397.14</v>
      </c>
      <c r="V550" s="272">
        <v>40146.71</v>
      </c>
      <c r="W550" s="272">
        <v>663.4</v>
      </c>
      <c r="X550" s="272">
        <v>6.16</v>
      </c>
      <c r="Y550" s="272">
        <v>6.16</v>
      </c>
    </row>
    <row r="551" spans="1:25" x14ac:dyDescent="0.35">
      <c r="A551" s="266">
        <v>7886</v>
      </c>
      <c r="B551" s="265">
        <v>45032</v>
      </c>
      <c r="C551" s="259" t="s">
        <v>172</v>
      </c>
      <c r="D551" s="266" t="s">
        <v>970</v>
      </c>
      <c r="E551" s="275">
        <v>6.17</v>
      </c>
      <c r="F551" s="266">
        <v>0</v>
      </c>
      <c r="G551" s="275">
        <v>13.17529393</v>
      </c>
      <c r="H551" s="275">
        <v>1.2519849970000001</v>
      </c>
      <c r="I551" s="275">
        <v>0.86402643059999995</v>
      </c>
      <c r="J551" s="275">
        <v>0</v>
      </c>
      <c r="K551" s="275">
        <v>0</v>
      </c>
      <c r="L551" s="275">
        <v>0</v>
      </c>
      <c r="M551" s="275">
        <v>0</v>
      </c>
      <c r="N551" s="275">
        <v>0.29976452879999999</v>
      </c>
      <c r="O551" s="275">
        <v>1.321421527</v>
      </c>
      <c r="P551" s="276">
        <v>1134.9447479999999</v>
      </c>
      <c r="Q551" s="276">
        <v>11.431980060000001</v>
      </c>
      <c r="R551" s="276">
        <v>1047.021307</v>
      </c>
      <c r="S551" s="276">
        <v>3571.715952</v>
      </c>
      <c r="T551" s="275" t="s">
        <v>710</v>
      </c>
      <c r="U551" s="272">
        <v>60473.51</v>
      </c>
      <c r="V551" s="272">
        <v>27916.55</v>
      </c>
      <c r="W551" s="272">
        <v>421.61</v>
      </c>
      <c r="X551" s="272">
        <v>0</v>
      </c>
      <c r="Y551" s="272">
        <v>0</v>
      </c>
    </row>
    <row r="552" spans="1:25" x14ac:dyDescent="0.35">
      <c r="A552" s="277">
        <v>8261</v>
      </c>
      <c r="B552" s="278">
        <v>45036</v>
      </c>
      <c r="C552" s="273" t="s">
        <v>181</v>
      </c>
      <c r="D552" s="273" t="s">
        <v>973</v>
      </c>
      <c r="E552" s="275">
        <v>15.6</v>
      </c>
      <c r="F552" s="266">
        <v>0</v>
      </c>
      <c r="G552" s="275">
        <v>4.9000000000000004</v>
      </c>
      <c r="H552" s="275">
        <v>1.9</v>
      </c>
      <c r="I552" s="275">
        <v>1.2</v>
      </c>
      <c r="J552" s="275">
        <v>0</v>
      </c>
      <c r="K552" s="275">
        <v>0.2</v>
      </c>
      <c r="L552" s="275">
        <v>0</v>
      </c>
      <c r="M552" s="275">
        <v>0</v>
      </c>
      <c r="N552" s="275">
        <v>1.6</v>
      </c>
      <c r="O552" s="275">
        <v>0.2</v>
      </c>
      <c r="P552" s="275">
        <v>1402.2</v>
      </c>
      <c r="Q552" s="275">
        <v>493.8</v>
      </c>
      <c r="R552" s="275">
        <v>1229.2</v>
      </c>
      <c r="S552" s="275">
        <v>2420.9</v>
      </c>
      <c r="T552" s="275" t="s">
        <v>792</v>
      </c>
      <c r="U552" s="272">
        <v>50146.82</v>
      </c>
      <c r="V552" s="272">
        <v>14604.58</v>
      </c>
      <c r="W552" s="272">
        <v>398.53</v>
      </c>
      <c r="X552" s="272">
        <v>0</v>
      </c>
      <c r="Y552" s="272">
        <v>0</v>
      </c>
    </row>
    <row r="553" spans="1:25" x14ac:dyDescent="0.35">
      <c r="A553" s="277">
        <v>8262</v>
      </c>
      <c r="B553" s="278">
        <v>45036</v>
      </c>
      <c r="C553" s="273" t="s">
        <v>182</v>
      </c>
      <c r="D553" s="273" t="s">
        <v>970</v>
      </c>
      <c r="E553" s="275">
        <v>6.2</v>
      </c>
      <c r="F553" s="266">
        <v>0</v>
      </c>
      <c r="G553" s="275">
        <v>14.7</v>
      </c>
      <c r="H553" s="275">
        <v>1.4</v>
      </c>
      <c r="I553" s="275">
        <v>1</v>
      </c>
      <c r="J553" s="275">
        <v>0</v>
      </c>
      <c r="K553" s="275">
        <v>0</v>
      </c>
      <c r="L553" s="275">
        <v>0</v>
      </c>
      <c r="M553" s="275">
        <v>0</v>
      </c>
      <c r="N553" s="275">
        <v>0.5</v>
      </c>
      <c r="O553" s="275">
        <v>1.2</v>
      </c>
      <c r="P553" s="275">
        <v>1069.7</v>
      </c>
      <c r="Q553" s="275">
        <v>14.7</v>
      </c>
      <c r="R553" s="275">
        <v>1011.9</v>
      </c>
      <c r="S553" s="275">
        <v>3443.6</v>
      </c>
      <c r="T553" s="275" t="s">
        <v>764</v>
      </c>
      <c r="U553" s="272">
        <v>91199.8</v>
      </c>
      <c r="V553" s="272">
        <v>38602.639999999999</v>
      </c>
      <c r="W553" s="272">
        <v>345.01</v>
      </c>
      <c r="X553" s="272">
        <v>1.54</v>
      </c>
      <c r="Y553" s="272">
        <v>0</v>
      </c>
    </row>
    <row r="554" spans="1:25" x14ac:dyDescent="0.35">
      <c r="A554" s="279">
        <v>8263</v>
      </c>
      <c r="B554" s="280">
        <v>45036</v>
      </c>
      <c r="C554" s="274" t="s">
        <v>183</v>
      </c>
      <c r="D554" s="274" t="s">
        <v>973</v>
      </c>
      <c r="E554" s="275">
        <v>15.6</v>
      </c>
      <c r="F554" s="266">
        <v>0</v>
      </c>
      <c r="G554" s="275">
        <v>7</v>
      </c>
      <c r="H554" s="275">
        <v>1.8</v>
      </c>
      <c r="I554" s="275">
        <v>1.2</v>
      </c>
      <c r="J554" s="275">
        <v>0</v>
      </c>
      <c r="K554" s="275">
        <v>0.2</v>
      </c>
      <c r="L554" s="275">
        <v>0</v>
      </c>
      <c r="M554" s="275">
        <v>0</v>
      </c>
      <c r="N554" s="275">
        <v>1.2</v>
      </c>
      <c r="O554" s="275">
        <v>0.1</v>
      </c>
      <c r="P554" s="275">
        <v>1388</v>
      </c>
      <c r="Q554" s="275">
        <v>495.7</v>
      </c>
      <c r="R554" s="275">
        <v>1238.9000000000001</v>
      </c>
      <c r="S554" s="275">
        <v>2438.6</v>
      </c>
      <c r="T554" s="275" t="s">
        <v>792</v>
      </c>
      <c r="U554" s="272">
        <v>50132.28</v>
      </c>
      <c r="V554" s="272">
        <v>13960.85</v>
      </c>
      <c r="W554" s="272">
        <v>420.07</v>
      </c>
      <c r="X554" s="272">
        <v>0</v>
      </c>
      <c r="Y554" s="272">
        <v>0</v>
      </c>
    </row>
    <row r="555" spans="1:25" x14ac:dyDescent="0.35">
      <c r="A555" s="277">
        <v>8264</v>
      </c>
      <c r="B555" s="280">
        <v>45037</v>
      </c>
      <c r="C555" s="259" t="s">
        <v>191</v>
      </c>
      <c r="D555" s="274" t="s">
        <v>973</v>
      </c>
      <c r="E555" s="275">
        <v>15.6</v>
      </c>
      <c r="F555" s="266">
        <v>0</v>
      </c>
      <c r="G555" s="275">
        <v>6</v>
      </c>
      <c r="H555" s="275">
        <v>1.7</v>
      </c>
      <c r="I555" s="275">
        <v>1.3</v>
      </c>
      <c r="J555" s="275">
        <v>0</v>
      </c>
      <c r="K555" s="275">
        <v>0.2</v>
      </c>
      <c r="L555" s="275">
        <v>0</v>
      </c>
      <c r="M555" s="275">
        <v>0</v>
      </c>
      <c r="N555" s="275">
        <v>1.7</v>
      </c>
      <c r="O555" s="275">
        <v>0.1</v>
      </c>
      <c r="P555" s="275">
        <v>1434.2</v>
      </c>
      <c r="Q555" s="275">
        <v>503.2</v>
      </c>
      <c r="R555" s="275">
        <v>1257.5999999999999</v>
      </c>
      <c r="S555" s="275">
        <v>2475.6</v>
      </c>
      <c r="T555" s="275" t="s">
        <v>815</v>
      </c>
      <c r="U555" s="272">
        <v>44415.07</v>
      </c>
      <c r="V555" s="272">
        <v>10894.25</v>
      </c>
      <c r="W555" s="272">
        <v>156.94999999999999</v>
      </c>
      <c r="X555" s="272">
        <v>3.08</v>
      </c>
      <c r="Y555" s="272">
        <v>0</v>
      </c>
    </row>
    <row r="556" spans="1:25" x14ac:dyDescent="0.35">
      <c r="A556" s="277">
        <v>8265</v>
      </c>
      <c r="B556" s="280">
        <v>45037</v>
      </c>
      <c r="C556" s="259" t="s">
        <v>172</v>
      </c>
      <c r="D556" s="273" t="s">
        <v>970</v>
      </c>
      <c r="E556" s="275">
        <v>6.2</v>
      </c>
      <c r="F556" s="266">
        <v>0</v>
      </c>
      <c r="G556" s="275">
        <v>13</v>
      </c>
      <c r="H556" s="275">
        <v>1.3</v>
      </c>
      <c r="I556" s="275">
        <v>0.9</v>
      </c>
      <c r="J556" s="275">
        <v>0</v>
      </c>
      <c r="K556" s="275">
        <v>0.2</v>
      </c>
      <c r="L556" s="275">
        <v>0</v>
      </c>
      <c r="M556" s="275">
        <v>0</v>
      </c>
      <c r="N556" s="275">
        <v>0.3</v>
      </c>
      <c r="O556" s="275">
        <v>1.1000000000000001</v>
      </c>
      <c r="P556" s="275">
        <v>1088.5999999999999</v>
      </c>
      <c r="Q556" s="275">
        <v>14.4</v>
      </c>
      <c r="R556" s="275">
        <v>1024.0999999999999</v>
      </c>
      <c r="S556" s="275">
        <v>3469.1</v>
      </c>
      <c r="T556" s="275" t="s">
        <v>710</v>
      </c>
      <c r="U556" s="272">
        <v>62013.7</v>
      </c>
      <c r="V556" s="272">
        <v>29778.03</v>
      </c>
      <c r="W556" s="272">
        <v>610.87</v>
      </c>
      <c r="X556" s="272">
        <v>3.08</v>
      </c>
      <c r="Y556" s="272">
        <v>0</v>
      </c>
    </row>
    <row r="557" spans="1:25" x14ac:dyDescent="0.35">
      <c r="A557" s="277">
        <v>8266</v>
      </c>
      <c r="B557" s="280">
        <v>45037</v>
      </c>
      <c r="C557" s="259" t="s">
        <v>171</v>
      </c>
      <c r="D557" s="274" t="s">
        <v>973</v>
      </c>
      <c r="E557" s="275">
        <v>15.5</v>
      </c>
      <c r="F557" s="266">
        <v>0</v>
      </c>
      <c r="G557" s="275">
        <v>5.6</v>
      </c>
      <c r="H557" s="275">
        <v>1.6</v>
      </c>
      <c r="I557" s="275">
        <v>1.2</v>
      </c>
      <c r="J557" s="275">
        <v>0</v>
      </c>
      <c r="K557" s="275">
        <v>0.1</v>
      </c>
      <c r="L557" s="275">
        <v>0</v>
      </c>
      <c r="M557" s="275">
        <v>0</v>
      </c>
      <c r="N557" s="275">
        <v>1.2</v>
      </c>
      <c r="O557" s="275">
        <v>0.2</v>
      </c>
      <c r="P557" s="275">
        <v>1400.4</v>
      </c>
      <c r="Q557" s="275">
        <v>494.5</v>
      </c>
      <c r="R557" s="275">
        <v>1236.0999999999999</v>
      </c>
      <c r="S557" s="275">
        <v>2430.8000000000002</v>
      </c>
      <c r="T557" s="275" t="s">
        <v>762</v>
      </c>
      <c r="U557" s="272">
        <v>40416</v>
      </c>
      <c r="V557" s="272">
        <v>10549.81</v>
      </c>
      <c r="W557" s="272">
        <v>160.03</v>
      </c>
      <c r="X557" s="272">
        <v>0</v>
      </c>
      <c r="Y557" s="272">
        <v>0</v>
      </c>
    </row>
    <row r="558" spans="1:25" x14ac:dyDescent="0.35">
      <c r="A558" s="277">
        <v>8330</v>
      </c>
      <c r="B558" s="280">
        <v>45037</v>
      </c>
      <c r="C558" s="259" t="s">
        <v>162</v>
      </c>
      <c r="D558" s="274" t="s">
        <v>970</v>
      </c>
      <c r="E558" s="275">
        <v>6.2</v>
      </c>
      <c r="F558" s="266">
        <v>0</v>
      </c>
      <c r="G558" s="275">
        <v>16.399999999999999</v>
      </c>
      <c r="H558" s="275">
        <v>1.6</v>
      </c>
      <c r="I558" s="275">
        <v>1</v>
      </c>
      <c r="J558" s="275">
        <v>0</v>
      </c>
      <c r="K558" s="275">
        <v>0</v>
      </c>
      <c r="L558" s="275">
        <v>0</v>
      </c>
      <c r="M558" s="275">
        <v>0.1</v>
      </c>
      <c r="N558" s="275">
        <v>0</v>
      </c>
      <c r="O558" s="275">
        <v>1.2</v>
      </c>
      <c r="P558" s="275">
        <v>1148.8</v>
      </c>
      <c r="Q558" s="275">
        <v>11.6</v>
      </c>
      <c r="R558" s="275">
        <v>1086.8</v>
      </c>
      <c r="S558" s="275">
        <v>3747.5</v>
      </c>
      <c r="T558" s="275" t="s">
        <v>748</v>
      </c>
      <c r="U558" s="272">
        <v>91495.67</v>
      </c>
      <c r="V558" s="272">
        <v>38684.32</v>
      </c>
      <c r="W558" s="272">
        <v>300.05</v>
      </c>
      <c r="X558" s="272">
        <v>0</v>
      </c>
      <c r="Y558" s="272">
        <v>0</v>
      </c>
    </row>
    <row r="559" spans="1:25" x14ac:dyDescent="0.35">
      <c r="A559" s="277">
        <v>8331</v>
      </c>
      <c r="B559" s="280">
        <v>45037</v>
      </c>
      <c r="C559" s="259" t="s">
        <v>163</v>
      </c>
      <c r="D559" s="274" t="s">
        <v>749</v>
      </c>
      <c r="E559" s="275">
        <v>25.3</v>
      </c>
      <c r="F559" s="266">
        <v>0</v>
      </c>
      <c r="G559" s="275">
        <v>19.2</v>
      </c>
      <c r="H559" s="275">
        <v>1.5</v>
      </c>
      <c r="I559" s="275">
        <v>1</v>
      </c>
      <c r="J559" s="275">
        <v>0</v>
      </c>
      <c r="K559" s="275">
        <v>0</v>
      </c>
      <c r="L559" s="275">
        <v>0</v>
      </c>
      <c r="M559" s="275">
        <v>0</v>
      </c>
      <c r="N559" s="275">
        <v>0.2</v>
      </c>
      <c r="O559" s="275">
        <v>1</v>
      </c>
      <c r="P559" s="275">
        <v>1155.8</v>
      </c>
      <c r="Q559" s="275">
        <v>11.8</v>
      </c>
      <c r="R559" s="275">
        <v>1077.4000000000001</v>
      </c>
      <c r="S559" s="275">
        <v>3704.9</v>
      </c>
      <c r="T559" s="275" t="s">
        <v>818</v>
      </c>
      <c r="U559" s="272">
        <v>51500.73</v>
      </c>
      <c r="V559" s="272">
        <v>17198.66</v>
      </c>
      <c r="W559" s="272">
        <v>772.44</v>
      </c>
      <c r="X559" s="272">
        <v>0</v>
      </c>
      <c r="Y559" s="272">
        <v>0</v>
      </c>
    </row>
    <row r="560" spans="1:25" x14ac:dyDescent="0.35">
      <c r="A560" s="277">
        <v>8332</v>
      </c>
      <c r="B560" s="280">
        <v>45037</v>
      </c>
      <c r="C560" s="259" t="s">
        <v>164</v>
      </c>
      <c r="D560" s="274" t="s">
        <v>970</v>
      </c>
      <c r="E560" s="275">
        <v>6.2</v>
      </c>
      <c r="F560" s="266">
        <v>0</v>
      </c>
      <c r="G560" s="275">
        <v>14</v>
      </c>
      <c r="H560" s="275">
        <v>1.4</v>
      </c>
      <c r="I560" s="275">
        <v>0.8</v>
      </c>
      <c r="J560" s="275">
        <v>0</v>
      </c>
      <c r="K560" s="275">
        <v>0</v>
      </c>
      <c r="L560" s="275">
        <v>0</v>
      </c>
      <c r="M560" s="275">
        <v>0.1</v>
      </c>
      <c r="N560" s="275">
        <v>0</v>
      </c>
      <c r="O560" s="275">
        <v>1</v>
      </c>
      <c r="P560" s="275">
        <v>1109.3</v>
      </c>
      <c r="Q560" s="275">
        <v>11.3</v>
      </c>
      <c r="R560" s="275">
        <v>1039.3</v>
      </c>
      <c r="S560" s="275">
        <v>3563.5</v>
      </c>
      <c r="T560" s="275" t="s">
        <v>748</v>
      </c>
      <c r="U560" s="272">
        <v>87792.81</v>
      </c>
      <c r="V560" s="272">
        <v>37377.71</v>
      </c>
      <c r="W560" s="272">
        <v>216.96</v>
      </c>
      <c r="X560" s="272">
        <v>0</v>
      </c>
      <c r="Y560" s="272">
        <v>0</v>
      </c>
    </row>
    <row r="561" spans="1:25" x14ac:dyDescent="0.35">
      <c r="A561" s="277">
        <v>8333</v>
      </c>
      <c r="B561" s="280">
        <v>45038</v>
      </c>
      <c r="C561" s="259" t="s">
        <v>192</v>
      </c>
      <c r="D561" s="274" t="s">
        <v>970</v>
      </c>
      <c r="E561" s="275">
        <v>6.2</v>
      </c>
      <c r="F561" s="266">
        <v>0</v>
      </c>
      <c r="G561" s="275">
        <v>15.4</v>
      </c>
      <c r="H561" s="275">
        <v>1.3</v>
      </c>
      <c r="I561" s="275">
        <v>0.8</v>
      </c>
      <c r="J561" s="275">
        <v>0</v>
      </c>
      <c r="K561" s="275">
        <v>0</v>
      </c>
      <c r="L561" s="275">
        <v>0</v>
      </c>
      <c r="M561" s="275">
        <v>0.1</v>
      </c>
      <c r="N561" s="275">
        <v>0</v>
      </c>
      <c r="O561" s="275">
        <v>1.1000000000000001</v>
      </c>
      <c r="P561" s="275">
        <v>1120</v>
      </c>
      <c r="Q561" s="275">
        <v>12.3</v>
      </c>
      <c r="R561" s="275">
        <v>1062.5999999999999</v>
      </c>
      <c r="S561" s="275">
        <v>3644.1</v>
      </c>
      <c r="T561" s="275" t="s">
        <v>748</v>
      </c>
      <c r="U561" s="272">
        <v>90109.2</v>
      </c>
      <c r="V561" s="272">
        <v>36936.410000000003</v>
      </c>
      <c r="W561" s="272">
        <v>289.27999999999997</v>
      </c>
      <c r="X561" s="272">
        <v>0</v>
      </c>
      <c r="Y561" s="272">
        <v>0</v>
      </c>
    </row>
    <row r="562" spans="1:25" x14ac:dyDescent="0.35">
      <c r="A562" s="277">
        <v>8334</v>
      </c>
      <c r="B562" s="280">
        <v>45038</v>
      </c>
      <c r="C562" s="259" t="s">
        <v>237</v>
      </c>
      <c r="D562" s="274" t="s">
        <v>749</v>
      </c>
      <c r="E562" s="275">
        <v>25.2</v>
      </c>
      <c r="F562" s="266">
        <v>0</v>
      </c>
      <c r="G562" s="275">
        <v>17.5</v>
      </c>
      <c r="H562" s="275">
        <v>1.3</v>
      </c>
      <c r="I562" s="275">
        <v>0.8</v>
      </c>
      <c r="J562" s="275">
        <v>0</v>
      </c>
      <c r="K562" s="275">
        <v>0</v>
      </c>
      <c r="L562" s="275">
        <v>0</v>
      </c>
      <c r="M562" s="275">
        <v>0.1</v>
      </c>
      <c r="N562" s="275">
        <v>0.3</v>
      </c>
      <c r="O562" s="275">
        <v>0.8</v>
      </c>
      <c r="P562" s="275">
        <v>1105.5</v>
      </c>
      <c r="Q562" s="275">
        <v>12.2</v>
      </c>
      <c r="R562" s="275">
        <v>1048.3</v>
      </c>
      <c r="S562" s="275">
        <v>3585.7</v>
      </c>
      <c r="T562" s="275" t="s">
        <v>794</v>
      </c>
      <c r="U562" s="272">
        <v>22220.95</v>
      </c>
      <c r="V562" s="272">
        <v>5857.33</v>
      </c>
      <c r="W562" s="272">
        <v>166.18</v>
      </c>
      <c r="X562" s="272">
        <v>0</v>
      </c>
      <c r="Y562" s="272">
        <v>0</v>
      </c>
    </row>
    <row r="563" spans="1:25" x14ac:dyDescent="0.35">
      <c r="A563" s="277">
        <v>8335</v>
      </c>
      <c r="B563" s="280">
        <v>45038</v>
      </c>
      <c r="C563" s="259" t="s">
        <v>172</v>
      </c>
      <c r="D563" s="274" t="s">
        <v>970</v>
      </c>
      <c r="E563" s="275">
        <v>6.2</v>
      </c>
      <c r="F563" s="266">
        <v>0</v>
      </c>
      <c r="G563" s="275">
        <v>13.9</v>
      </c>
      <c r="H563" s="275">
        <v>1.3</v>
      </c>
      <c r="I563" s="275">
        <v>0.8</v>
      </c>
      <c r="J563" s="275">
        <v>0</v>
      </c>
      <c r="K563" s="275">
        <v>0</v>
      </c>
      <c r="L563" s="275">
        <v>0</v>
      </c>
      <c r="M563" s="275">
        <v>0.1</v>
      </c>
      <c r="N563" s="275">
        <v>0</v>
      </c>
      <c r="O563" s="275">
        <v>1.1000000000000001</v>
      </c>
      <c r="P563" s="275">
        <v>1112.8</v>
      </c>
      <c r="Q563" s="275">
        <v>11.7</v>
      </c>
      <c r="R563" s="275">
        <v>1058.5</v>
      </c>
      <c r="S563" s="275">
        <v>3617.2</v>
      </c>
      <c r="T563" s="275" t="s">
        <v>710</v>
      </c>
      <c r="U563" s="272">
        <v>60974.52</v>
      </c>
      <c r="V563" s="272">
        <v>29167.23</v>
      </c>
      <c r="W563" s="272">
        <v>543.16999999999996</v>
      </c>
      <c r="X563" s="272">
        <v>1.54</v>
      </c>
      <c r="Y563" s="272">
        <v>0</v>
      </c>
    </row>
    <row r="564" spans="1:25" x14ac:dyDescent="0.35">
      <c r="A564" s="277">
        <v>8783</v>
      </c>
      <c r="B564" s="280">
        <v>45043</v>
      </c>
      <c r="C564" s="273" t="s">
        <v>181</v>
      </c>
      <c r="D564" s="274" t="s">
        <v>971</v>
      </c>
      <c r="E564" s="275">
        <v>11.5</v>
      </c>
      <c r="F564" s="263">
        <v>0</v>
      </c>
      <c r="G564" s="275">
        <v>16.2</v>
      </c>
      <c r="H564" s="275">
        <v>2.1</v>
      </c>
      <c r="I564" s="275">
        <v>1</v>
      </c>
      <c r="J564" s="275">
        <v>0</v>
      </c>
      <c r="K564" s="275">
        <v>0</v>
      </c>
      <c r="L564" s="275">
        <v>0.1</v>
      </c>
      <c r="M564" s="275">
        <v>0.1</v>
      </c>
      <c r="N564" s="275">
        <v>0.5</v>
      </c>
      <c r="O564" s="275">
        <v>1.2</v>
      </c>
      <c r="P564" s="275">
        <v>1120.0999999999999</v>
      </c>
      <c r="Q564" s="275">
        <v>10.9</v>
      </c>
      <c r="R564" s="275">
        <v>1005.9</v>
      </c>
      <c r="S564" s="275">
        <v>3593.9</v>
      </c>
      <c r="T564" s="275" t="s">
        <v>375</v>
      </c>
      <c r="U564" s="272">
        <v>120922</v>
      </c>
      <c r="V564" s="272">
        <v>54041</v>
      </c>
      <c r="W564" s="272">
        <v>194</v>
      </c>
      <c r="X564" s="272">
        <v>0</v>
      </c>
      <c r="Y564" s="272">
        <v>0</v>
      </c>
    </row>
    <row r="565" spans="1:25" x14ac:dyDescent="0.35">
      <c r="A565" s="277">
        <v>8784</v>
      </c>
      <c r="B565" s="280">
        <v>45043</v>
      </c>
      <c r="C565" s="273" t="s">
        <v>182</v>
      </c>
      <c r="D565" s="274" t="s">
        <v>970</v>
      </c>
      <c r="E565" s="275">
        <v>6.3</v>
      </c>
      <c r="F565" s="266">
        <v>0</v>
      </c>
      <c r="G565" s="275">
        <v>16.899999999999999</v>
      </c>
      <c r="H565" s="275">
        <v>1.6</v>
      </c>
      <c r="I565" s="275">
        <v>0.9</v>
      </c>
      <c r="J565" s="275">
        <v>0.1</v>
      </c>
      <c r="K565" s="275">
        <v>0.1</v>
      </c>
      <c r="L565" s="275">
        <v>0</v>
      </c>
      <c r="M565" s="275">
        <v>0.3</v>
      </c>
      <c r="N565" s="275">
        <v>0.4</v>
      </c>
      <c r="O565" s="275">
        <v>1</v>
      </c>
      <c r="P565" s="275">
        <v>1115.0999999999999</v>
      </c>
      <c r="Q565" s="275">
        <v>12</v>
      </c>
      <c r="R565" s="275">
        <v>1003.8</v>
      </c>
      <c r="S565" s="275">
        <v>3526.1</v>
      </c>
      <c r="T565" s="275" t="s">
        <v>785</v>
      </c>
      <c r="U565" s="272">
        <v>93994</v>
      </c>
      <c r="V565" s="272">
        <v>43620</v>
      </c>
      <c r="W565" s="272">
        <v>1239</v>
      </c>
      <c r="X565" s="272">
        <v>14</v>
      </c>
      <c r="Y565" s="272">
        <v>2</v>
      </c>
    </row>
    <row r="566" spans="1:25" x14ac:dyDescent="0.35">
      <c r="A566" s="277">
        <v>8785</v>
      </c>
      <c r="B566" s="280">
        <v>45043</v>
      </c>
      <c r="C566" s="274" t="s">
        <v>183</v>
      </c>
      <c r="D566" s="274" t="s">
        <v>973</v>
      </c>
      <c r="E566" s="275">
        <v>15.6</v>
      </c>
      <c r="F566" s="266">
        <v>0</v>
      </c>
      <c r="G566" s="275">
        <v>19.100000000000001</v>
      </c>
      <c r="H566" s="275">
        <v>2.4</v>
      </c>
      <c r="I566" s="275">
        <v>1.5</v>
      </c>
      <c r="J566" s="275">
        <v>0.1</v>
      </c>
      <c r="K566" s="275">
        <v>0</v>
      </c>
      <c r="L566" s="275">
        <v>0.1</v>
      </c>
      <c r="M566" s="275">
        <v>0</v>
      </c>
      <c r="N566" s="275">
        <v>1.9</v>
      </c>
      <c r="O566" s="275">
        <v>0.4</v>
      </c>
      <c r="P566" s="275">
        <v>1477</v>
      </c>
      <c r="Q566" s="275">
        <v>507.7</v>
      </c>
      <c r="R566" s="275">
        <v>1261.5999999999999</v>
      </c>
      <c r="S566" s="275">
        <v>2552.3000000000002</v>
      </c>
      <c r="T566" s="275" t="s">
        <v>762</v>
      </c>
      <c r="U566" s="272">
        <v>42467</v>
      </c>
      <c r="V566" s="272">
        <v>10084</v>
      </c>
      <c r="W566" s="272">
        <v>171</v>
      </c>
      <c r="X566" s="272">
        <v>0</v>
      </c>
      <c r="Y566" s="272">
        <v>0</v>
      </c>
    </row>
    <row r="567" spans="1:25" x14ac:dyDescent="0.35">
      <c r="A567" s="277">
        <v>8786</v>
      </c>
      <c r="B567" s="280">
        <v>45044</v>
      </c>
      <c r="C567" s="259" t="s">
        <v>988</v>
      </c>
      <c r="D567" s="274" t="s">
        <v>971</v>
      </c>
      <c r="E567" s="275">
        <v>11.6</v>
      </c>
      <c r="F567" s="263">
        <v>0</v>
      </c>
      <c r="G567" s="275">
        <v>27.4</v>
      </c>
      <c r="H567" s="275">
        <v>1.6</v>
      </c>
      <c r="I567" s="275">
        <v>1.1000000000000001</v>
      </c>
      <c r="J567" s="275">
        <v>0</v>
      </c>
      <c r="K567" s="275">
        <v>0</v>
      </c>
      <c r="L567" s="275">
        <v>0</v>
      </c>
      <c r="M567" s="275">
        <v>0</v>
      </c>
      <c r="N567" s="275">
        <v>0.5</v>
      </c>
      <c r="O567" s="275">
        <v>0.9</v>
      </c>
      <c r="P567" s="275">
        <v>1180.0999999999999</v>
      </c>
      <c r="Q567" s="275">
        <v>15.9</v>
      </c>
      <c r="R567" s="275">
        <v>1066.4000000000001</v>
      </c>
      <c r="S567" s="275">
        <v>3707.1</v>
      </c>
      <c r="T567" s="275" t="s">
        <v>375</v>
      </c>
      <c r="U567" s="272">
        <v>97062</v>
      </c>
      <c r="V567" s="272">
        <v>44398</v>
      </c>
      <c r="W567" s="272">
        <v>294</v>
      </c>
      <c r="X567" s="272">
        <v>0</v>
      </c>
      <c r="Y567" s="272">
        <v>0</v>
      </c>
    </row>
    <row r="568" spans="1:25" x14ac:dyDescent="0.35">
      <c r="A568" s="277">
        <v>8787</v>
      </c>
      <c r="B568" s="280">
        <v>45044</v>
      </c>
      <c r="C568" s="259" t="s">
        <v>989</v>
      </c>
      <c r="D568" s="274" t="s">
        <v>973</v>
      </c>
      <c r="E568" s="275">
        <v>15.7</v>
      </c>
      <c r="F568" s="266">
        <v>0</v>
      </c>
      <c r="G568" s="275">
        <v>14.6</v>
      </c>
      <c r="H568" s="275">
        <v>1.9</v>
      </c>
      <c r="I568" s="275">
        <v>1.4</v>
      </c>
      <c r="J568" s="275">
        <v>0</v>
      </c>
      <c r="K568" s="275">
        <v>0</v>
      </c>
      <c r="L568" s="275">
        <v>0</v>
      </c>
      <c r="M568" s="275">
        <v>0</v>
      </c>
      <c r="N568" s="275">
        <v>1.7</v>
      </c>
      <c r="O568" s="275">
        <v>0</v>
      </c>
      <c r="P568" s="275">
        <v>1508.3</v>
      </c>
      <c r="Q568" s="275">
        <v>507.9</v>
      </c>
      <c r="R568" s="275">
        <v>1275.9000000000001</v>
      </c>
      <c r="S568" s="275">
        <v>2570</v>
      </c>
      <c r="T568" s="275" t="s">
        <v>815</v>
      </c>
      <c r="U568" s="272">
        <v>44053</v>
      </c>
      <c r="V568" s="272">
        <v>10412</v>
      </c>
      <c r="W568" s="272">
        <v>122</v>
      </c>
      <c r="X568" s="272">
        <v>0</v>
      </c>
      <c r="Y568" s="272">
        <v>0</v>
      </c>
    </row>
    <row r="569" spans="1:25" x14ac:dyDescent="0.35">
      <c r="A569" s="279">
        <v>8788</v>
      </c>
      <c r="B569" s="280">
        <v>45044</v>
      </c>
      <c r="C569" s="266" t="s">
        <v>990</v>
      </c>
      <c r="D569" s="274" t="s">
        <v>970</v>
      </c>
      <c r="E569" s="275">
        <v>6.3</v>
      </c>
      <c r="F569" s="266">
        <v>0</v>
      </c>
      <c r="G569" s="275">
        <v>25.3</v>
      </c>
      <c r="H569" s="275">
        <v>1.7</v>
      </c>
      <c r="I569" s="275">
        <v>1.2</v>
      </c>
      <c r="J569" s="275">
        <v>0</v>
      </c>
      <c r="K569" s="275">
        <v>0.1</v>
      </c>
      <c r="L569" s="275">
        <v>0.1</v>
      </c>
      <c r="M569" s="275">
        <v>0</v>
      </c>
      <c r="N569" s="275">
        <v>0.3</v>
      </c>
      <c r="O569" s="275">
        <v>1</v>
      </c>
      <c r="P569" s="275">
        <v>1204.3</v>
      </c>
      <c r="Q569" s="275">
        <v>15.8</v>
      </c>
      <c r="R569" s="275">
        <v>1084.2</v>
      </c>
      <c r="S569" s="275">
        <v>3770.4</v>
      </c>
      <c r="T569" s="275" t="s">
        <v>809</v>
      </c>
      <c r="U569" s="281">
        <v>74642</v>
      </c>
      <c r="V569" s="281">
        <v>33036</v>
      </c>
      <c r="W569" s="281">
        <v>668</v>
      </c>
      <c r="X569" s="281">
        <v>2</v>
      </c>
      <c r="Y569" s="281">
        <v>0</v>
      </c>
    </row>
    <row r="570" spans="1:25" x14ac:dyDescent="0.35">
      <c r="A570" s="277">
        <v>9561</v>
      </c>
      <c r="B570" s="278">
        <v>45053</v>
      </c>
      <c r="C570" s="273" t="s">
        <v>162</v>
      </c>
      <c r="D570" s="273" t="s">
        <v>973</v>
      </c>
      <c r="E570" s="277">
        <v>15.5</v>
      </c>
      <c r="F570" s="266">
        <v>0</v>
      </c>
      <c r="G570" s="277">
        <v>6.2</v>
      </c>
      <c r="H570" s="277">
        <v>1.8</v>
      </c>
      <c r="I570" s="277">
        <v>1.4</v>
      </c>
      <c r="J570" s="277">
        <v>0</v>
      </c>
      <c r="K570" s="277">
        <v>0</v>
      </c>
      <c r="L570" s="277">
        <v>0</v>
      </c>
      <c r="M570" s="277">
        <v>0</v>
      </c>
      <c r="N570" s="277">
        <v>1.6</v>
      </c>
      <c r="O570" s="277">
        <v>0.8</v>
      </c>
      <c r="P570" s="277">
        <v>1475.5</v>
      </c>
      <c r="Q570" s="277">
        <v>502.1</v>
      </c>
      <c r="R570" s="277">
        <v>1260.7</v>
      </c>
      <c r="S570" s="277">
        <v>2481.9</v>
      </c>
      <c r="T570" s="277" t="s">
        <v>814</v>
      </c>
      <c r="U570" s="282">
        <v>29245</v>
      </c>
      <c r="V570" s="282">
        <v>6991</v>
      </c>
      <c r="W570" s="282">
        <v>154</v>
      </c>
      <c r="X570" s="282">
        <v>0</v>
      </c>
      <c r="Y570" s="282">
        <v>0</v>
      </c>
    </row>
    <row r="571" spans="1:25" x14ac:dyDescent="0.35">
      <c r="A571" s="277">
        <v>9562</v>
      </c>
      <c r="B571" s="278">
        <v>45053</v>
      </c>
      <c r="C571" s="273" t="s">
        <v>163</v>
      </c>
      <c r="D571" s="273" t="s">
        <v>973</v>
      </c>
      <c r="E571" s="277">
        <v>15.6</v>
      </c>
      <c r="F571" s="266">
        <v>0</v>
      </c>
      <c r="G571" s="277">
        <v>6.1</v>
      </c>
      <c r="H571" s="277">
        <v>1.8</v>
      </c>
      <c r="I571" s="277">
        <v>1.4</v>
      </c>
      <c r="J571" s="277">
        <v>0.1</v>
      </c>
      <c r="K571" s="277">
        <v>0.3</v>
      </c>
      <c r="L571" s="277">
        <v>0.1</v>
      </c>
      <c r="M571" s="277">
        <v>0</v>
      </c>
      <c r="N571" s="277">
        <v>1.6</v>
      </c>
      <c r="O571" s="277">
        <v>0.7</v>
      </c>
      <c r="P571" s="277">
        <v>1434.2</v>
      </c>
      <c r="Q571" s="277">
        <v>487.8</v>
      </c>
      <c r="R571" s="277">
        <v>1228.9000000000001</v>
      </c>
      <c r="S571" s="277">
        <v>2410.1999999999998</v>
      </c>
      <c r="T571" s="277" t="s">
        <v>794</v>
      </c>
      <c r="U571" s="282">
        <v>29285</v>
      </c>
      <c r="V571" s="282">
        <v>7245</v>
      </c>
      <c r="W571" s="282">
        <v>179</v>
      </c>
      <c r="X571" s="282">
        <v>0</v>
      </c>
      <c r="Y571" s="282">
        <v>0</v>
      </c>
    </row>
    <row r="572" spans="1:25" x14ac:dyDescent="0.35">
      <c r="A572" s="277">
        <v>9563</v>
      </c>
      <c r="B572" s="278">
        <v>45053</v>
      </c>
      <c r="C572" s="273" t="s">
        <v>164</v>
      </c>
      <c r="D572" s="273" t="s">
        <v>970</v>
      </c>
      <c r="E572" s="277">
        <v>6</v>
      </c>
      <c r="F572" s="266">
        <v>0</v>
      </c>
      <c r="G572" s="277">
        <v>13.4</v>
      </c>
      <c r="H572" s="277">
        <v>1.5</v>
      </c>
      <c r="I572" s="277">
        <v>1</v>
      </c>
      <c r="J572" s="277">
        <v>0</v>
      </c>
      <c r="K572" s="277">
        <v>0.1</v>
      </c>
      <c r="L572" s="277">
        <v>0</v>
      </c>
      <c r="M572" s="277">
        <v>0</v>
      </c>
      <c r="N572" s="277">
        <v>0.7</v>
      </c>
      <c r="O572" s="277">
        <v>0.1</v>
      </c>
      <c r="P572" s="277">
        <v>1095.2</v>
      </c>
      <c r="Q572" s="277">
        <v>11.3</v>
      </c>
      <c r="R572" s="277">
        <v>1018.6</v>
      </c>
      <c r="S572" s="277">
        <v>3456.1</v>
      </c>
      <c r="T572" s="277" t="s">
        <v>710</v>
      </c>
      <c r="U572" s="277">
        <v>65539</v>
      </c>
      <c r="V572" s="277">
        <v>31697</v>
      </c>
      <c r="W572" s="277">
        <v>620</v>
      </c>
      <c r="X572" s="277">
        <v>0</v>
      </c>
      <c r="Y572" s="277">
        <v>0</v>
      </c>
    </row>
    <row r="573" spans="1:25" x14ac:dyDescent="0.35">
      <c r="A573" s="277">
        <v>9564</v>
      </c>
      <c r="B573" s="278">
        <v>45054</v>
      </c>
      <c r="C573" s="273" t="s">
        <v>989</v>
      </c>
      <c r="D573" s="273" t="s">
        <v>973</v>
      </c>
      <c r="E573" s="277">
        <v>15.6</v>
      </c>
      <c r="F573" s="266">
        <v>0</v>
      </c>
      <c r="G573" s="277">
        <v>6.1</v>
      </c>
      <c r="H573" s="277">
        <v>1.7</v>
      </c>
      <c r="I573" s="277">
        <v>1.6</v>
      </c>
      <c r="J573" s="277">
        <v>0</v>
      </c>
      <c r="K573" s="277">
        <v>0.1</v>
      </c>
      <c r="L573" s="277">
        <v>0</v>
      </c>
      <c r="M573" s="277">
        <v>0</v>
      </c>
      <c r="N573" s="277">
        <v>1.6</v>
      </c>
      <c r="O573" s="277">
        <v>1</v>
      </c>
      <c r="P573" s="277">
        <v>1426.4</v>
      </c>
      <c r="Q573" s="277">
        <v>487.4</v>
      </c>
      <c r="R573" s="277">
        <v>1229.5999999999999</v>
      </c>
      <c r="S573" s="277">
        <v>2405.4</v>
      </c>
      <c r="T573" s="277" t="s">
        <v>814</v>
      </c>
      <c r="U573" s="277">
        <v>22981</v>
      </c>
      <c r="V573" s="277">
        <v>5118</v>
      </c>
      <c r="W573" s="277">
        <v>105</v>
      </c>
      <c r="X573" s="277">
        <v>18</v>
      </c>
      <c r="Y573" s="277">
        <v>15</v>
      </c>
    </row>
    <row r="574" spans="1:25" x14ac:dyDescent="0.35">
      <c r="A574" s="277">
        <v>9565</v>
      </c>
      <c r="B574" s="278">
        <v>45054</v>
      </c>
      <c r="C574" s="273" t="s">
        <v>171</v>
      </c>
      <c r="D574" s="273" t="s">
        <v>973</v>
      </c>
      <c r="E574" s="277">
        <v>15.5</v>
      </c>
      <c r="F574" s="266">
        <v>0</v>
      </c>
      <c r="G574" s="277">
        <v>5.8</v>
      </c>
      <c r="H574" s="277">
        <v>1.7</v>
      </c>
      <c r="I574" s="277">
        <v>1.5</v>
      </c>
      <c r="J574" s="277">
        <v>0</v>
      </c>
      <c r="K574" s="277">
        <v>0.2</v>
      </c>
      <c r="L574" s="277">
        <v>0</v>
      </c>
      <c r="M574" s="277">
        <v>0</v>
      </c>
      <c r="N574" s="277">
        <v>1.5</v>
      </c>
      <c r="O574" s="277">
        <v>1.2</v>
      </c>
      <c r="P574" s="277">
        <v>1463.2</v>
      </c>
      <c r="Q574" s="277">
        <v>489.8</v>
      </c>
      <c r="R574" s="277">
        <v>1236.8</v>
      </c>
      <c r="S574" s="277">
        <v>2421</v>
      </c>
      <c r="T574" s="277" t="s">
        <v>814</v>
      </c>
      <c r="U574" s="277">
        <v>24720</v>
      </c>
      <c r="V574" s="277">
        <v>5331</v>
      </c>
      <c r="W574" s="277">
        <v>108</v>
      </c>
      <c r="X574" s="277">
        <v>0</v>
      </c>
      <c r="Y574" s="277">
        <v>0</v>
      </c>
    </row>
    <row r="575" spans="1:25" x14ac:dyDescent="0.35">
      <c r="A575" s="279">
        <v>9566</v>
      </c>
      <c r="B575" s="280">
        <v>45054</v>
      </c>
      <c r="C575" s="274" t="s">
        <v>990</v>
      </c>
      <c r="D575" s="274" t="s">
        <v>970</v>
      </c>
      <c r="E575" s="279">
        <v>6.2</v>
      </c>
      <c r="F575" s="266">
        <v>0</v>
      </c>
      <c r="G575" s="279">
        <v>15.1</v>
      </c>
      <c r="H575" s="279">
        <v>1.5</v>
      </c>
      <c r="I575" s="279">
        <v>1</v>
      </c>
      <c r="J575" s="279">
        <v>0</v>
      </c>
      <c r="K575" s="279">
        <v>0</v>
      </c>
      <c r="L575" s="279">
        <v>0.1</v>
      </c>
      <c r="M575" s="279">
        <v>0</v>
      </c>
      <c r="N575" s="279">
        <v>0.8</v>
      </c>
      <c r="O575" s="279">
        <v>0</v>
      </c>
      <c r="P575" s="279">
        <v>1162.9000000000001</v>
      </c>
      <c r="Q575" s="279">
        <v>12.2</v>
      </c>
      <c r="R575" s="279">
        <v>1071.8</v>
      </c>
      <c r="S575" s="279">
        <v>3615.6</v>
      </c>
      <c r="T575" s="279" t="s">
        <v>710</v>
      </c>
      <c r="U575" s="279">
        <v>79594</v>
      </c>
      <c r="V575" s="279">
        <v>35538</v>
      </c>
      <c r="W575" s="279">
        <v>615</v>
      </c>
      <c r="X575" s="279">
        <v>3</v>
      </c>
      <c r="Y575" s="279">
        <v>0</v>
      </c>
    </row>
    <row r="576" spans="1:25" x14ac:dyDescent="0.35">
      <c r="A576" s="277">
        <v>9950</v>
      </c>
      <c r="B576" s="278">
        <v>45059</v>
      </c>
      <c r="C576" s="277" t="s">
        <v>181</v>
      </c>
      <c r="D576" s="277" t="s">
        <v>970</v>
      </c>
      <c r="E576" s="277">
        <v>6</v>
      </c>
      <c r="F576" s="273">
        <v>0</v>
      </c>
      <c r="G576" s="277" t="s">
        <v>992</v>
      </c>
      <c r="H576" s="277" t="s">
        <v>993</v>
      </c>
      <c r="I576" s="277" t="s">
        <v>994</v>
      </c>
      <c r="J576" s="277" t="s">
        <v>995</v>
      </c>
      <c r="K576" s="277">
        <v>0</v>
      </c>
      <c r="L576" s="277" t="s">
        <v>276</v>
      </c>
      <c r="M576" s="277">
        <v>0</v>
      </c>
      <c r="N576" s="277" t="s">
        <v>996</v>
      </c>
      <c r="O576" s="277" t="s">
        <v>997</v>
      </c>
      <c r="P576" s="277" t="s">
        <v>998</v>
      </c>
      <c r="Q576" s="277" t="s">
        <v>999</v>
      </c>
      <c r="R576" s="277" t="s">
        <v>1000</v>
      </c>
      <c r="S576" s="277" t="s">
        <v>1001</v>
      </c>
      <c r="T576" s="277" t="s">
        <v>785</v>
      </c>
      <c r="U576" s="277">
        <v>142322</v>
      </c>
      <c r="V576" s="277">
        <v>52496</v>
      </c>
      <c r="W576" s="277">
        <v>1245</v>
      </c>
      <c r="X576" s="277">
        <v>6</v>
      </c>
      <c r="Y576" s="277">
        <v>0</v>
      </c>
    </row>
    <row r="577" spans="1:25" x14ac:dyDescent="0.35">
      <c r="A577" s="277">
        <v>9951</v>
      </c>
      <c r="B577" s="278">
        <v>45059</v>
      </c>
      <c r="C577" s="277" t="s">
        <v>182</v>
      </c>
      <c r="D577" s="277" t="s">
        <v>970</v>
      </c>
      <c r="E577" s="277">
        <v>6</v>
      </c>
      <c r="F577" s="273">
        <v>0</v>
      </c>
      <c r="G577" s="277" t="s">
        <v>1002</v>
      </c>
      <c r="H577" s="277" t="s">
        <v>1003</v>
      </c>
      <c r="I577" s="277">
        <v>1</v>
      </c>
      <c r="J577" s="277" t="s">
        <v>276</v>
      </c>
      <c r="K577" s="277">
        <v>0</v>
      </c>
      <c r="L577" s="277" t="s">
        <v>276</v>
      </c>
      <c r="M577" s="277">
        <v>0</v>
      </c>
      <c r="N577" s="277" t="s">
        <v>996</v>
      </c>
      <c r="O577" s="277" t="s">
        <v>1004</v>
      </c>
      <c r="P577" s="277" t="s">
        <v>1005</v>
      </c>
      <c r="Q577" s="277" t="s">
        <v>1006</v>
      </c>
      <c r="R577" s="277" t="s">
        <v>1007</v>
      </c>
      <c r="S577" s="277">
        <v>3499</v>
      </c>
      <c r="T577" s="277" t="s">
        <v>785</v>
      </c>
      <c r="U577" s="277">
        <v>137655</v>
      </c>
      <c r="V577" s="277">
        <v>51818</v>
      </c>
      <c r="W577" s="277">
        <v>1223</v>
      </c>
      <c r="X577" s="277">
        <v>8</v>
      </c>
      <c r="Y577" s="277">
        <v>0</v>
      </c>
    </row>
    <row r="578" spans="1:25" x14ac:dyDescent="0.35">
      <c r="A578" s="277">
        <v>9952</v>
      </c>
      <c r="B578" s="278">
        <v>45059</v>
      </c>
      <c r="C578" s="277" t="s">
        <v>183</v>
      </c>
      <c r="D578" s="277" t="s">
        <v>970</v>
      </c>
      <c r="E578" s="277">
        <v>6</v>
      </c>
      <c r="F578" s="273">
        <v>0</v>
      </c>
      <c r="G578" s="277" t="s">
        <v>1008</v>
      </c>
      <c r="H578" s="277" t="s">
        <v>1003</v>
      </c>
      <c r="I578" s="277" t="s">
        <v>1009</v>
      </c>
      <c r="J578" s="277" t="s">
        <v>276</v>
      </c>
      <c r="K578" s="277">
        <v>0</v>
      </c>
      <c r="L578" s="277">
        <v>0</v>
      </c>
      <c r="M578" s="277">
        <v>0</v>
      </c>
      <c r="N578" s="277" t="s">
        <v>996</v>
      </c>
      <c r="O578" s="277" t="s">
        <v>1010</v>
      </c>
      <c r="P578" s="277">
        <v>1040</v>
      </c>
      <c r="Q578" s="277" t="s">
        <v>1011</v>
      </c>
      <c r="R578" s="277" t="s">
        <v>1012</v>
      </c>
      <c r="S578" s="277">
        <v>3378</v>
      </c>
      <c r="T578" s="277" t="s">
        <v>785</v>
      </c>
      <c r="U578" s="277">
        <v>138723</v>
      </c>
      <c r="V578" s="277">
        <v>52618</v>
      </c>
      <c r="W578" s="277">
        <v>1209</v>
      </c>
      <c r="X578" s="277">
        <v>12</v>
      </c>
      <c r="Y578" s="277">
        <v>0</v>
      </c>
    </row>
    <row r="579" spans="1:25" x14ac:dyDescent="0.35">
      <c r="A579" s="277">
        <v>9953</v>
      </c>
      <c r="B579" s="278">
        <v>45060</v>
      </c>
      <c r="C579" s="277" t="s">
        <v>990</v>
      </c>
      <c r="D579" s="277" t="s">
        <v>970</v>
      </c>
      <c r="E579" s="277" t="s">
        <v>1013</v>
      </c>
      <c r="F579" s="273">
        <v>0</v>
      </c>
      <c r="G579" s="277" t="s">
        <v>1008</v>
      </c>
      <c r="H579" s="277" t="s">
        <v>997</v>
      </c>
      <c r="I579" s="277" t="s">
        <v>274</v>
      </c>
      <c r="J579" s="277">
        <v>0</v>
      </c>
      <c r="K579" s="277">
        <v>0</v>
      </c>
      <c r="L579" s="277">
        <v>0</v>
      </c>
      <c r="M579" s="277">
        <v>0</v>
      </c>
      <c r="N579" s="277">
        <v>1</v>
      </c>
      <c r="O579" s="277" t="s">
        <v>994</v>
      </c>
      <c r="P579" s="277" t="s">
        <v>1014</v>
      </c>
      <c r="Q579" s="277" t="s">
        <v>1015</v>
      </c>
      <c r="R579" s="277" t="s">
        <v>1016</v>
      </c>
      <c r="S579" s="277" t="s">
        <v>1017</v>
      </c>
      <c r="T579" s="277" t="s">
        <v>710</v>
      </c>
      <c r="U579" s="277">
        <v>69385</v>
      </c>
      <c r="V579" s="277">
        <v>33762</v>
      </c>
      <c r="W579" s="277">
        <v>525</v>
      </c>
      <c r="X579" s="277">
        <v>0</v>
      </c>
      <c r="Y579" s="277">
        <v>0</v>
      </c>
    </row>
    <row r="580" spans="1:25" x14ac:dyDescent="0.35">
      <c r="A580" s="279">
        <v>9954</v>
      </c>
      <c r="B580" s="280">
        <v>45060</v>
      </c>
      <c r="C580" s="279" t="s">
        <v>192</v>
      </c>
      <c r="D580" s="279" t="s">
        <v>970</v>
      </c>
      <c r="E580" s="279" t="s">
        <v>1013</v>
      </c>
      <c r="F580" s="274">
        <v>0</v>
      </c>
      <c r="G580" s="279" t="s">
        <v>1018</v>
      </c>
      <c r="H580" s="279" t="s">
        <v>1010</v>
      </c>
      <c r="I580" s="279" t="s">
        <v>1009</v>
      </c>
      <c r="J580" s="279">
        <v>0</v>
      </c>
      <c r="K580" s="279">
        <v>0</v>
      </c>
      <c r="L580" s="279" t="s">
        <v>276</v>
      </c>
      <c r="M580" s="279">
        <v>0</v>
      </c>
      <c r="N580" s="279" t="s">
        <v>996</v>
      </c>
      <c r="O580" s="279" t="s">
        <v>1010</v>
      </c>
      <c r="P580" s="279" t="s">
        <v>1019</v>
      </c>
      <c r="Q580" s="279" t="s">
        <v>1020</v>
      </c>
      <c r="R580" s="279" t="s">
        <v>1021</v>
      </c>
      <c r="S580" s="279" t="s">
        <v>1022</v>
      </c>
      <c r="T580" s="279" t="s">
        <v>718</v>
      </c>
      <c r="U580" s="279">
        <v>69942</v>
      </c>
      <c r="V580" s="279">
        <v>26086</v>
      </c>
      <c r="W580" s="279">
        <v>134</v>
      </c>
      <c r="X580" s="279">
        <v>2</v>
      </c>
      <c r="Y580" s="279">
        <v>0</v>
      </c>
    </row>
    <row r="581" spans="1:25" x14ac:dyDescent="0.35">
      <c r="A581" s="283">
        <v>10462</v>
      </c>
      <c r="B581" s="284">
        <v>45066</v>
      </c>
      <c r="C581" s="279" t="s">
        <v>181</v>
      </c>
      <c r="D581" s="274" t="s">
        <v>973</v>
      </c>
      <c r="E581" s="283">
        <v>15.5</v>
      </c>
      <c r="F581" s="266">
        <v>0</v>
      </c>
      <c r="G581" s="277" t="s">
        <v>1023</v>
      </c>
      <c r="H581" s="277" t="s">
        <v>1024</v>
      </c>
      <c r="I581" s="277" t="s">
        <v>997</v>
      </c>
      <c r="J581" s="277">
        <v>0</v>
      </c>
      <c r="K581" s="277" t="s">
        <v>276</v>
      </c>
      <c r="L581" s="277" t="s">
        <v>276</v>
      </c>
      <c r="M581" s="277">
        <v>0</v>
      </c>
      <c r="N581" s="277" t="s">
        <v>1025</v>
      </c>
      <c r="O581" s="277" t="s">
        <v>995</v>
      </c>
      <c r="P581" s="283" t="s">
        <v>1026</v>
      </c>
      <c r="Q581" s="283">
        <v>493</v>
      </c>
      <c r="R581" s="283" t="s">
        <v>1027</v>
      </c>
      <c r="S581" s="283" t="s">
        <v>1028</v>
      </c>
      <c r="T581" s="283" t="s">
        <v>815</v>
      </c>
      <c r="U581" s="277">
        <v>44417</v>
      </c>
      <c r="V581" s="277" t="s">
        <v>1029</v>
      </c>
      <c r="W581" s="277">
        <v>148</v>
      </c>
      <c r="X581" s="277">
        <v>0</v>
      </c>
      <c r="Y581" s="277">
        <v>0</v>
      </c>
    </row>
    <row r="582" spans="1:25" x14ac:dyDescent="0.35">
      <c r="A582" s="229">
        <v>10463</v>
      </c>
      <c r="B582" s="285">
        <v>45066</v>
      </c>
      <c r="C582" s="277" t="s">
        <v>182</v>
      </c>
      <c r="D582" s="273" t="s">
        <v>973</v>
      </c>
      <c r="E582" s="229">
        <v>15.5</v>
      </c>
      <c r="F582" s="266">
        <v>0</v>
      </c>
      <c r="G582" s="277" t="s">
        <v>1030</v>
      </c>
      <c r="H582" s="277" t="s">
        <v>1031</v>
      </c>
      <c r="I582" s="277" t="s">
        <v>997</v>
      </c>
      <c r="J582" s="277">
        <v>0</v>
      </c>
      <c r="K582" s="277" t="s">
        <v>267</v>
      </c>
      <c r="L582" s="277" t="s">
        <v>276</v>
      </c>
      <c r="M582" s="277">
        <v>0</v>
      </c>
      <c r="N582" s="277" t="s">
        <v>1024</v>
      </c>
      <c r="O582" s="277" t="s">
        <v>269</v>
      </c>
      <c r="P582" s="229" t="s">
        <v>1032</v>
      </c>
      <c r="Q582" s="229" t="s">
        <v>1033</v>
      </c>
      <c r="R582" s="229" t="s">
        <v>1034</v>
      </c>
      <c r="S582" s="229" t="s">
        <v>1035</v>
      </c>
      <c r="T582" s="229" t="s">
        <v>815</v>
      </c>
      <c r="U582" s="277">
        <v>44189</v>
      </c>
      <c r="V582" s="277">
        <v>10401</v>
      </c>
      <c r="W582" s="277">
        <v>126</v>
      </c>
      <c r="X582" s="277">
        <v>0</v>
      </c>
      <c r="Y582" s="277">
        <v>0</v>
      </c>
    </row>
    <row r="583" spans="1:25" x14ac:dyDescent="0.35">
      <c r="A583" s="229">
        <v>10464</v>
      </c>
      <c r="B583" s="285">
        <v>45066</v>
      </c>
      <c r="C583" s="277" t="s">
        <v>183</v>
      </c>
      <c r="D583" s="277" t="s">
        <v>970</v>
      </c>
      <c r="E583" s="229">
        <v>6</v>
      </c>
      <c r="F583" s="229">
        <v>0</v>
      </c>
      <c r="G583" s="286" t="s">
        <v>1036</v>
      </c>
      <c r="H583" s="286" t="s">
        <v>997</v>
      </c>
      <c r="I583" s="286">
        <v>1</v>
      </c>
      <c r="J583" s="286">
        <v>0</v>
      </c>
      <c r="K583" s="286" t="s">
        <v>276</v>
      </c>
      <c r="L583" s="286" t="s">
        <v>276</v>
      </c>
      <c r="M583" s="286">
        <v>0</v>
      </c>
      <c r="N583" s="286" t="s">
        <v>995</v>
      </c>
      <c r="O583" s="286" t="s">
        <v>994</v>
      </c>
      <c r="P583" s="229" t="s">
        <v>1037</v>
      </c>
      <c r="Q583" s="229" t="s">
        <v>1011</v>
      </c>
      <c r="R583" s="229" t="s">
        <v>1038</v>
      </c>
      <c r="S583" s="229" t="s">
        <v>1039</v>
      </c>
      <c r="T583" s="229" t="s">
        <v>710</v>
      </c>
      <c r="U583" s="277">
        <v>65014</v>
      </c>
      <c r="V583" s="277">
        <v>29954</v>
      </c>
      <c r="W583" s="277">
        <v>500</v>
      </c>
      <c r="X583" s="277">
        <v>0</v>
      </c>
      <c r="Y583" s="277">
        <v>0</v>
      </c>
    </row>
    <row r="584" spans="1:25" x14ac:dyDescent="0.35">
      <c r="A584" s="229">
        <v>10465</v>
      </c>
      <c r="B584" s="285">
        <v>45067</v>
      </c>
      <c r="C584" s="274" t="s">
        <v>989</v>
      </c>
      <c r="D584" s="274" t="s">
        <v>973</v>
      </c>
      <c r="E584" s="283">
        <v>15.6</v>
      </c>
      <c r="F584" s="266">
        <v>0</v>
      </c>
      <c r="G584" s="279" t="s">
        <v>1040</v>
      </c>
      <c r="H584" s="279" t="s">
        <v>1004</v>
      </c>
      <c r="I584" s="279" t="s">
        <v>997</v>
      </c>
      <c r="J584" s="279">
        <v>0</v>
      </c>
      <c r="K584" s="279" t="s">
        <v>269</v>
      </c>
      <c r="L584" s="279" t="s">
        <v>276</v>
      </c>
      <c r="M584" s="277">
        <v>0</v>
      </c>
      <c r="N584" s="277" t="s">
        <v>1004</v>
      </c>
      <c r="O584" s="277" t="s">
        <v>996</v>
      </c>
      <c r="P584" s="229" t="s">
        <v>1041</v>
      </c>
      <c r="Q584" s="229" t="s">
        <v>1042</v>
      </c>
      <c r="R584" s="229" t="s">
        <v>1043</v>
      </c>
      <c r="S584" s="229" t="s">
        <v>1044</v>
      </c>
      <c r="T584" s="229" t="s">
        <v>815</v>
      </c>
      <c r="U584" s="277">
        <v>53825</v>
      </c>
      <c r="V584" s="277">
        <v>11377</v>
      </c>
      <c r="W584" s="277">
        <v>114</v>
      </c>
      <c r="X584" s="277">
        <v>5</v>
      </c>
      <c r="Y584" s="277">
        <v>2</v>
      </c>
    </row>
    <row r="585" spans="1:25" x14ac:dyDescent="0.35">
      <c r="A585" s="283">
        <v>10466</v>
      </c>
      <c r="B585" s="287">
        <v>45067</v>
      </c>
      <c r="C585" s="273" t="s">
        <v>990</v>
      </c>
      <c r="D585" s="277" t="s">
        <v>970</v>
      </c>
      <c r="E585" s="229" t="s">
        <v>1013</v>
      </c>
      <c r="F585" s="229">
        <v>0</v>
      </c>
      <c r="G585" s="286" t="s">
        <v>1020</v>
      </c>
      <c r="H585" s="286" t="s">
        <v>1010</v>
      </c>
      <c r="I585" s="286" t="s">
        <v>1009</v>
      </c>
      <c r="J585" s="286">
        <v>0</v>
      </c>
      <c r="K585" s="286" t="s">
        <v>269</v>
      </c>
      <c r="L585" s="286" t="s">
        <v>276</v>
      </c>
      <c r="M585" s="288">
        <v>0</v>
      </c>
      <c r="N585" s="289" t="s">
        <v>995</v>
      </c>
      <c r="O585" s="289" t="s">
        <v>1010</v>
      </c>
      <c r="P585" s="283" t="s">
        <v>1045</v>
      </c>
      <c r="Q585" s="283">
        <v>11</v>
      </c>
      <c r="R585" s="283" t="s">
        <v>1046</v>
      </c>
      <c r="S585" s="283">
        <v>3468</v>
      </c>
      <c r="T585" s="283" t="s">
        <v>815</v>
      </c>
      <c r="U585" s="279">
        <v>43196</v>
      </c>
      <c r="V585" s="279">
        <v>10291</v>
      </c>
      <c r="W585" s="279">
        <v>80</v>
      </c>
      <c r="X585" s="279">
        <v>0</v>
      </c>
      <c r="Y585" s="279">
        <v>0</v>
      </c>
    </row>
    <row r="586" spans="1:25" x14ac:dyDescent="0.35">
      <c r="A586" s="229">
        <v>10574</v>
      </c>
      <c r="B586" s="287">
        <v>45067</v>
      </c>
      <c r="C586" s="229" t="s">
        <v>162</v>
      </c>
      <c r="D586" s="277" t="s">
        <v>970</v>
      </c>
      <c r="E586" s="228" t="s">
        <v>1047</v>
      </c>
      <c r="F586" s="229"/>
      <c r="G586" s="229" t="s">
        <v>1048</v>
      </c>
      <c r="H586" s="229" t="s">
        <v>1049</v>
      </c>
      <c r="I586" s="229" t="s">
        <v>1050</v>
      </c>
      <c r="J586" s="229" t="s">
        <v>276</v>
      </c>
      <c r="K586" s="229" t="s">
        <v>1051</v>
      </c>
      <c r="L586" s="229" t="s">
        <v>276</v>
      </c>
      <c r="M586" s="230" t="s">
        <v>268</v>
      </c>
      <c r="N586" s="229" t="s">
        <v>268</v>
      </c>
      <c r="O586" s="229" t="s">
        <v>1052</v>
      </c>
      <c r="P586" s="229" t="s">
        <v>1053</v>
      </c>
      <c r="Q586" s="229" t="s">
        <v>1006</v>
      </c>
      <c r="R586" s="283">
        <v>1008.7</v>
      </c>
      <c r="S586" s="229" t="s">
        <v>1054</v>
      </c>
      <c r="T586" s="229" t="s">
        <v>710</v>
      </c>
      <c r="U586" s="229" t="s">
        <v>1055</v>
      </c>
      <c r="V586" s="229" t="s">
        <v>1056</v>
      </c>
      <c r="W586" s="229" t="s">
        <v>1057</v>
      </c>
      <c r="X586" s="229">
        <v>0</v>
      </c>
      <c r="Y586" s="229">
        <v>0</v>
      </c>
    </row>
    <row r="587" spans="1:25" x14ac:dyDescent="0.35">
      <c r="A587" s="229">
        <v>10575</v>
      </c>
      <c r="B587" s="287">
        <v>45067</v>
      </c>
      <c r="C587" s="229" t="s">
        <v>163</v>
      </c>
      <c r="D587" s="273" t="s">
        <v>973</v>
      </c>
      <c r="E587" s="228" t="s">
        <v>1058</v>
      </c>
      <c r="F587" s="229"/>
      <c r="G587" s="229" t="s">
        <v>1059</v>
      </c>
      <c r="H587" s="229" t="s">
        <v>1025</v>
      </c>
      <c r="I587" s="229" t="s">
        <v>994</v>
      </c>
      <c r="J587" s="229" t="s">
        <v>268</v>
      </c>
      <c r="K587" s="229" t="s">
        <v>269</v>
      </c>
      <c r="L587" s="229" t="s">
        <v>276</v>
      </c>
      <c r="M587" s="230" t="s">
        <v>268</v>
      </c>
      <c r="N587" s="229" t="s">
        <v>997</v>
      </c>
      <c r="O587" s="229" t="s">
        <v>267</v>
      </c>
      <c r="P587" s="229" t="s">
        <v>1060</v>
      </c>
      <c r="Q587" s="229" t="s">
        <v>1061</v>
      </c>
      <c r="R587" s="229" t="s">
        <v>1062</v>
      </c>
      <c r="S587" s="229" t="s">
        <v>1063</v>
      </c>
      <c r="T587" s="229" t="s">
        <v>794</v>
      </c>
      <c r="U587" s="229" t="s">
        <v>1064</v>
      </c>
      <c r="V587" s="229" t="s">
        <v>1065</v>
      </c>
      <c r="W587" s="229" t="s">
        <v>1066</v>
      </c>
      <c r="X587" s="229">
        <v>0</v>
      </c>
      <c r="Y587" s="229">
        <v>0</v>
      </c>
    </row>
    <row r="588" spans="1:25" x14ac:dyDescent="0.35">
      <c r="A588" s="229">
        <v>10576</v>
      </c>
      <c r="B588" s="287">
        <v>45067</v>
      </c>
      <c r="C588" s="229" t="s">
        <v>164</v>
      </c>
      <c r="D588" s="228" t="s">
        <v>823</v>
      </c>
      <c r="E588" s="228" t="s">
        <v>275</v>
      </c>
      <c r="F588" s="229"/>
      <c r="G588" s="229" t="s">
        <v>270</v>
      </c>
      <c r="H588" s="229" t="s">
        <v>267</v>
      </c>
      <c r="I588" s="229" t="s">
        <v>268</v>
      </c>
      <c r="J588" s="229" t="s">
        <v>268</v>
      </c>
      <c r="K588" s="229" t="s">
        <v>269</v>
      </c>
      <c r="L588" s="229" t="s">
        <v>268</v>
      </c>
      <c r="M588" s="230" t="s">
        <v>268</v>
      </c>
      <c r="N588" s="229" t="s">
        <v>268</v>
      </c>
      <c r="O588" s="229" t="s">
        <v>268</v>
      </c>
      <c r="P588" s="229" t="s">
        <v>272</v>
      </c>
      <c r="Q588" s="229" t="s">
        <v>274</v>
      </c>
      <c r="R588" s="229" t="s">
        <v>271</v>
      </c>
      <c r="S588" s="229" t="s">
        <v>273</v>
      </c>
      <c r="T588" s="229" t="s">
        <v>788</v>
      </c>
      <c r="U588" s="229" t="s">
        <v>1067</v>
      </c>
      <c r="V588" s="229" t="s">
        <v>1068</v>
      </c>
      <c r="W588" s="229" t="s">
        <v>1069</v>
      </c>
      <c r="X588" s="229" t="s">
        <v>1070</v>
      </c>
      <c r="Y588" s="229">
        <v>0</v>
      </c>
    </row>
    <row r="589" spans="1:25" x14ac:dyDescent="0.35">
      <c r="A589" s="229">
        <v>10577</v>
      </c>
      <c r="B589" s="290">
        <v>45068</v>
      </c>
      <c r="C589" s="273" t="s">
        <v>990</v>
      </c>
      <c r="D589" s="277" t="s">
        <v>970</v>
      </c>
      <c r="E589" s="228" t="s">
        <v>1071</v>
      </c>
      <c r="F589" s="229"/>
      <c r="G589" s="229" t="s">
        <v>1072</v>
      </c>
      <c r="H589" s="229" t="s">
        <v>997</v>
      </c>
      <c r="I589" s="229" t="s">
        <v>1073</v>
      </c>
      <c r="J589" s="229" t="s">
        <v>268</v>
      </c>
      <c r="K589" s="229" t="s">
        <v>268</v>
      </c>
      <c r="L589" s="229" t="s">
        <v>276</v>
      </c>
      <c r="M589" s="230" t="s">
        <v>268</v>
      </c>
      <c r="N589" s="229" t="s">
        <v>268</v>
      </c>
      <c r="O589" s="229" t="s">
        <v>274</v>
      </c>
      <c r="P589" s="229" t="s">
        <v>1074</v>
      </c>
      <c r="Q589" s="229" t="s">
        <v>1075</v>
      </c>
      <c r="R589" s="229" t="s">
        <v>1076</v>
      </c>
      <c r="S589" s="229" t="s">
        <v>1077</v>
      </c>
      <c r="T589" s="229" t="s">
        <v>809</v>
      </c>
      <c r="U589" s="229" t="s">
        <v>1078</v>
      </c>
      <c r="V589" s="229" t="s">
        <v>1079</v>
      </c>
      <c r="W589" s="229" t="s">
        <v>1080</v>
      </c>
      <c r="X589" s="229">
        <v>0</v>
      </c>
      <c r="Y589" s="229">
        <v>0</v>
      </c>
    </row>
    <row r="590" spans="1:25" x14ac:dyDescent="0.35">
      <c r="A590" s="229">
        <v>10578</v>
      </c>
      <c r="B590" s="290">
        <v>45068</v>
      </c>
      <c r="C590" s="259" t="s">
        <v>259</v>
      </c>
      <c r="D590" s="228" t="s">
        <v>823</v>
      </c>
      <c r="E590" s="228" t="s">
        <v>280</v>
      </c>
      <c r="F590" s="229"/>
      <c r="G590" s="229" t="s">
        <v>277</v>
      </c>
      <c r="H590" s="229" t="s">
        <v>276</v>
      </c>
      <c r="I590" s="229" t="s">
        <v>268</v>
      </c>
      <c r="J590" s="229" t="s">
        <v>268</v>
      </c>
      <c r="K590" s="229" t="s">
        <v>267</v>
      </c>
      <c r="L590" s="229" t="s">
        <v>268</v>
      </c>
      <c r="M590" s="230" t="s">
        <v>268</v>
      </c>
      <c r="N590" s="229" t="s">
        <v>268</v>
      </c>
      <c r="O590" s="229" t="s">
        <v>268</v>
      </c>
      <c r="P590" s="229" t="s">
        <v>279</v>
      </c>
      <c r="Q590" s="229" t="s">
        <v>269</v>
      </c>
      <c r="R590" s="229" t="s">
        <v>278</v>
      </c>
      <c r="S590" s="229" t="s">
        <v>273</v>
      </c>
      <c r="T590" s="229" t="s">
        <v>803</v>
      </c>
      <c r="U590" s="229" t="s">
        <v>1081</v>
      </c>
      <c r="V590" s="229" t="s">
        <v>1082</v>
      </c>
      <c r="W590" s="229" t="s">
        <v>1083</v>
      </c>
      <c r="X590" s="229">
        <v>0</v>
      </c>
      <c r="Y590" s="229">
        <v>0</v>
      </c>
    </row>
    <row r="591" spans="1:25" x14ac:dyDescent="0.35">
      <c r="A591" s="229">
        <v>10579</v>
      </c>
      <c r="B591" s="290">
        <v>45068</v>
      </c>
      <c r="C591" s="273" t="s">
        <v>171</v>
      </c>
      <c r="D591" s="273" t="s">
        <v>973</v>
      </c>
      <c r="E591" s="228" t="s">
        <v>1084</v>
      </c>
      <c r="F591" s="229"/>
      <c r="G591" s="229" t="s">
        <v>1085</v>
      </c>
      <c r="H591" s="229" t="s">
        <v>1024</v>
      </c>
      <c r="I591" s="229" t="s">
        <v>1010</v>
      </c>
      <c r="J591" s="229">
        <v>0</v>
      </c>
      <c r="K591" s="229">
        <v>0</v>
      </c>
      <c r="L591" s="229">
        <v>0</v>
      </c>
      <c r="M591" s="230">
        <v>0</v>
      </c>
      <c r="N591" s="229" t="s">
        <v>994</v>
      </c>
      <c r="O591" s="229" t="s">
        <v>995</v>
      </c>
      <c r="P591" s="229" t="s">
        <v>1086</v>
      </c>
      <c r="Q591" s="229" t="s">
        <v>1087</v>
      </c>
      <c r="R591" s="229" t="s">
        <v>1088</v>
      </c>
      <c r="S591" s="229" t="s">
        <v>1089</v>
      </c>
      <c r="T591" s="229" t="s">
        <v>821</v>
      </c>
      <c r="U591" s="229" t="s">
        <v>1090</v>
      </c>
      <c r="V591" s="229" t="s">
        <v>1091</v>
      </c>
      <c r="W591" s="229" t="s">
        <v>1092</v>
      </c>
      <c r="X591" s="229">
        <v>0</v>
      </c>
      <c r="Y591" s="229">
        <v>0</v>
      </c>
    </row>
  </sheetData>
  <protectedRanges>
    <protectedRange sqref="E1:G1" name="Range1_2"/>
    <protectedRange sqref="H1:S1" name="Range1_2_2"/>
    <protectedRange sqref="T1" name="Range1_2_6"/>
    <protectedRange sqref="U1:Y1" name="Range1_2_22"/>
    <protectedRange sqref="A176:A180 E58:G62 E63:E175 G63:G175 E13:E42 G13:G42 E2:G12 F63:F334" name="Range1_2_1"/>
    <protectedRange sqref="H58:S175 H2:S42" name="Range1_2_2_1"/>
    <protectedRange sqref="T58:T175 T2:T42" name="Range1_2_6_1"/>
    <protectedRange sqref="U58:Y175 U2:Y42" name="Range1_2_22_1"/>
    <protectedRange sqref="H210:H214 C210:C214" name="Range1_2_1_1"/>
  </protectedRanges>
  <autoFilter ref="A1:Y591" xr:uid="{00000000-0001-0000-0800-000000000000}"/>
  <dataValidations disablePrompts="1" count="4">
    <dataValidation type="list" allowBlank="1" showInputMessage="1" showErrorMessage="1" sqref="D352:D368 D388 D391 D402 D405" xr:uid="{00000000-0002-0000-0800-000000000000}">
      <formula1>$C$40:$C$48</formula1>
    </dataValidation>
    <dataValidation type="list" allowBlank="1" showInputMessage="1" showErrorMessage="1" sqref="C352:C368 C393:C395 C412:C414" xr:uid="{00000000-0002-0000-0800-000001000000}">
      <formula1>$B$40:$B$58</formula1>
    </dataValidation>
    <dataValidation type="list" allowBlank="1" showInputMessage="1" showErrorMessage="1" sqref="D43:D57" xr:uid="{00000000-0002-0000-0800-000002000000}">
      <formula1>$D$79:$D$87</formula1>
    </dataValidation>
    <dataValidation type="list" allowBlank="1" showInputMessage="1" showErrorMessage="1" sqref="C43:C57" xr:uid="{00000000-0002-0000-0800-000003000000}">
      <formula1>$C$79:$C$97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>
    <tabColor rgb="FFFF0000"/>
  </sheetPr>
  <dimension ref="A1:AJ7"/>
  <sheetViews>
    <sheetView showGridLines="0" zoomScale="70" zoomScaleNormal="70" workbookViewId="0">
      <selection activeCell="M28" sqref="M28"/>
    </sheetView>
  </sheetViews>
  <sheetFormatPr baseColWidth="10" defaultColWidth="11.453125" defaultRowHeight="14.5" x14ac:dyDescent="0.35"/>
  <cols>
    <col min="1" max="1" width="7.453125" bestFit="1" customWidth="1"/>
    <col min="2" max="2" width="13" bestFit="1" customWidth="1"/>
    <col min="4" max="4" width="7.453125" bestFit="1" customWidth="1"/>
    <col min="5" max="5" width="13" bestFit="1" customWidth="1"/>
    <col min="7" max="16" width="10.7265625" customWidth="1"/>
    <col min="18" max="18" width="10.7265625" customWidth="1"/>
    <col min="20" max="20" width="10.7265625" customWidth="1"/>
    <col min="22" max="26" width="10.7265625" customWidth="1"/>
    <col min="28" max="36" width="10.7265625" customWidth="1"/>
  </cols>
  <sheetData>
    <row r="1" spans="1:36" ht="15" thickBot="1" x14ac:dyDescent="0.4">
      <c r="D1" s="42"/>
      <c r="E1" s="43"/>
      <c r="F1" s="43"/>
      <c r="G1" s="43"/>
      <c r="H1" s="43"/>
      <c r="I1" s="43"/>
      <c r="J1" s="43"/>
      <c r="K1" s="44" t="s">
        <v>712</v>
      </c>
      <c r="L1" s="44" t="s">
        <v>712</v>
      </c>
      <c r="M1" s="44" t="s">
        <v>712</v>
      </c>
      <c r="N1" s="44" t="s">
        <v>712</v>
      </c>
      <c r="O1" s="44" t="s">
        <v>712</v>
      </c>
      <c r="P1" s="44" t="s">
        <v>712</v>
      </c>
      <c r="Q1" s="44" t="s">
        <v>712</v>
      </c>
      <c r="R1" s="44" t="s">
        <v>712</v>
      </c>
      <c r="S1" s="67" t="s">
        <v>729</v>
      </c>
      <c r="T1" s="44"/>
      <c r="U1" s="44" t="s">
        <v>712</v>
      </c>
      <c r="V1" s="44" t="s">
        <v>712</v>
      </c>
      <c r="W1" s="44" t="s">
        <v>712</v>
      </c>
      <c r="X1" s="44" t="s">
        <v>712</v>
      </c>
      <c r="Y1" s="44" t="s">
        <v>712</v>
      </c>
      <c r="Z1" s="44" t="s">
        <v>712</v>
      </c>
      <c r="AA1" s="44" t="s">
        <v>712</v>
      </c>
      <c r="AB1" s="44" t="s">
        <v>712</v>
      </c>
      <c r="AC1" s="44" t="s">
        <v>712</v>
      </c>
      <c r="AD1" s="44" t="s">
        <v>712</v>
      </c>
      <c r="AE1" s="44" t="s">
        <v>712</v>
      </c>
      <c r="AF1" s="44" t="s">
        <v>712</v>
      </c>
      <c r="AG1" s="44" t="s">
        <v>712</v>
      </c>
      <c r="AH1" s="44" t="s">
        <v>712</v>
      </c>
      <c r="AI1" s="44" t="s">
        <v>712</v>
      </c>
      <c r="AJ1" s="44" t="s">
        <v>712</v>
      </c>
    </row>
    <row r="2" spans="1:36" ht="39.5" thickBot="1" x14ac:dyDescent="0.4">
      <c r="D2" s="70" t="s">
        <v>826</v>
      </c>
      <c r="E2" s="70" t="s">
        <v>827</v>
      </c>
      <c r="F2" s="70" t="s">
        <v>828</v>
      </c>
      <c r="G2" s="70" t="s">
        <v>829</v>
      </c>
      <c r="H2" s="70" t="s">
        <v>512</v>
      </c>
      <c r="I2" s="70" t="s">
        <v>830</v>
      </c>
      <c r="J2" s="70" t="s">
        <v>831</v>
      </c>
      <c r="K2" s="45" t="s">
        <v>338</v>
      </c>
      <c r="L2" s="45" t="s">
        <v>341</v>
      </c>
      <c r="M2" s="45" t="s">
        <v>340</v>
      </c>
      <c r="N2" s="45" t="s">
        <v>342</v>
      </c>
      <c r="O2" s="45" t="s">
        <v>339</v>
      </c>
      <c r="P2" s="45" t="s">
        <v>343</v>
      </c>
      <c r="Q2" s="45" t="s">
        <v>346</v>
      </c>
      <c r="R2" s="45" t="s">
        <v>348</v>
      </c>
      <c r="S2" s="45" t="s">
        <v>832</v>
      </c>
      <c r="T2" s="45" t="s">
        <v>833</v>
      </c>
      <c r="U2" s="45" t="s">
        <v>347</v>
      </c>
      <c r="V2" s="45" t="s">
        <v>351</v>
      </c>
      <c r="W2" s="45" t="s">
        <v>349</v>
      </c>
      <c r="X2" s="45" t="s">
        <v>350</v>
      </c>
      <c r="Y2" s="45" t="s">
        <v>354</v>
      </c>
      <c r="Z2" s="45" t="s">
        <v>344</v>
      </c>
      <c r="AA2" s="45" t="s">
        <v>352</v>
      </c>
      <c r="AB2" s="45" t="s">
        <v>355</v>
      </c>
      <c r="AC2" s="45" t="s">
        <v>356</v>
      </c>
      <c r="AD2" s="45" t="s">
        <v>353</v>
      </c>
      <c r="AE2" s="45" t="s">
        <v>834</v>
      </c>
      <c r="AF2" s="45" t="s">
        <v>358</v>
      </c>
      <c r="AG2" s="45" t="s">
        <v>359</v>
      </c>
      <c r="AH2" s="45" t="s">
        <v>357</v>
      </c>
      <c r="AI2" s="45" t="s">
        <v>835</v>
      </c>
      <c r="AJ2" s="45" t="s">
        <v>345</v>
      </c>
    </row>
    <row r="3" spans="1:36" x14ac:dyDescent="0.35">
      <c r="D3" s="46" t="s">
        <v>320</v>
      </c>
      <c r="E3" s="406" t="s">
        <v>782</v>
      </c>
      <c r="F3" s="406">
        <v>2021</v>
      </c>
      <c r="G3" s="49"/>
      <c r="H3" s="49"/>
      <c r="I3" s="49"/>
      <c r="J3" s="49"/>
      <c r="K3" s="406">
        <v>0</v>
      </c>
      <c r="L3" s="406">
        <v>0</v>
      </c>
      <c r="M3" s="406">
        <v>0</v>
      </c>
      <c r="N3" s="406">
        <v>0</v>
      </c>
      <c r="O3" s="406">
        <v>0</v>
      </c>
      <c r="P3" s="406">
        <v>0.3</v>
      </c>
      <c r="Q3" s="406">
        <v>15.8</v>
      </c>
      <c r="R3" s="406">
        <v>0</v>
      </c>
      <c r="S3" s="406">
        <v>699</v>
      </c>
      <c r="T3" s="406">
        <v>2</v>
      </c>
      <c r="U3" s="406">
        <v>20.9</v>
      </c>
      <c r="V3" s="406">
        <v>0</v>
      </c>
      <c r="W3" s="406">
        <v>0</v>
      </c>
      <c r="X3" s="406">
        <v>0</v>
      </c>
      <c r="Y3" s="406">
        <v>0</v>
      </c>
      <c r="Z3" s="406">
        <v>0</v>
      </c>
      <c r="AA3" s="406">
        <v>235</v>
      </c>
      <c r="AB3" s="406">
        <v>0</v>
      </c>
      <c r="AC3" s="406">
        <v>0</v>
      </c>
      <c r="AD3" s="406">
        <v>0</v>
      </c>
      <c r="AE3" s="406">
        <v>0</v>
      </c>
      <c r="AF3" s="406">
        <v>0</v>
      </c>
      <c r="AG3" s="406">
        <v>0</v>
      </c>
      <c r="AH3" s="406">
        <v>0</v>
      </c>
      <c r="AI3" s="406">
        <v>0</v>
      </c>
      <c r="AJ3" s="406">
        <v>0</v>
      </c>
    </row>
    <row r="4" spans="1:36" ht="15" thickBot="1" x14ac:dyDescent="0.4">
      <c r="D4" s="47" t="s">
        <v>836</v>
      </c>
      <c r="E4" s="407"/>
      <c r="F4" s="407"/>
      <c r="G4" s="50"/>
      <c r="H4" s="50"/>
      <c r="I4" s="50"/>
      <c r="J4" s="50"/>
      <c r="K4" s="407"/>
      <c r="L4" s="407"/>
      <c r="M4" s="407"/>
      <c r="N4" s="407"/>
      <c r="O4" s="407"/>
      <c r="P4" s="407"/>
      <c r="Q4" s="407"/>
      <c r="R4" s="407"/>
      <c r="S4" s="407"/>
      <c r="T4" s="407"/>
      <c r="U4" s="407"/>
      <c r="V4" s="407"/>
      <c r="W4" s="407"/>
      <c r="X4" s="407"/>
      <c r="Y4" s="407"/>
      <c r="Z4" s="407"/>
      <c r="AA4" s="407"/>
      <c r="AB4" s="407"/>
      <c r="AC4" s="407"/>
      <c r="AD4" s="407"/>
      <c r="AE4" s="407"/>
      <c r="AF4" s="407"/>
      <c r="AG4" s="407"/>
      <c r="AH4" s="407"/>
      <c r="AI4" s="407"/>
      <c r="AJ4" s="407"/>
    </row>
    <row r="5" spans="1:36" ht="15" thickBot="1" x14ac:dyDescent="0.4">
      <c r="A5" s="65"/>
      <c r="B5" s="65"/>
      <c r="C5" s="65"/>
      <c r="D5" s="65"/>
      <c r="E5" s="65"/>
      <c r="F5" s="65"/>
      <c r="G5" s="65"/>
      <c r="H5" s="65"/>
      <c r="I5" s="66"/>
      <c r="J5" s="66"/>
      <c r="K5" s="67" t="s">
        <v>712</v>
      </c>
      <c r="L5" s="67" t="s">
        <v>712</v>
      </c>
      <c r="M5" s="67" t="s">
        <v>712</v>
      </c>
      <c r="N5" s="67" t="s">
        <v>712</v>
      </c>
      <c r="O5" s="67" t="s">
        <v>712</v>
      </c>
      <c r="P5" s="67" t="s">
        <v>712</v>
      </c>
      <c r="Q5" s="67" t="s">
        <v>712</v>
      </c>
      <c r="R5" s="67" t="s">
        <v>712</v>
      </c>
      <c r="S5" s="67" t="s">
        <v>729</v>
      </c>
      <c r="T5" s="67"/>
      <c r="U5" s="67" t="s">
        <v>712</v>
      </c>
      <c r="V5" s="67" t="s">
        <v>712</v>
      </c>
      <c r="W5" s="67" t="s">
        <v>712</v>
      </c>
      <c r="X5" s="67" t="s">
        <v>712</v>
      </c>
      <c r="Y5" s="67" t="s">
        <v>712</v>
      </c>
      <c r="Z5" s="67" t="s">
        <v>712</v>
      </c>
      <c r="AA5" s="67" t="s">
        <v>712</v>
      </c>
      <c r="AB5" s="67" t="s">
        <v>712</v>
      </c>
      <c r="AC5" s="67" t="s">
        <v>712</v>
      </c>
      <c r="AD5" s="67" t="s">
        <v>712</v>
      </c>
      <c r="AE5" s="67" t="s">
        <v>712</v>
      </c>
      <c r="AF5" s="67" t="s">
        <v>712</v>
      </c>
      <c r="AG5" s="67" t="s">
        <v>712</v>
      </c>
      <c r="AH5" s="67" t="s">
        <v>712</v>
      </c>
      <c r="AI5" s="67" t="s">
        <v>712</v>
      </c>
      <c r="AJ5" s="67" t="s">
        <v>712</v>
      </c>
    </row>
    <row r="6" spans="1:36" ht="39.5" thickBot="1" x14ac:dyDescent="0.4">
      <c r="A6" s="68" t="s">
        <v>837</v>
      </c>
      <c r="B6" s="69" t="s">
        <v>838</v>
      </c>
      <c r="C6" s="69" t="s">
        <v>839</v>
      </c>
      <c r="D6" s="70" t="s">
        <v>826</v>
      </c>
      <c r="E6" s="70" t="s">
        <v>827</v>
      </c>
      <c r="F6" s="70" t="s">
        <v>828</v>
      </c>
      <c r="G6" s="70" t="s">
        <v>829</v>
      </c>
      <c r="H6" s="70" t="s">
        <v>512</v>
      </c>
      <c r="I6" s="70" t="s">
        <v>830</v>
      </c>
      <c r="J6" s="70" t="s">
        <v>831</v>
      </c>
      <c r="K6" s="71" t="s">
        <v>338</v>
      </c>
      <c r="L6" s="71" t="s">
        <v>341</v>
      </c>
      <c r="M6" s="71" t="s">
        <v>340</v>
      </c>
      <c r="N6" s="71" t="s">
        <v>342</v>
      </c>
      <c r="O6" s="71" t="s">
        <v>339</v>
      </c>
      <c r="P6" s="71" t="s">
        <v>343</v>
      </c>
      <c r="Q6" s="71" t="s">
        <v>346</v>
      </c>
      <c r="R6" s="71" t="s">
        <v>348</v>
      </c>
      <c r="S6" s="72" t="s">
        <v>832</v>
      </c>
      <c r="T6" s="72" t="s">
        <v>833</v>
      </c>
      <c r="U6" s="71" t="s">
        <v>347</v>
      </c>
      <c r="V6" s="71" t="s">
        <v>351</v>
      </c>
      <c r="W6" s="71" t="s">
        <v>349</v>
      </c>
      <c r="X6" s="71" t="s">
        <v>350</v>
      </c>
      <c r="Y6" s="71" t="s">
        <v>354</v>
      </c>
      <c r="Z6" s="71" t="s">
        <v>344</v>
      </c>
      <c r="AA6" s="71" t="s">
        <v>352</v>
      </c>
      <c r="AB6" s="71" t="s">
        <v>355</v>
      </c>
      <c r="AC6" s="71" t="s">
        <v>356</v>
      </c>
      <c r="AD6" s="71" t="s">
        <v>353</v>
      </c>
      <c r="AE6" s="71" t="s">
        <v>834</v>
      </c>
      <c r="AF6" s="71" t="s">
        <v>358</v>
      </c>
      <c r="AG6" s="71" t="s">
        <v>359</v>
      </c>
      <c r="AH6" s="71" t="s">
        <v>357</v>
      </c>
      <c r="AI6" s="71" t="s">
        <v>835</v>
      </c>
      <c r="AJ6" s="73" t="s">
        <v>345</v>
      </c>
    </row>
    <row r="7" spans="1:36" ht="26.5" thickBot="1" x14ac:dyDescent="0.4">
      <c r="A7" s="74">
        <v>328</v>
      </c>
      <c r="B7" s="75">
        <v>20220508</v>
      </c>
      <c r="C7" s="75">
        <v>90081</v>
      </c>
      <c r="D7" s="76" t="s">
        <v>840</v>
      </c>
      <c r="E7" s="76" t="s">
        <v>157</v>
      </c>
      <c r="F7" s="77">
        <v>44688</v>
      </c>
      <c r="G7" s="78" t="s">
        <v>841</v>
      </c>
      <c r="H7" s="78"/>
      <c r="I7" s="78"/>
      <c r="J7" s="78"/>
      <c r="K7" s="75">
        <v>0.8</v>
      </c>
      <c r="L7" s="75">
        <v>0.1</v>
      </c>
      <c r="M7" s="75">
        <v>0</v>
      </c>
      <c r="N7" s="75">
        <v>0</v>
      </c>
      <c r="O7" s="75">
        <v>0</v>
      </c>
      <c r="P7" s="75">
        <v>0</v>
      </c>
      <c r="Q7" s="75">
        <v>29.8</v>
      </c>
      <c r="R7" s="75">
        <v>0</v>
      </c>
      <c r="S7" s="75">
        <v>687.2</v>
      </c>
      <c r="T7" s="75">
        <v>6</v>
      </c>
      <c r="U7" s="75">
        <v>0.7</v>
      </c>
      <c r="V7" s="75">
        <v>0.1</v>
      </c>
      <c r="W7" s="75">
        <v>0</v>
      </c>
      <c r="X7" s="75">
        <v>0</v>
      </c>
      <c r="Y7" s="75">
        <v>0.4</v>
      </c>
      <c r="Z7" s="75">
        <v>0</v>
      </c>
      <c r="AA7" s="75">
        <v>476</v>
      </c>
      <c r="AB7" s="75">
        <v>0</v>
      </c>
      <c r="AC7" s="75">
        <v>0</v>
      </c>
      <c r="AD7" s="75">
        <v>0</v>
      </c>
      <c r="AE7" s="75">
        <v>0</v>
      </c>
      <c r="AF7" s="75">
        <v>0</v>
      </c>
      <c r="AG7" s="75">
        <v>0</v>
      </c>
      <c r="AH7" s="75">
        <v>1</v>
      </c>
      <c r="AI7" s="75">
        <v>0</v>
      </c>
      <c r="AJ7" s="75">
        <v>0</v>
      </c>
    </row>
  </sheetData>
  <mergeCells count="28">
    <mergeCell ref="AH3:AH4"/>
    <mergeCell ref="AI3:AI4"/>
    <mergeCell ref="AJ3:AJ4"/>
    <mergeCell ref="AB3:AB4"/>
    <mergeCell ref="AC3:AC4"/>
    <mergeCell ref="AD3:AD4"/>
    <mergeCell ref="AE3:AE4"/>
    <mergeCell ref="AF3:AF4"/>
    <mergeCell ref="AG3:AG4"/>
    <mergeCell ref="AA3:AA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O3:O4"/>
    <mergeCell ref="F3:F4"/>
    <mergeCell ref="E3:E4"/>
    <mergeCell ref="K3:K4"/>
    <mergeCell ref="L3:L4"/>
    <mergeCell ref="M3:M4"/>
    <mergeCell ref="N3:N4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A3F04-AFE9-4653-A20B-DA05A52D1ABE}">
  <sheetPr codeName="Hoja20">
    <tabColor rgb="FF00FFFF"/>
  </sheetPr>
  <dimension ref="A1:CH13"/>
  <sheetViews>
    <sheetView zoomScale="80" zoomScaleNormal="80" workbookViewId="0">
      <selection activeCell="B12" sqref="B12:CH13"/>
    </sheetView>
  </sheetViews>
  <sheetFormatPr baseColWidth="10" defaultRowHeight="14.5" x14ac:dyDescent="0.35"/>
  <sheetData>
    <row r="1" spans="1:86" ht="141.4" customHeight="1" x14ac:dyDescent="0.35">
      <c r="A1" s="4" t="s">
        <v>0</v>
      </c>
      <c r="B1" s="4" t="s">
        <v>1</v>
      </c>
      <c r="C1" s="4" t="s">
        <v>2</v>
      </c>
      <c r="D1" s="28" t="s">
        <v>3</v>
      </c>
      <c r="E1" s="29" t="s">
        <v>4</v>
      </c>
      <c r="F1" s="28" t="s">
        <v>5</v>
      </c>
      <c r="G1" s="29" t="s">
        <v>6</v>
      </c>
      <c r="H1" s="28" t="s">
        <v>7</v>
      </c>
      <c r="I1" s="29" t="s">
        <v>8</v>
      </c>
      <c r="J1" s="28" t="s">
        <v>9</v>
      </c>
      <c r="K1" s="29" t="s">
        <v>10</v>
      </c>
      <c r="L1" s="28" t="s">
        <v>11</v>
      </c>
      <c r="M1" s="29" t="s">
        <v>12</v>
      </c>
      <c r="N1" s="28" t="s">
        <v>13</v>
      </c>
      <c r="O1" s="29" t="s">
        <v>14</v>
      </c>
      <c r="P1" s="28" t="s">
        <v>15</v>
      </c>
      <c r="Q1" s="29" t="s">
        <v>16</v>
      </c>
      <c r="R1" s="28" t="s">
        <v>17</v>
      </c>
      <c r="S1" s="29" t="s">
        <v>18</v>
      </c>
      <c r="T1" s="28" t="s">
        <v>19</v>
      </c>
      <c r="U1" s="29" t="s">
        <v>20</v>
      </c>
      <c r="V1" s="28" t="s">
        <v>21</v>
      </c>
      <c r="W1" s="29" t="s">
        <v>22</v>
      </c>
      <c r="X1" s="28" t="s">
        <v>23</v>
      </c>
      <c r="Y1" s="29" t="s">
        <v>24</v>
      </c>
      <c r="Z1" s="28" t="s">
        <v>25</v>
      </c>
      <c r="AA1" s="29" t="s">
        <v>26</v>
      </c>
      <c r="AB1" s="28" t="s">
        <v>27</v>
      </c>
      <c r="AC1" s="29" t="s">
        <v>28</v>
      </c>
      <c r="AD1" s="28" t="s">
        <v>29</v>
      </c>
      <c r="AE1" s="29" t="s">
        <v>30</v>
      </c>
      <c r="AF1" s="28" t="s">
        <v>31</v>
      </c>
      <c r="AG1" s="29" t="s">
        <v>32</v>
      </c>
      <c r="AH1" s="28" t="s">
        <v>33</v>
      </c>
      <c r="AI1" s="29" t="s">
        <v>34</v>
      </c>
      <c r="AJ1" s="28" t="s">
        <v>35</v>
      </c>
      <c r="AK1" s="29" t="s">
        <v>36</v>
      </c>
      <c r="AL1" s="28" t="s">
        <v>37</v>
      </c>
      <c r="AM1" s="29" t="s">
        <v>38</v>
      </c>
      <c r="AN1" s="28" t="s">
        <v>39</v>
      </c>
      <c r="AO1" s="29" t="s">
        <v>40</v>
      </c>
      <c r="AP1" s="28" t="s">
        <v>41</v>
      </c>
      <c r="AQ1" s="29" t="s">
        <v>42</v>
      </c>
      <c r="AR1" s="28" t="s">
        <v>43</v>
      </c>
      <c r="AS1" s="29" t="s">
        <v>44</v>
      </c>
      <c r="AT1" s="28" t="s">
        <v>45</v>
      </c>
      <c r="AU1" s="29" t="s">
        <v>46</v>
      </c>
      <c r="AV1" s="28" t="s">
        <v>47</v>
      </c>
      <c r="AW1" s="29" t="s">
        <v>48</v>
      </c>
      <c r="AX1" s="28" t="s">
        <v>49</v>
      </c>
      <c r="AY1" s="29" t="s">
        <v>50</v>
      </c>
      <c r="AZ1" s="28" t="s">
        <v>51</v>
      </c>
      <c r="BA1" s="29" t="s">
        <v>52</v>
      </c>
      <c r="BB1" s="28" t="s">
        <v>53</v>
      </c>
      <c r="BC1" s="29" t="s">
        <v>54</v>
      </c>
      <c r="BD1" s="28" t="s">
        <v>55</v>
      </c>
      <c r="BE1" s="29" t="s">
        <v>56</v>
      </c>
      <c r="BF1" s="28" t="s">
        <v>57</v>
      </c>
      <c r="BG1" s="29" t="s">
        <v>58</v>
      </c>
      <c r="BH1" s="28" t="s">
        <v>59</v>
      </c>
      <c r="BI1" s="29" t="s">
        <v>60</v>
      </c>
      <c r="BJ1" s="28" t="s">
        <v>61</v>
      </c>
      <c r="BK1" s="29" t="s">
        <v>62</v>
      </c>
      <c r="BL1" s="28" t="s">
        <v>63</v>
      </c>
      <c r="BM1" s="29" t="s">
        <v>64</v>
      </c>
      <c r="BN1" s="28" t="s">
        <v>65</v>
      </c>
      <c r="BO1" s="29" t="s">
        <v>66</v>
      </c>
      <c r="BP1" s="4" t="s">
        <v>67</v>
      </c>
      <c r="BQ1" s="4" t="s">
        <v>68</v>
      </c>
      <c r="BR1" s="28" t="s">
        <v>69</v>
      </c>
      <c r="BS1" s="29" t="s">
        <v>70</v>
      </c>
      <c r="BT1" s="28" t="s">
        <v>71</v>
      </c>
      <c r="BU1" s="29" t="s">
        <v>72</v>
      </c>
    </row>
    <row r="2" spans="1:86" x14ac:dyDescent="0.35">
      <c r="A2" s="1" t="str">
        <f>CONCATENATE(B2,C2,BP2,BQ2)</f>
        <v>ANTAPACCAYMOTOR DE TRACCION RH980E5</v>
      </c>
      <c r="B2" s="3" t="s">
        <v>73</v>
      </c>
      <c r="C2" s="3" t="s">
        <v>74</v>
      </c>
      <c r="D2" s="5">
        <v>145</v>
      </c>
      <c r="E2" s="5">
        <v>165</v>
      </c>
      <c r="F2" s="5">
        <v>1</v>
      </c>
      <c r="G2" s="5">
        <v>2</v>
      </c>
      <c r="H2" s="5">
        <v>6</v>
      </c>
      <c r="I2" s="5">
        <v>10</v>
      </c>
      <c r="J2" s="5">
        <v>2</v>
      </c>
      <c r="K2" s="5">
        <v>3</v>
      </c>
      <c r="L2" s="104"/>
      <c r="M2" s="5"/>
      <c r="N2" s="5">
        <v>1</v>
      </c>
      <c r="O2" s="5">
        <v>2</v>
      </c>
      <c r="P2" s="5"/>
      <c r="Q2" s="5"/>
      <c r="R2" s="5">
        <v>21</v>
      </c>
      <c r="S2" s="5">
        <v>26</v>
      </c>
      <c r="T2" s="5">
        <v>1</v>
      </c>
      <c r="U2" s="5">
        <v>2</v>
      </c>
      <c r="V2" s="5"/>
      <c r="W2" s="5"/>
      <c r="X2" s="5"/>
      <c r="Y2" s="5"/>
      <c r="Z2" s="91">
        <v>280</v>
      </c>
      <c r="AA2" s="91">
        <v>240</v>
      </c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8"/>
      <c r="AO2" s="8">
        <v>70.099999999999994</v>
      </c>
      <c r="AP2" s="8"/>
      <c r="AQ2" s="8">
        <v>85.7</v>
      </c>
      <c r="AR2" s="5">
        <v>130</v>
      </c>
      <c r="AS2" s="5">
        <v>150</v>
      </c>
      <c r="AT2" s="1"/>
      <c r="AU2" s="1"/>
      <c r="AV2" s="1"/>
      <c r="AW2" s="1"/>
      <c r="AX2" s="1"/>
      <c r="AY2" s="1"/>
      <c r="AZ2" s="1"/>
      <c r="BA2" s="1"/>
      <c r="BB2" s="1"/>
      <c r="BC2" s="1"/>
      <c r="BD2" s="5"/>
      <c r="BE2" s="5"/>
      <c r="BF2" s="13"/>
      <c r="BG2" s="13"/>
      <c r="BH2" s="1">
        <v>19</v>
      </c>
      <c r="BI2" s="89">
        <v>20</v>
      </c>
      <c r="BJ2" s="89">
        <v>16</v>
      </c>
      <c r="BK2" s="89">
        <v>19</v>
      </c>
      <c r="BL2" s="13"/>
      <c r="BM2" s="13"/>
      <c r="BN2" s="13"/>
      <c r="BO2" s="13"/>
      <c r="BP2" s="1" t="s">
        <v>75</v>
      </c>
      <c r="BQ2" s="1">
        <v>5</v>
      </c>
      <c r="BR2" s="13"/>
      <c r="BS2" s="13"/>
      <c r="BT2" s="13"/>
      <c r="BU2" s="13"/>
    </row>
    <row r="3" spans="1:86" x14ac:dyDescent="0.35">
      <c r="A3" s="1" t="str">
        <f t="shared" ref="A3:A6" si="0">CONCATENATE(B3,C3,BP3,BQ3)</f>
        <v>ANTAPACCAYMOTOR DE TRACCION LH980E5</v>
      </c>
      <c r="B3" s="3" t="s">
        <v>73</v>
      </c>
      <c r="C3" s="3" t="s">
        <v>76</v>
      </c>
      <c r="D3" s="5">
        <v>145</v>
      </c>
      <c r="E3" s="5">
        <v>165</v>
      </c>
      <c r="F3" s="5">
        <v>1</v>
      </c>
      <c r="G3" s="5">
        <v>2</v>
      </c>
      <c r="H3" s="5">
        <v>6</v>
      </c>
      <c r="I3" s="5">
        <v>10</v>
      </c>
      <c r="J3" s="5">
        <v>2</v>
      </c>
      <c r="K3" s="5">
        <v>3</v>
      </c>
      <c r="L3" s="5"/>
      <c r="M3" s="5"/>
      <c r="N3" s="5">
        <v>1</v>
      </c>
      <c r="O3" s="5">
        <v>2</v>
      </c>
      <c r="P3" s="5"/>
      <c r="Q3" s="5"/>
      <c r="R3" s="5">
        <v>21</v>
      </c>
      <c r="S3" s="5">
        <v>26</v>
      </c>
      <c r="T3" s="5">
        <v>1</v>
      </c>
      <c r="U3" s="5">
        <v>2</v>
      </c>
      <c r="V3" s="5"/>
      <c r="W3" s="5"/>
      <c r="X3" s="5"/>
      <c r="Y3" s="5"/>
      <c r="Z3" s="91">
        <v>280</v>
      </c>
      <c r="AA3" s="91">
        <v>240</v>
      </c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8"/>
      <c r="AO3" s="8">
        <v>70.099999999999994</v>
      </c>
      <c r="AP3" s="8"/>
      <c r="AQ3" s="8">
        <v>85.7</v>
      </c>
      <c r="AR3" s="5">
        <v>130</v>
      </c>
      <c r="AS3" s="5">
        <v>150</v>
      </c>
      <c r="AT3" s="1"/>
      <c r="AU3" s="1"/>
      <c r="AV3" s="1"/>
      <c r="AW3" s="1"/>
      <c r="AX3" s="1"/>
      <c r="AY3" s="1"/>
      <c r="AZ3" s="1"/>
      <c r="BA3" s="1"/>
      <c r="BB3" s="1"/>
      <c r="BC3" s="1"/>
      <c r="BD3" s="5"/>
      <c r="BE3" s="5"/>
      <c r="BF3" s="13"/>
      <c r="BG3" s="13"/>
      <c r="BH3" s="1">
        <v>19</v>
      </c>
      <c r="BI3" s="89">
        <v>20</v>
      </c>
      <c r="BJ3" s="89">
        <v>16</v>
      </c>
      <c r="BK3" s="89">
        <v>19</v>
      </c>
      <c r="BL3" s="13"/>
      <c r="BM3" s="13"/>
      <c r="BN3" s="13"/>
      <c r="BO3" s="13"/>
      <c r="BP3" s="1" t="s">
        <v>75</v>
      </c>
      <c r="BQ3" s="1">
        <v>5</v>
      </c>
      <c r="BR3" s="13"/>
      <c r="BS3" s="13"/>
      <c r="BT3" s="13"/>
      <c r="BU3" s="13"/>
    </row>
    <row r="4" spans="1:86" x14ac:dyDescent="0.35">
      <c r="A4" s="1" t="str">
        <f t="shared" si="0"/>
        <v>ANTAPACCAYRUEDA DELANTERA RH980E5</v>
      </c>
      <c r="B4" s="3" t="s">
        <v>73</v>
      </c>
      <c r="C4" s="3" t="s">
        <v>77</v>
      </c>
      <c r="D4" s="5">
        <v>80</v>
      </c>
      <c r="E4" s="5">
        <v>140</v>
      </c>
      <c r="F4" s="5">
        <v>2</v>
      </c>
      <c r="G4" s="5">
        <v>3</v>
      </c>
      <c r="H4" s="5">
        <v>1</v>
      </c>
      <c r="I4" s="5">
        <v>2</v>
      </c>
      <c r="J4" s="5">
        <v>2</v>
      </c>
      <c r="K4" s="5">
        <v>3</v>
      </c>
      <c r="L4" s="5"/>
      <c r="M4" s="5"/>
      <c r="N4" s="5">
        <v>1</v>
      </c>
      <c r="O4" s="5">
        <v>2</v>
      </c>
      <c r="P4" s="5"/>
      <c r="Q4" s="5"/>
      <c r="R4" s="5">
        <v>9</v>
      </c>
      <c r="S4" s="5">
        <v>11</v>
      </c>
      <c r="T4" s="5">
        <v>4</v>
      </c>
      <c r="U4" s="5">
        <v>5</v>
      </c>
      <c r="V4" s="5"/>
      <c r="W4" s="5"/>
      <c r="X4" s="1">
        <v>788</v>
      </c>
      <c r="Y4" s="1">
        <v>591</v>
      </c>
      <c r="Z4" s="1">
        <v>316</v>
      </c>
      <c r="AA4" s="1">
        <v>237</v>
      </c>
      <c r="AB4" s="14"/>
      <c r="AC4" s="14"/>
      <c r="AD4" s="5"/>
      <c r="AE4" s="5"/>
      <c r="AF4" s="1">
        <v>1568</v>
      </c>
      <c r="AG4" s="1">
        <v>1176</v>
      </c>
      <c r="AH4" s="5">
        <v>14</v>
      </c>
      <c r="AI4" s="5">
        <v>10</v>
      </c>
      <c r="AJ4" s="5"/>
      <c r="AK4" s="5"/>
      <c r="AL4" s="5"/>
      <c r="AM4" s="5"/>
      <c r="AN4" s="8">
        <v>22.229999999999997</v>
      </c>
      <c r="AO4" s="8">
        <v>21.527999999999999</v>
      </c>
      <c r="AP4" s="8">
        <v>25.740000000000002</v>
      </c>
      <c r="AQ4" s="8">
        <v>26.909999999999997</v>
      </c>
      <c r="AR4" s="5">
        <v>35</v>
      </c>
      <c r="AS4" s="5">
        <v>50</v>
      </c>
      <c r="AT4" s="1"/>
      <c r="AU4" s="1"/>
      <c r="AV4" s="1"/>
      <c r="AW4" s="1"/>
      <c r="AX4" s="1"/>
      <c r="AY4" s="1"/>
      <c r="AZ4" s="1"/>
      <c r="BA4" s="1"/>
      <c r="BB4" s="1"/>
      <c r="BC4" s="1"/>
      <c r="BD4" s="5"/>
      <c r="BE4" s="5"/>
      <c r="BF4" s="1">
        <v>22</v>
      </c>
      <c r="BG4" s="1">
        <v>23</v>
      </c>
      <c r="BH4" s="1">
        <v>19</v>
      </c>
      <c r="BI4" s="89">
        <v>20</v>
      </c>
      <c r="BJ4" s="1">
        <v>16</v>
      </c>
      <c r="BK4" s="1">
        <v>17</v>
      </c>
      <c r="BL4" s="13"/>
      <c r="BM4" s="13"/>
      <c r="BN4" s="13"/>
      <c r="BO4" s="13"/>
      <c r="BP4" s="1" t="s">
        <v>75</v>
      </c>
      <c r="BQ4" s="1">
        <v>5</v>
      </c>
      <c r="BR4" s="13"/>
      <c r="BS4" s="13"/>
      <c r="BT4" s="13"/>
      <c r="BU4" s="13"/>
    </row>
    <row r="5" spans="1:86" x14ac:dyDescent="0.35">
      <c r="A5" s="1" t="str">
        <f t="shared" si="0"/>
        <v>ANTAPACCAYRUEDA DELANTERA LH980E5</v>
      </c>
      <c r="B5" s="3" t="s">
        <v>73</v>
      </c>
      <c r="C5" s="3" t="s">
        <v>78</v>
      </c>
      <c r="D5" s="5">
        <v>80</v>
      </c>
      <c r="E5" s="5">
        <v>140</v>
      </c>
      <c r="F5" s="5">
        <v>2</v>
      </c>
      <c r="G5" s="5">
        <v>3</v>
      </c>
      <c r="H5" s="5">
        <v>1</v>
      </c>
      <c r="I5" s="5">
        <v>2</v>
      </c>
      <c r="J5" s="5">
        <v>2</v>
      </c>
      <c r="K5" s="5">
        <v>3</v>
      </c>
      <c r="L5" s="5"/>
      <c r="M5" s="5"/>
      <c r="N5" s="5">
        <v>1</v>
      </c>
      <c r="O5" s="5">
        <v>2</v>
      </c>
      <c r="P5" s="5"/>
      <c r="Q5" s="5"/>
      <c r="R5" s="5">
        <v>9</v>
      </c>
      <c r="S5" s="5">
        <v>11</v>
      </c>
      <c r="T5" s="5">
        <v>4</v>
      </c>
      <c r="U5" s="5">
        <v>5</v>
      </c>
      <c r="V5" s="5"/>
      <c r="W5" s="5"/>
      <c r="X5" s="1">
        <v>788</v>
      </c>
      <c r="Y5" s="1">
        <v>591</v>
      </c>
      <c r="Z5" s="1">
        <v>316</v>
      </c>
      <c r="AA5" s="1">
        <v>237</v>
      </c>
      <c r="AB5" s="14"/>
      <c r="AC5" s="14"/>
      <c r="AD5" s="5"/>
      <c r="AE5" s="5"/>
      <c r="AF5" s="1">
        <v>1568</v>
      </c>
      <c r="AG5" s="1">
        <v>1176</v>
      </c>
      <c r="AH5" s="5">
        <v>14</v>
      </c>
      <c r="AI5" s="5">
        <v>10</v>
      </c>
      <c r="AJ5" s="5"/>
      <c r="AK5" s="5"/>
      <c r="AL5" s="5"/>
      <c r="AM5" s="5"/>
      <c r="AN5" s="8">
        <v>22.229999999999997</v>
      </c>
      <c r="AO5" s="8">
        <v>21.527999999999999</v>
      </c>
      <c r="AP5" s="8">
        <v>25.740000000000002</v>
      </c>
      <c r="AQ5" s="8">
        <v>26.909999999999997</v>
      </c>
      <c r="AR5" s="5">
        <v>35</v>
      </c>
      <c r="AS5" s="5">
        <v>50</v>
      </c>
      <c r="AT5" s="1"/>
      <c r="AU5" s="1"/>
      <c r="AV5" s="1"/>
      <c r="AW5" s="1"/>
      <c r="AX5" s="1"/>
      <c r="AY5" s="1"/>
      <c r="AZ5" s="1"/>
      <c r="BA5" s="1"/>
      <c r="BB5" s="1"/>
      <c r="BC5" s="1"/>
      <c r="BD5" s="5"/>
      <c r="BE5" s="5"/>
      <c r="BF5" s="1">
        <v>22</v>
      </c>
      <c r="BG5" s="1">
        <v>23</v>
      </c>
      <c r="BH5" s="1">
        <v>19</v>
      </c>
      <c r="BI5" s="89">
        <v>20</v>
      </c>
      <c r="BJ5" s="1">
        <v>16</v>
      </c>
      <c r="BK5" s="1">
        <v>17</v>
      </c>
      <c r="BL5" s="13"/>
      <c r="BM5" s="13"/>
      <c r="BN5" s="13"/>
      <c r="BO5" s="13"/>
      <c r="BP5" s="1" t="s">
        <v>75</v>
      </c>
      <c r="BQ5" s="1">
        <v>5</v>
      </c>
      <c r="BR5" s="13"/>
      <c r="BS5" s="13"/>
      <c r="BT5" s="13"/>
      <c r="BU5" s="13"/>
    </row>
    <row r="6" spans="1:86" x14ac:dyDescent="0.35">
      <c r="A6" s="1" t="str">
        <f t="shared" si="0"/>
        <v>ANTAPACCAYSISTEMA HIDRAULICO980E5</v>
      </c>
      <c r="B6" s="3" t="s">
        <v>73</v>
      </c>
      <c r="C6" s="3" t="s">
        <v>79</v>
      </c>
      <c r="D6" s="5">
        <v>6</v>
      </c>
      <c r="E6" s="5">
        <v>7</v>
      </c>
      <c r="F6" s="5">
        <v>5</v>
      </c>
      <c r="G6" s="5">
        <v>7</v>
      </c>
      <c r="H6" s="5">
        <v>2</v>
      </c>
      <c r="I6" s="5">
        <v>3</v>
      </c>
      <c r="J6" s="5">
        <v>3</v>
      </c>
      <c r="K6" s="5">
        <v>5</v>
      </c>
      <c r="L6" s="5"/>
      <c r="M6" s="5"/>
      <c r="N6" s="5">
        <v>1</v>
      </c>
      <c r="O6" s="5">
        <v>2</v>
      </c>
      <c r="P6" s="5"/>
      <c r="Q6" s="5"/>
      <c r="R6" s="5">
        <v>11</v>
      </c>
      <c r="S6" s="5">
        <v>13</v>
      </c>
      <c r="T6" s="5">
        <v>5</v>
      </c>
      <c r="U6" s="5">
        <v>6</v>
      </c>
      <c r="V6" s="5"/>
      <c r="W6" s="5"/>
      <c r="X6" s="5">
        <v>1184</v>
      </c>
      <c r="Y6" s="5">
        <v>888</v>
      </c>
      <c r="Z6" s="5">
        <v>729</v>
      </c>
      <c r="AA6" s="5">
        <v>547</v>
      </c>
      <c r="AB6" s="5"/>
      <c r="AC6" s="5"/>
      <c r="AD6" s="5"/>
      <c r="AE6" s="5"/>
      <c r="AF6" s="9">
        <v>2724</v>
      </c>
      <c r="AG6" s="9">
        <v>2045</v>
      </c>
      <c r="AH6" s="5">
        <v>10</v>
      </c>
      <c r="AI6" s="5">
        <v>8</v>
      </c>
      <c r="AJ6" s="5"/>
      <c r="AK6" s="5"/>
      <c r="AL6" s="5"/>
      <c r="AM6" s="5"/>
      <c r="AN6" s="8">
        <v>6.2</v>
      </c>
      <c r="AO6" s="8">
        <v>6</v>
      </c>
      <c r="AP6" s="8">
        <v>7.2</v>
      </c>
      <c r="AQ6" s="8">
        <v>7.5</v>
      </c>
      <c r="AR6" s="5"/>
      <c r="AS6" s="5"/>
      <c r="AT6" s="1"/>
      <c r="AU6" s="1"/>
      <c r="AV6" s="1"/>
      <c r="AW6" s="1"/>
      <c r="AX6" s="1"/>
      <c r="AY6" s="1"/>
      <c r="AZ6" s="1"/>
      <c r="BA6" s="1"/>
      <c r="BB6" s="1"/>
      <c r="BC6" s="1"/>
      <c r="BD6" s="5"/>
      <c r="BE6" s="5"/>
      <c r="BF6" s="1">
        <v>22</v>
      </c>
      <c r="BG6" s="1">
        <v>23</v>
      </c>
      <c r="BH6" s="1">
        <v>19</v>
      </c>
      <c r="BI6" s="89">
        <v>20</v>
      </c>
      <c r="BJ6" s="1">
        <v>16</v>
      </c>
      <c r="BK6" s="1">
        <v>17</v>
      </c>
      <c r="BL6" s="13"/>
      <c r="BM6" s="13"/>
      <c r="BN6" s="13"/>
      <c r="BO6" s="13"/>
      <c r="BP6" s="1" t="s">
        <v>75</v>
      </c>
      <c r="BQ6" s="1">
        <v>5</v>
      </c>
      <c r="BR6" s="13"/>
      <c r="BS6" s="13"/>
      <c r="BT6" s="13"/>
      <c r="BU6" s="13"/>
    </row>
    <row r="7" spans="1:86" ht="31.5" x14ac:dyDescent="0.35">
      <c r="B7" s="4" t="s">
        <v>1</v>
      </c>
      <c r="C7" s="4" t="s">
        <v>2</v>
      </c>
      <c r="D7" s="28" t="s">
        <v>3</v>
      </c>
      <c r="E7" s="29" t="s">
        <v>4</v>
      </c>
      <c r="F7" s="28" t="s">
        <v>5</v>
      </c>
      <c r="G7" s="29" t="s">
        <v>6</v>
      </c>
      <c r="H7" s="28" t="s">
        <v>7</v>
      </c>
      <c r="I7" s="29" t="s">
        <v>8</v>
      </c>
      <c r="J7" s="28" t="s">
        <v>9</v>
      </c>
      <c r="K7" s="29" t="s">
        <v>10</v>
      </c>
      <c r="L7" s="28" t="s">
        <v>11</v>
      </c>
      <c r="M7" s="29" t="s">
        <v>12</v>
      </c>
      <c r="N7" s="28" t="s">
        <v>13</v>
      </c>
      <c r="O7" s="29" t="s">
        <v>14</v>
      </c>
      <c r="P7" s="28" t="s">
        <v>15</v>
      </c>
      <c r="Q7" s="29" t="s">
        <v>16</v>
      </c>
      <c r="R7" s="28" t="s">
        <v>17</v>
      </c>
      <c r="S7" s="29" t="s">
        <v>18</v>
      </c>
      <c r="T7" s="28" t="s">
        <v>19</v>
      </c>
      <c r="U7" s="29" t="s">
        <v>20</v>
      </c>
      <c r="V7" s="28" t="s">
        <v>21</v>
      </c>
      <c r="W7" s="29" t="s">
        <v>22</v>
      </c>
      <c r="X7" s="28" t="s">
        <v>23</v>
      </c>
      <c r="Y7" s="29" t="s">
        <v>24</v>
      </c>
      <c r="Z7" s="28" t="s">
        <v>25</v>
      </c>
      <c r="AA7" s="29" t="s">
        <v>26</v>
      </c>
      <c r="AB7" s="28" t="s">
        <v>27</v>
      </c>
      <c r="AC7" s="29" t="s">
        <v>28</v>
      </c>
      <c r="AD7" s="28" t="s">
        <v>29</v>
      </c>
      <c r="AE7" s="29" t="s">
        <v>30</v>
      </c>
      <c r="AF7" s="28" t="s">
        <v>31</v>
      </c>
      <c r="AG7" s="29" t="s">
        <v>32</v>
      </c>
      <c r="AH7" s="28" t="s">
        <v>33</v>
      </c>
      <c r="AI7" s="29" t="s">
        <v>34</v>
      </c>
      <c r="AJ7" s="28" t="s">
        <v>35</v>
      </c>
      <c r="AK7" s="29" t="s">
        <v>36</v>
      </c>
      <c r="AL7" s="28" t="s">
        <v>37</v>
      </c>
      <c r="AM7" s="29" t="s">
        <v>38</v>
      </c>
      <c r="AN7" s="28" t="s">
        <v>39</v>
      </c>
      <c r="AO7" s="29" t="s">
        <v>40</v>
      </c>
      <c r="AP7" s="28" t="s">
        <v>41</v>
      </c>
      <c r="AQ7" s="29" t="s">
        <v>42</v>
      </c>
      <c r="AR7" s="28" t="s">
        <v>43</v>
      </c>
      <c r="AS7" s="29" t="s">
        <v>44</v>
      </c>
      <c r="AT7" s="28" t="s">
        <v>45</v>
      </c>
      <c r="AU7" s="29" t="s">
        <v>46</v>
      </c>
      <c r="AV7" s="28" t="s">
        <v>47</v>
      </c>
      <c r="AW7" s="29" t="s">
        <v>48</v>
      </c>
      <c r="AX7" s="28" t="s">
        <v>49</v>
      </c>
      <c r="AY7" s="29" t="s">
        <v>50</v>
      </c>
      <c r="AZ7" s="28" t="s">
        <v>51</v>
      </c>
      <c r="BA7" s="29" t="s">
        <v>52</v>
      </c>
      <c r="BB7" s="28" t="s">
        <v>53</v>
      </c>
      <c r="BC7" s="29" t="s">
        <v>54</v>
      </c>
      <c r="BD7" s="28" t="s">
        <v>55</v>
      </c>
      <c r="BE7" s="29" t="s">
        <v>56</v>
      </c>
      <c r="BF7" s="28" t="s">
        <v>57</v>
      </c>
      <c r="BG7" s="29" t="s">
        <v>58</v>
      </c>
      <c r="BH7" s="28" t="s">
        <v>59</v>
      </c>
      <c r="BI7" s="29" t="s">
        <v>60</v>
      </c>
      <c r="BJ7" s="28" t="s">
        <v>61</v>
      </c>
      <c r="BK7" s="29" t="s">
        <v>62</v>
      </c>
      <c r="BL7" s="28" t="s">
        <v>63</v>
      </c>
      <c r="BM7" s="29" t="s">
        <v>64</v>
      </c>
      <c r="BN7" s="28" t="s">
        <v>65</v>
      </c>
      <c r="BO7" s="29" t="s">
        <v>66</v>
      </c>
      <c r="BP7" s="4" t="s">
        <v>67</v>
      </c>
      <c r="BQ7" s="4" t="s">
        <v>68</v>
      </c>
      <c r="BR7" s="28" t="s">
        <v>69</v>
      </c>
      <c r="BS7" s="29" t="s">
        <v>70</v>
      </c>
      <c r="BT7" s="28" t="s">
        <v>71</v>
      </c>
      <c r="BU7" s="29" t="s">
        <v>72</v>
      </c>
    </row>
    <row r="8" spans="1:86" x14ac:dyDescent="0.35">
      <c r="B8" s="3" t="s">
        <v>81</v>
      </c>
      <c r="C8" s="3" t="s">
        <v>80</v>
      </c>
      <c r="D8" s="8">
        <v>11.6</v>
      </c>
      <c r="E8" s="8">
        <v>13.4</v>
      </c>
      <c r="F8" s="8">
        <v>1.8</v>
      </c>
      <c r="G8" s="8">
        <v>2.4</v>
      </c>
      <c r="H8" s="8">
        <v>3.8</v>
      </c>
      <c r="I8" s="8">
        <v>4.7</v>
      </c>
      <c r="J8" s="8">
        <v>2.4</v>
      </c>
      <c r="K8" s="8">
        <v>3.3</v>
      </c>
      <c r="L8" s="8"/>
      <c r="M8" s="8"/>
      <c r="N8" s="8">
        <v>0.5</v>
      </c>
      <c r="O8" s="8">
        <v>0.8</v>
      </c>
      <c r="P8" s="8"/>
      <c r="Q8" s="8"/>
      <c r="R8" s="8">
        <v>5.9</v>
      </c>
      <c r="S8" s="8">
        <v>7.3</v>
      </c>
      <c r="T8" s="8">
        <v>4.5999999999999996</v>
      </c>
      <c r="U8" s="8">
        <v>5.5</v>
      </c>
      <c r="V8" s="8">
        <v>2.6</v>
      </c>
      <c r="W8" s="8">
        <v>3.1</v>
      </c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>
        <v>13.6</v>
      </c>
      <c r="AO8" s="8">
        <v>13.1</v>
      </c>
      <c r="AP8" s="8">
        <v>15.4</v>
      </c>
      <c r="AQ8" s="8">
        <v>15.9</v>
      </c>
      <c r="AR8" s="8">
        <v>6.8</v>
      </c>
      <c r="AS8" s="8">
        <v>8.1999999999999993</v>
      </c>
      <c r="AT8" s="8">
        <v>20.399999999999999</v>
      </c>
      <c r="AU8" s="8">
        <v>21.6</v>
      </c>
      <c r="AV8" s="8">
        <v>22.7</v>
      </c>
      <c r="AW8" s="8">
        <v>24.4</v>
      </c>
      <c r="AX8" s="8">
        <v>10.9</v>
      </c>
      <c r="AY8" s="8">
        <v>11.6</v>
      </c>
      <c r="AZ8" s="8">
        <v>8.6999999999999993</v>
      </c>
      <c r="BA8" s="8">
        <v>8.4</v>
      </c>
      <c r="BB8" s="8">
        <v>11.8</v>
      </c>
      <c r="BC8" s="8">
        <v>13.7</v>
      </c>
      <c r="BD8" s="8"/>
      <c r="BE8" s="8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" t="s">
        <v>75</v>
      </c>
      <c r="BQ8" s="1">
        <v>5</v>
      </c>
      <c r="BR8" s="13"/>
      <c r="BS8" s="13"/>
      <c r="BT8" s="13"/>
      <c r="BU8" s="13"/>
    </row>
    <row r="9" spans="1:86" ht="31.5" x14ac:dyDescent="0.35">
      <c r="B9" s="4" t="s">
        <v>1</v>
      </c>
      <c r="C9" s="4" t="s">
        <v>2</v>
      </c>
      <c r="D9" s="28" t="s">
        <v>3</v>
      </c>
      <c r="E9" s="29" t="s">
        <v>4</v>
      </c>
      <c r="F9" s="28" t="s">
        <v>5</v>
      </c>
      <c r="G9" s="29" t="s">
        <v>6</v>
      </c>
      <c r="H9" s="28" t="s">
        <v>7</v>
      </c>
      <c r="I9" s="29" t="s">
        <v>8</v>
      </c>
      <c r="J9" s="28" t="s">
        <v>9</v>
      </c>
      <c r="K9" s="29" t="s">
        <v>10</v>
      </c>
      <c r="L9" s="28" t="s">
        <v>11</v>
      </c>
      <c r="M9" s="29" t="s">
        <v>12</v>
      </c>
      <c r="N9" s="28" t="s">
        <v>13</v>
      </c>
      <c r="O9" s="29" t="s">
        <v>14</v>
      </c>
      <c r="P9" s="28" t="s">
        <v>15</v>
      </c>
      <c r="Q9" s="29" t="s">
        <v>16</v>
      </c>
      <c r="R9" s="28" t="s">
        <v>17</v>
      </c>
      <c r="S9" s="29" t="s">
        <v>18</v>
      </c>
      <c r="T9" s="28" t="s">
        <v>19</v>
      </c>
      <c r="U9" s="29" t="s">
        <v>20</v>
      </c>
      <c r="V9" s="28" t="s">
        <v>21</v>
      </c>
      <c r="W9" s="29" t="s">
        <v>22</v>
      </c>
      <c r="X9" s="28" t="s">
        <v>23</v>
      </c>
      <c r="Y9" s="29" t="s">
        <v>24</v>
      </c>
      <c r="Z9" s="28" t="s">
        <v>25</v>
      </c>
      <c r="AA9" s="29" t="s">
        <v>26</v>
      </c>
      <c r="AB9" s="28" t="s">
        <v>27</v>
      </c>
      <c r="AC9" s="29" t="s">
        <v>28</v>
      </c>
      <c r="AD9" s="28" t="s">
        <v>29</v>
      </c>
      <c r="AE9" s="29" t="s">
        <v>30</v>
      </c>
      <c r="AF9" s="28" t="s">
        <v>31</v>
      </c>
      <c r="AG9" s="29" t="s">
        <v>32</v>
      </c>
      <c r="AH9" s="28" t="s">
        <v>33</v>
      </c>
      <c r="AI9" s="29" t="s">
        <v>34</v>
      </c>
      <c r="AJ9" s="28" t="s">
        <v>35</v>
      </c>
      <c r="AK9" s="29" t="s">
        <v>36</v>
      </c>
      <c r="AL9" s="28" t="s">
        <v>37</v>
      </c>
      <c r="AM9" s="29" t="s">
        <v>38</v>
      </c>
      <c r="AN9" s="28" t="s">
        <v>39</v>
      </c>
      <c r="AO9" s="29" t="s">
        <v>40</v>
      </c>
      <c r="AP9" s="28" t="s">
        <v>41</v>
      </c>
      <c r="AQ9" s="29" t="s">
        <v>42</v>
      </c>
      <c r="AR9" s="28" t="s">
        <v>43</v>
      </c>
      <c r="AS9" s="29" t="s">
        <v>44</v>
      </c>
      <c r="AT9" s="28" t="s">
        <v>45</v>
      </c>
      <c r="AU9" s="29" t="s">
        <v>46</v>
      </c>
      <c r="AV9" s="28" t="s">
        <v>47</v>
      </c>
      <c r="AW9" s="29" t="s">
        <v>48</v>
      </c>
      <c r="AX9" s="28" t="s">
        <v>49</v>
      </c>
      <c r="AY9" s="29" t="s">
        <v>50</v>
      </c>
      <c r="AZ9" s="28" t="s">
        <v>51</v>
      </c>
      <c r="BA9" s="29" t="s">
        <v>52</v>
      </c>
      <c r="BB9" s="28" t="s">
        <v>53</v>
      </c>
      <c r="BC9" s="29" t="s">
        <v>54</v>
      </c>
      <c r="BD9" s="28" t="s">
        <v>55</v>
      </c>
      <c r="BE9" s="29" t="s">
        <v>56</v>
      </c>
      <c r="BF9" s="28" t="s">
        <v>57</v>
      </c>
      <c r="BG9" s="29" t="s">
        <v>58</v>
      </c>
      <c r="BH9" s="28" t="s">
        <v>59</v>
      </c>
      <c r="BI9" s="29" t="s">
        <v>60</v>
      </c>
      <c r="BJ9" s="28" t="s">
        <v>61</v>
      </c>
      <c r="BK9" s="29" t="s">
        <v>62</v>
      </c>
      <c r="BL9" s="28" t="s">
        <v>63</v>
      </c>
      <c r="BM9" s="29" t="s">
        <v>64</v>
      </c>
      <c r="BN9" s="28" t="s">
        <v>65</v>
      </c>
      <c r="BO9" s="29" t="s">
        <v>66</v>
      </c>
      <c r="BP9" s="4" t="s">
        <v>67</v>
      </c>
    </row>
    <row r="10" spans="1:86" x14ac:dyDescent="0.35">
      <c r="B10" s="3" t="s">
        <v>81</v>
      </c>
      <c r="C10" s="3" t="s">
        <v>80</v>
      </c>
      <c r="D10" s="8">
        <v>12</v>
      </c>
      <c r="E10" s="8">
        <v>14</v>
      </c>
      <c r="F10" s="8">
        <v>1.8</v>
      </c>
      <c r="G10" s="8">
        <v>2.5</v>
      </c>
      <c r="H10" s="8">
        <v>3.8</v>
      </c>
      <c r="I10" s="8">
        <v>4.7</v>
      </c>
      <c r="J10" s="8">
        <v>3</v>
      </c>
      <c r="K10" s="8">
        <v>4.5</v>
      </c>
      <c r="L10" s="8"/>
      <c r="M10" s="8"/>
      <c r="N10" s="8">
        <v>0.5</v>
      </c>
      <c r="O10" s="8">
        <v>0.8</v>
      </c>
      <c r="P10" s="8"/>
      <c r="Q10" s="8"/>
      <c r="R10" s="8">
        <v>7</v>
      </c>
      <c r="S10" s="8">
        <v>8.5</v>
      </c>
      <c r="T10" s="8">
        <v>5</v>
      </c>
      <c r="U10" s="8">
        <v>7</v>
      </c>
      <c r="V10" s="8">
        <v>2.5</v>
      </c>
      <c r="W10" s="8">
        <v>3.5</v>
      </c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>
        <v>13.5</v>
      </c>
      <c r="AO10" s="8">
        <v>13</v>
      </c>
      <c r="AP10" s="8">
        <v>16</v>
      </c>
      <c r="AQ10" s="8">
        <v>16.5</v>
      </c>
      <c r="AR10" s="8">
        <v>7</v>
      </c>
      <c r="AS10" s="8">
        <v>9</v>
      </c>
      <c r="AT10" s="8">
        <v>21</v>
      </c>
      <c r="AU10" s="8">
        <v>23</v>
      </c>
      <c r="AV10" s="8">
        <v>24</v>
      </c>
      <c r="AW10" s="8">
        <v>26</v>
      </c>
      <c r="AX10" s="8">
        <v>10</v>
      </c>
      <c r="AY10" s="8">
        <v>12</v>
      </c>
      <c r="AZ10" s="8">
        <v>8.6999999999999993</v>
      </c>
      <c r="BA10" s="8">
        <v>8.4</v>
      </c>
      <c r="BB10" s="8">
        <v>11.5</v>
      </c>
      <c r="BC10" s="8">
        <v>13.5</v>
      </c>
      <c r="BD10" s="8">
        <v>45</v>
      </c>
      <c r="BE10" s="8">
        <v>50</v>
      </c>
      <c r="BF10" s="13"/>
      <c r="BG10" s="13"/>
      <c r="BH10" s="13"/>
      <c r="BI10" s="13"/>
      <c r="BJ10" s="13"/>
      <c r="BK10" s="13"/>
      <c r="BL10" s="13">
        <v>0.5</v>
      </c>
      <c r="BM10" s="13">
        <v>1</v>
      </c>
      <c r="BN10" s="13"/>
      <c r="BO10" s="13"/>
      <c r="BP10" s="1" t="s">
        <v>75</v>
      </c>
    </row>
    <row r="12" spans="1:86" ht="31.5" x14ac:dyDescent="0.35">
      <c r="B12" s="4" t="s">
        <v>0</v>
      </c>
      <c r="C12" s="4" t="s">
        <v>1</v>
      </c>
      <c r="D12" s="4" t="s">
        <v>2</v>
      </c>
      <c r="E12" s="28" t="s">
        <v>3</v>
      </c>
      <c r="F12" s="29" t="s">
        <v>4</v>
      </c>
      <c r="G12" s="28" t="s">
        <v>5</v>
      </c>
      <c r="H12" s="29" t="s">
        <v>6</v>
      </c>
      <c r="I12" s="28" t="s">
        <v>7</v>
      </c>
      <c r="J12" s="29" t="s">
        <v>8</v>
      </c>
      <c r="K12" s="28" t="s">
        <v>9</v>
      </c>
      <c r="L12" s="29" t="s">
        <v>10</v>
      </c>
      <c r="M12" s="28" t="s">
        <v>11</v>
      </c>
      <c r="N12" s="29" t="s">
        <v>12</v>
      </c>
      <c r="O12" s="28" t="s">
        <v>13</v>
      </c>
      <c r="P12" s="29" t="s">
        <v>14</v>
      </c>
      <c r="Q12" s="28" t="s">
        <v>15</v>
      </c>
      <c r="R12" s="29" t="s">
        <v>16</v>
      </c>
      <c r="S12" s="28" t="s">
        <v>17</v>
      </c>
      <c r="T12" s="29" t="s">
        <v>18</v>
      </c>
      <c r="U12" s="28" t="s">
        <v>19</v>
      </c>
      <c r="V12" s="29" t="s">
        <v>20</v>
      </c>
      <c r="W12" s="28" t="s">
        <v>21</v>
      </c>
      <c r="X12" s="29" t="s">
        <v>22</v>
      </c>
      <c r="Y12" s="28" t="s">
        <v>23</v>
      </c>
      <c r="Z12" s="29" t="s">
        <v>24</v>
      </c>
      <c r="AA12" s="28" t="s">
        <v>25</v>
      </c>
      <c r="AB12" s="29" t="s">
        <v>26</v>
      </c>
      <c r="AC12" s="28" t="s">
        <v>27</v>
      </c>
      <c r="AD12" s="29" t="s">
        <v>28</v>
      </c>
      <c r="AE12" s="28" t="s">
        <v>29</v>
      </c>
      <c r="AF12" s="29" t="s">
        <v>30</v>
      </c>
      <c r="AG12" s="28" t="s">
        <v>31</v>
      </c>
      <c r="AH12" s="29" t="s">
        <v>32</v>
      </c>
      <c r="AI12" s="28" t="s">
        <v>33</v>
      </c>
      <c r="AJ12" s="29" t="s">
        <v>34</v>
      </c>
      <c r="AK12" s="28" t="s">
        <v>35</v>
      </c>
      <c r="AL12" s="29" t="s">
        <v>36</v>
      </c>
      <c r="AM12" s="28" t="s">
        <v>37</v>
      </c>
      <c r="AN12" s="29" t="s">
        <v>38</v>
      </c>
      <c r="AO12" s="28" t="s">
        <v>39</v>
      </c>
      <c r="AP12" s="29" t="s">
        <v>40</v>
      </c>
      <c r="AQ12" s="28" t="s">
        <v>41</v>
      </c>
      <c r="AR12" s="29" t="s">
        <v>42</v>
      </c>
      <c r="AS12" s="28" t="s">
        <v>43</v>
      </c>
      <c r="AT12" s="29" t="s">
        <v>44</v>
      </c>
      <c r="AU12" s="28" t="s">
        <v>45</v>
      </c>
      <c r="AV12" s="29" t="s">
        <v>46</v>
      </c>
      <c r="AW12" s="28" t="s">
        <v>47</v>
      </c>
      <c r="AX12" s="29" t="s">
        <v>48</v>
      </c>
      <c r="AY12" s="28" t="s">
        <v>49</v>
      </c>
      <c r="AZ12" s="29" t="s">
        <v>50</v>
      </c>
      <c r="BA12" s="28" t="s">
        <v>51</v>
      </c>
      <c r="BB12" s="29" t="s">
        <v>52</v>
      </c>
      <c r="BC12" s="28" t="s">
        <v>53</v>
      </c>
      <c r="BD12" s="29" t="s">
        <v>54</v>
      </c>
      <c r="BE12" s="28" t="s">
        <v>55</v>
      </c>
      <c r="BF12" s="29" t="s">
        <v>56</v>
      </c>
      <c r="BG12" s="28" t="s">
        <v>57</v>
      </c>
      <c r="BH12" s="29" t="s">
        <v>58</v>
      </c>
      <c r="BI12" s="28" t="s">
        <v>59</v>
      </c>
      <c r="BJ12" s="29" t="s">
        <v>60</v>
      </c>
      <c r="BK12" s="28" t="s">
        <v>61</v>
      </c>
      <c r="BL12" s="29" t="s">
        <v>62</v>
      </c>
      <c r="BM12" s="28" t="s">
        <v>63</v>
      </c>
      <c r="BN12" s="29" t="s">
        <v>64</v>
      </c>
      <c r="BO12" s="28" t="s">
        <v>65</v>
      </c>
      <c r="BP12" s="29" t="s">
        <v>66</v>
      </c>
      <c r="BQ12" s="4" t="s">
        <v>67</v>
      </c>
      <c r="BR12" s="4" t="s">
        <v>68</v>
      </c>
      <c r="BS12" s="28" t="s">
        <v>69</v>
      </c>
      <c r="BT12" s="29" t="s">
        <v>70</v>
      </c>
      <c r="BU12" s="28" t="s">
        <v>71</v>
      </c>
      <c r="BV12" s="374" t="s">
        <v>72</v>
      </c>
      <c r="BW12" s="28" t="s">
        <v>1294</v>
      </c>
      <c r="BX12" s="29" t="s">
        <v>1295</v>
      </c>
      <c r="BY12" s="28" t="s">
        <v>1296</v>
      </c>
      <c r="BZ12" s="29" t="s">
        <v>1297</v>
      </c>
      <c r="CA12" s="375" t="s">
        <v>1299</v>
      </c>
      <c r="CB12" s="376" t="s">
        <v>1300</v>
      </c>
      <c r="CC12" s="375" t="s">
        <v>1304</v>
      </c>
      <c r="CD12" s="376" t="s">
        <v>1305</v>
      </c>
      <c r="CE12" s="375" t="s">
        <v>1306</v>
      </c>
      <c r="CF12" s="376" t="s">
        <v>1307</v>
      </c>
      <c r="CG12" s="375" t="s">
        <v>1308</v>
      </c>
      <c r="CH12" s="376" t="s">
        <v>1309</v>
      </c>
    </row>
    <row r="13" spans="1:86" x14ac:dyDescent="0.35">
      <c r="B13" s="1" t="s">
        <v>1414</v>
      </c>
      <c r="C13" s="3" t="s">
        <v>73</v>
      </c>
      <c r="D13" s="3" t="s">
        <v>80</v>
      </c>
      <c r="E13" s="8">
        <v>13</v>
      </c>
      <c r="F13" s="8">
        <v>15</v>
      </c>
      <c r="G13" s="8">
        <v>2</v>
      </c>
      <c r="H13" s="8">
        <v>3</v>
      </c>
      <c r="I13" s="8">
        <v>3</v>
      </c>
      <c r="J13" s="8">
        <v>3.5</v>
      </c>
      <c r="K13" s="8">
        <v>3</v>
      </c>
      <c r="L13" s="8">
        <v>3.5</v>
      </c>
      <c r="M13" s="8"/>
      <c r="N13" s="8"/>
      <c r="O13" s="8">
        <v>2</v>
      </c>
      <c r="P13" s="8">
        <v>3</v>
      </c>
      <c r="Q13" s="8"/>
      <c r="R13" s="8"/>
      <c r="S13" s="8">
        <v>7</v>
      </c>
      <c r="T13" s="8">
        <v>10</v>
      </c>
      <c r="U13" s="8">
        <v>5</v>
      </c>
      <c r="V13" s="8">
        <v>7</v>
      </c>
      <c r="W13" s="8">
        <v>2</v>
      </c>
      <c r="X13" s="8">
        <v>3</v>
      </c>
      <c r="Y13" s="8"/>
      <c r="Z13" s="8"/>
      <c r="AA13" s="8"/>
      <c r="AB13" s="8"/>
      <c r="AC13" s="8">
        <v>38</v>
      </c>
      <c r="AD13" s="8">
        <v>25</v>
      </c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>
        <v>13.5</v>
      </c>
      <c r="AP13" s="8">
        <v>13</v>
      </c>
      <c r="AQ13" s="8">
        <v>16</v>
      </c>
      <c r="AR13" s="8">
        <v>16.5</v>
      </c>
      <c r="AS13" s="8"/>
      <c r="AT13" s="8"/>
      <c r="AU13" s="8">
        <v>6</v>
      </c>
      <c r="AV13" s="8">
        <v>8</v>
      </c>
      <c r="AW13" s="8">
        <v>3</v>
      </c>
      <c r="AX13" s="8">
        <v>4.5</v>
      </c>
      <c r="AY13" s="8">
        <v>7</v>
      </c>
      <c r="AZ13" s="8">
        <v>9</v>
      </c>
      <c r="BA13" s="8">
        <v>7.5</v>
      </c>
      <c r="BB13" s="8">
        <v>6.5</v>
      </c>
      <c r="BC13" s="8">
        <v>0.3</v>
      </c>
      <c r="BD13" s="8">
        <v>0.5</v>
      </c>
      <c r="BE13" s="8">
        <v>45</v>
      </c>
      <c r="BF13" s="8">
        <v>40</v>
      </c>
      <c r="BG13" s="13"/>
      <c r="BH13" s="13"/>
      <c r="BI13" s="13"/>
      <c r="BJ13" s="13"/>
      <c r="BK13" s="13"/>
      <c r="BL13" s="13"/>
      <c r="BM13" s="1">
        <v>0.3</v>
      </c>
      <c r="BN13" s="1">
        <v>0.4</v>
      </c>
      <c r="BO13" s="1">
        <v>0.2</v>
      </c>
      <c r="BP13" s="1">
        <v>0.3</v>
      </c>
      <c r="BQ13" s="1" t="s">
        <v>75</v>
      </c>
      <c r="BR13" s="1">
        <v>5</v>
      </c>
      <c r="BS13" s="13"/>
      <c r="BT13" s="13"/>
      <c r="BU13" s="13"/>
      <c r="BV13" s="207"/>
      <c r="BW13" s="1"/>
      <c r="BX13" s="1"/>
      <c r="BY13" s="13"/>
      <c r="BZ13" s="13"/>
      <c r="CA13" s="13"/>
      <c r="CB13" s="13"/>
      <c r="CC13" s="13"/>
      <c r="CD13" s="13"/>
      <c r="CE13" s="13"/>
      <c r="CF13" s="13"/>
      <c r="CG13" s="13"/>
      <c r="CH13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AEAF2-AD09-4518-982C-70938A212FF3}">
  <sheetPr codeName="Hoja19">
    <tabColor theme="1"/>
  </sheetPr>
  <dimension ref="B2:R31"/>
  <sheetViews>
    <sheetView showGridLines="0" zoomScale="85" zoomScaleNormal="85" workbookViewId="0">
      <selection activeCell="C16" sqref="C16"/>
    </sheetView>
  </sheetViews>
  <sheetFormatPr baseColWidth="10" defaultColWidth="10.81640625" defaultRowHeight="12.5" x14ac:dyDescent="0.25"/>
  <cols>
    <col min="1" max="1" width="5.26953125" style="347" customWidth="1"/>
    <col min="2" max="2" width="25.54296875" style="347" bestFit="1" customWidth="1"/>
    <col min="3" max="5" width="10.7265625" style="347" customWidth="1"/>
    <col min="6" max="6" width="3.7265625" style="347" customWidth="1"/>
    <col min="7" max="9" width="10.7265625" style="347" customWidth="1"/>
    <col min="10" max="10" width="3.7265625" style="347" customWidth="1"/>
    <col min="11" max="13" width="10.7265625" style="347" customWidth="1"/>
    <col min="14" max="14" width="3.7265625" style="347" customWidth="1"/>
    <col min="15" max="18" width="10.7265625" style="347" customWidth="1"/>
    <col min="19" max="16384" width="10.81640625" style="347"/>
  </cols>
  <sheetData>
    <row r="2" spans="2:18" x14ac:dyDescent="0.25">
      <c r="B2" s="342" t="s">
        <v>2</v>
      </c>
      <c r="C2" s="415" t="s">
        <v>1247</v>
      </c>
      <c r="D2" s="415"/>
      <c r="E2" s="415"/>
      <c r="G2" s="408" t="s">
        <v>1248</v>
      </c>
      <c r="H2" s="408"/>
      <c r="I2" s="408"/>
      <c r="K2" s="409" t="s">
        <v>79</v>
      </c>
      <c r="L2" s="410"/>
      <c r="M2" s="411"/>
      <c r="O2" s="412" t="s">
        <v>1249</v>
      </c>
      <c r="P2" s="413"/>
      <c r="Q2" s="413"/>
      <c r="R2" s="414"/>
    </row>
    <row r="3" spans="2:18" x14ac:dyDescent="0.25">
      <c r="B3" s="342" t="s">
        <v>407</v>
      </c>
      <c r="C3" s="333" t="s">
        <v>1250</v>
      </c>
      <c r="D3" s="333" t="s">
        <v>1251</v>
      </c>
      <c r="E3" s="333" t="s">
        <v>1238</v>
      </c>
      <c r="G3" s="340" t="s">
        <v>1230</v>
      </c>
      <c r="H3" s="340" t="s">
        <v>1213</v>
      </c>
      <c r="I3" s="340" t="s">
        <v>450</v>
      </c>
      <c r="K3" s="336" t="s">
        <v>1276</v>
      </c>
      <c r="L3" s="336" t="s">
        <v>1277</v>
      </c>
      <c r="M3" s="336" t="s">
        <v>1193</v>
      </c>
      <c r="O3" s="338" t="s">
        <v>1218</v>
      </c>
      <c r="P3" s="338" t="s">
        <v>1218</v>
      </c>
      <c r="Q3" s="338" t="s">
        <v>1188</v>
      </c>
      <c r="R3" s="338" t="s">
        <v>956</v>
      </c>
    </row>
    <row r="4" spans="2:18" x14ac:dyDescent="0.25">
      <c r="B4" s="342" t="s">
        <v>457</v>
      </c>
      <c r="C4" s="348" t="s">
        <v>1253</v>
      </c>
      <c r="D4" s="348" t="s">
        <v>1254</v>
      </c>
      <c r="E4" s="333" t="s">
        <v>1239</v>
      </c>
      <c r="G4" s="345" t="s">
        <v>1219</v>
      </c>
      <c r="H4" s="345" t="s">
        <v>1195</v>
      </c>
      <c r="I4" s="345" t="s">
        <v>485</v>
      </c>
      <c r="K4" s="336" t="s">
        <v>1278</v>
      </c>
      <c r="L4" s="336" t="s">
        <v>1279</v>
      </c>
      <c r="M4" s="344" t="s">
        <v>1195</v>
      </c>
      <c r="O4" s="338" t="s">
        <v>1316</v>
      </c>
      <c r="P4" s="338" t="s">
        <v>1219</v>
      </c>
      <c r="Q4" s="338">
        <v>45179</v>
      </c>
      <c r="R4" s="338" t="s">
        <v>957</v>
      </c>
    </row>
    <row r="5" spans="2:18" x14ac:dyDescent="0.25">
      <c r="B5" s="342" t="s">
        <v>487</v>
      </c>
      <c r="C5" s="348" t="s">
        <v>488</v>
      </c>
      <c r="D5" s="348" t="s">
        <v>488</v>
      </c>
      <c r="E5" s="333" t="s">
        <v>488</v>
      </c>
      <c r="G5" s="340" t="s">
        <v>488</v>
      </c>
      <c r="H5" s="340" t="s">
        <v>488</v>
      </c>
      <c r="I5" s="340" t="s">
        <v>488</v>
      </c>
      <c r="K5" s="336" t="s">
        <v>488</v>
      </c>
      <c r="L5" s="336" t="s">
        <v>488</v>
      </c>
      <c r="M5" s="336" t="s">
        <v>488</v>
      </c>
      <c r="O5" s="338" t="s">
        <v>488</v>
      </c>
      <c r="P5" s="338" t="s">
        <v>488</v>
      </c>
      <c r="Q5" s="338" t="s">
        <v>488</v>
      </c>
      <c r="R5" s="338" t="s">
        <v>488</v>
      </c>
    </row>
    <row r="6" spans="2:18" s="349" customFormat="1" ht="44.65" customHeight="1" x14ac:dyDescent="0.35">
      <c r="B6" s="343" t="s">
        <v>491</v>
      </c>
      <c r="C6" s="348" t="s">
        <v>1104</v>
      </c>
      <c r="D6" s="348" t="s">
        <v>1104</v>
      </c>
      <c r="E6" s="56" t="s">
        <v>1104</v>
      </c>
      <c r="G6" s="341" t="s">
        <v>1231</v>
      </c>
      <c r="H6" s="341" t="s">
        <v>155</v>
      </c>
      <c r="I6" s="341" t="s">
        <v>155</v>
      </c>
      <c r="K6" s="337" t="s">
        <v>152</v>
      </c>
      <c r="L6" s="337" t="s">
        <v>152</v>
      </c>
      <c r="M6" s="337" t="s">
        <v>152</v>
      </c>
      <c r="O6" s="339" t="s">
        <v>245</v>
      </c>
      <c r="P6" s="339" t="s">
        <v>245</v>
      </c>
      <c r="Q6" s="339" t="s">
        <v>245</v>
      </c>
      <c r="R6" s="339" t="s">
        <v>245</v>
      </c>
    </row>
    <row r="7" spans="2:18" x14ac:dyDescent="0.25">
      <c r="B7" s="342" t="s">
        <v>1246</v>
      </c>
      <c r="C7" s="350" t="s">
        <v>1255</v>
      </c>
      <c r="D7" s="350" t="s">
        <v>1256</v>
      </c>
      <c r="E7" s="346" t="s">
        <v>1240</v>
      </c>
      <c r="G7" s="334" t="s">
        <v>1232</v>
      </c>
      <c r="H7" s="334" t="s">
        <v>1214</v>
      </c>
      <c r="I7" s="334" t="s">
        <v>503</v>
      </c>
      <c r="K7" s="334">
        <v>6.1238999999999999</v>
      </c>
      <c r="L7" s="334" t="s">
        <v>1281</v>
      </c>
      <c r="M7" s="334" t="s">
        <v>1197</v>
      </c>
      <c r="O7" s="59" t="s">
        <v>1317</v>
      </c>
      <c r="P7" s="334" t="s">
        <v>1221</v>
      </c>
      <c r="Q7" s="334" t="s">
        <v>1189</v>
      </c>
      <c r="R7" s="334" t="s">
        <v>958</v>
      </c>
    </row>
    <row r="8" spans="2:18" x14ac:dyDescent="0.25">
      <c r="B8" s="342" t="s">
        <v>511</v>
      </c>
      <c r="C8" s="350" t="s">
        <v>501</v>
      </c>
      <c r="D8" s="350" t="s">
        <v>517</v>
      </c>
      <c r="E8" s="346" t="s">
        <v>514</v>
      </c>
      <c r="G8" s="334" t="s">
        <v>517</v>
      </c>
      <c r="H8" s="334" t="s">
        <v>514</v>
      </c>
      <c r="I8" s="334" t="s">
        <v>514</v>
      </c>
      <c r="K8" s="334" t="s">
        <v>514</v>
      </c>
      <c r="L8" s="334" t="s">
        <v>514</v>
      </c>
      <c r="M8" s="334" t="s">
        <v>514</v>
      </c>
      <c r="O8" s="334" t="s">
        <v>501</v>
      </c>
      <c r="P8" s="334" t="s">
        <v>501</v>
      </c>
      <c r="Q8" s="334" t="s">
        <v>514</v>
      </c>
      <c r="R8" s="334" t="s">
        <v>501</v>
      </c>
    </row>
    <row r="9" spans="2:18" x14ac:dyDescent="0.25">
      <c r="B9" s="342" t="s">
        <v>515</v>
      </c>
      <c r="C9" s="350" t="s">
        <v>501</v>
      </c>
      <c r="D9" s="350" t="s">
        <v>501</v>
      </c>
      <c r="E9" s="346" t="s">
        <v>501</v>
      </c>
      <c r="G9" s="334" t="s">
        <v>501</v>
      </c>
      <c r="H9" s="334" t="s">
        <v>501</v>
      </c>
      <c r="I9" s="334" t="s">
        <v>501</v>
      </c>
      <c r="K9" s="334" t="s">
        <v>501</v>
      </c>
      <c r="L9" s="334" t="s">
        <v>501</v>
      </c>
      <c r="M9" s="334" t="s">
        <v>501</v>
      </c>
      <c r="O9" s="334" t="s">
        <v>501</v>
      </c>
      <c r="P9" s="334" t="s">
        <v>501</v>
      </c>
      <c r="Q9" s="334" t="s">
        <v>501</v>
      </c>
      <c r="R9" s="334" t="s">
        <v>501</v>
      </c>
    </row>
    <row r="10" spans="2:18" x14ac:dyDescent="0.25">
      <c r="B10" s="342" t="s">
        <v>518</v>
      </c>
      <c r="C10" s="350" t="s">
        <v>501</v>
      </c>
      <c r="D10" s="350" t="s">
        <v>501</v>
      </c>
      <c r="E10" s="346" t="s">
        <v>501</v>
      </c>
      <c r="G10" s="334" t="s">
        <v>501</v>
      </c>
      <c r="H10" s="334" t="s">
        <v>514</v>
      </c>
      <c r="I10" s="334" t="s">
        <v>501</v>
      </c>
      <c r="K10" s="334" t="s">
        <v>501</v>
      </c>
      <c r="L10" s="334" t="s">
        <v>501</v>
      </c>
      <c r="M10" s="334" t="s">
        <v>514</v>
      </c>
      <c r="O10" s="334" t="s">
        <v>514</v>
      </c>
      <c r="P10" s="334" t="s">
        <v>514</v>
      </c>
      <c r="Q10" s="334" t="s">
        <v>501</v>
      </c>
      <c r="R10" s="334" t="s">
        <v>501</v>
      </c>
    </row>
    <row r="11" spans="2:18" x14ac:dyDescent="0.25">
      <c r="B11" s="342" t="s">
        <v>520</v>
      </c>
      <c r="C11" s="350" t="s">
        <v>501</v>
      </c>
      <c r="D11" s="350" t="s">
        <v>501</v>
      </c>
      <c r="E11" s="346" t="s">
        <v>501</v>
      </c>
      <c r="G11" s="334" t="s">
        <v>501</v>
      </c>
      <c r="H11" s="334" t="s">
        <v>501</v>
      </c>
      <c r="I11" s="334" t="s">
        <v>501</v>
      </c>
      <c r="K11" s="334" t="s">
        <v>501</v>
      </c>
      <c r="L11" s="334" t="s">
        <v>501</v>
      </c>
      <c r="M11" s="334" t="s">
        <v>501</v>
      </c>
      <c r="O11" s="334" t="s">
        <v>501</v>
      </c>
      <c r="P11" s="334" t="s">
        <v>501</v>
      </c>
      <c r="Q11" s="334" t="s">
        <v>501</v>
      </c>
      <c r="R11" s="334" t="s">
        <v>501</v>
      </c>
    </row>
    <row r="12" spans="2:18" x14ac:dyDescent="0.25">
      <c r="B12" s="342" t="s">
        <v>524</v>
      </c>
      <c r="C12" s="350" t="s">
        <v>501</v>
      </c>
      <c r="D12" s="350" t="s">
        <v>501</v>
      </c>
      <c r="E12" s="346" t="s">
        <v>514</v>
      </c>
      <c r="G12" s="334" t="s">
        <v>501</v>
      </c>
      <c r="H12" s="334" t="s">
        <v>501</v>
      </c>
      <c r="I12" s="334" t="s">
        <v>501</v>
      </c>
      <c r="K12" s="334" t="s">
        <v>501</v>
      </c>
      <c r="L12" s="334" t="s">
        <v>501</v>
      </c>
      <c r="M12" s="334" t="s">
        <v>501</v>
      </c>
      <c r="O12" s="334" t="s">
        <v>501</v>
      </c>
      <c r="P12" s="334" t="s">
        <v>501</v>
      </c>
      <c r="Q12" s="334" t="s">
        <v>501</v>
      </c>
      <c r="R12" s="334" t="s">
        <v>501</v>
      </c>
    </row>
    <row r="13" spans="2:18" x14ac:dyDescent="0.25">
      <c r="B13" s="342" t="s">
        <v>406</v>
      </c>
      <c r="C13" s="350" t="s">
        <v>501</v>
      </c>
      <c r="D13" s="350" t="s">
        <v>501</v>
      </c>
      <c r="E13" s="346" t="s">
        <v>501</v>
      </c>
      <c r="G13" s="334" t="s">
        <v>514</v>
      </c>
      <c r="H13" s="334" t="s">
        <v>514</v>
      </c>
      <c r="I13" s="334" t="s">
        <v>514</v>
      </c>
      <c r="K13" s="334" t="s">
        <v>501</v>
      </c>
      <c r="L13" s="334" t="s">
        <v>514</v>
      </c>
      <c r="M13" s="334" t="s">
        <v>514</v>
      </c>
      <c r="O13" s="334" t="s">
        <v>501</v>
      </c>
      <c r="P13" s="334" t="s">
        <v>501</v>
      </c>
      <c r="Q13" s="334" t="s">
        <v>501</v>
      </c>
      <c r="R13" s="334" t="s">
        <v>501</v>
      </c>
    </row>
    <row r="14" spans="2:18" x14ac:dyDescent="0.25">
      <c r="B14" s="342" t="s">
        <v>527</v>
      </c>
      <c r="C14" s="350" t="s">
        <v>501</v>
      </c>
      <c r="D14" s="350" t="s">
        <v>501</v>
      </c>
      <c r="E14" s="346" t="s">
        <v>514</v>
      </c>
      <c r="G14" s="334" t="s">
        <v>514</v>
      </c>
      <c r="H14" s="334" t="s">
        <v>501</v>
      </c>
      <c r="I14" s="334" t="s">
        <v>501</v>
      </c>
      <c r="K14" s="334" t="s">
        <v>501</v>
      </c>
      <c r="L14" s="334" t="s">
        <v>501</v>
      </c>
      <c r="M14" s="334" t="s">
        <v>514</v>
      </c>
      <c r="O14" s="334" t="s">
        <v>514</v>
      </c>
      <c r="P14" s="334" t="s">
        <v>514</v>
      </c>
      <c r="Q14" s="334" t="s">
        <v>501</v>
      </c>
      <c r="R14" s="334" t="s">
        <v>501</v>
      </c>
    </row>
    <row r="15" spans="2:18" x14ac:dyDescent="0.25">
      <c r="B15" s="342" t="s">
        <v>529</v>
      </c>
      <c r="C15" s="350" t="s">
        <v>501</v>
      </c>
      <c r="D15" s="350" t="s">
        <v>501</v>
      </c>
      <c r="E15" s="346" t="s">
        <v>501</v>
      </c>
      <c r="G15" s="334" t="s">
        <v>501</v>
      </c>
      <c r="H15" s="334" t="s">
        <v>501</v>
      </c>
      <c r="I15" s="334" t="s">
        <v>501</v>
      </c>
      <c r="K15" s="334" t="s">
        <v>501</v>
      </c>
      <c r="L15" s="334" t="s">
        <v>501</v>
      </c>
      <c r="M15" s="334" t="s">
        <v>501</v>
      </c>
      <c r="O15" s="334" t="s">
        <v>501</v>
      </c>
      <c r="P15" s="334" t="s">
        <v>501</v>
      </c>
      <c r="Q15" s="334" t="s">
        <v>501</v>
      </c>
      <c r="R15" s="334" t="s">
        <v>501</v>
      </c>
    </row>
    <row r="16" spans="2:18" x14ac:dyDescent="0.25">
      <c r="B16" s="342" t="s">
        <v>531</v>
      </c>
      <c r="C16" s="350" t="s">
        <v>501</v>
      </c>
      <c r="D16" s="350" t="s">
        <v>501</v>
      </c>
      <c r="E16" s="346" t="s">
        <v>501</v>
      </c>
      <c r="G16" s="334" t="s">
        <v>501</v>
      </c>
      <c r="H16" s="334" t="s">
        <v>501</v>
      </c>
      <c r="I16" s="334" t="s">
        <v>514</v>
      </c>
      <c r="K16" s="334" t="s">
        <v>501</v>
      </c>
      <c r="L16" s="334" t="s">
        <v>501</v>
      </c>
      <c r="M16" s="334" t="s">
        <v>501</v>
      </c>
      <c r="O16" s="334" t="s">
        <v>501</v>
      </c>
      <c r="P16" s="334" t="s">
        <v>501</v>
      </c>
      <c r="Q16" s="334" t="s">
        <v>501</v>
      </c>
      <c r="R16" s="334" t="s">
        <v>501</v>
      </c>
    </row>
    <row r="17" spans="2:18" x14ac:dyDescent="0.25">
      <c r="B17" s="342" t="s">
        <v>400</v>
      </c>
      <c r="C17" s="350" t="s">
        <v>501</v>
      </c>
      <c r="D17" s="350" t="s">
        <v>501</v>
      </c>
      <c r="E17" s="346" t="s">
        <v>501</v>
      </c>
      <c r="G17" s="334" t="s">
        <v>501</v>
      </c>
      <c r="H17" s="334" t="s">
        <v>501</v>
      </c>
      <c r="I17" s="334" t="s">
        <v>501</v>
      </c>
      <c r="K17" s="334" t="s">
        <v>514</v>
      </c>
      <c r="L17" s="334" t="s">
        <v>501</v>
      </c>
      <c r="M17" s="334" t="s">
        <v>501</v>
      </c>
      <c r="O17" s="334" t="s">
        <v>501</v>
      </c>
      <c r="P17" s="334" t="s">
        <v>501</v>
      </c>
      <c r="Q17" s="334" t="s">
        <v>501</v>
      </c>
      <c r="R17" s="334" t="s">
        <v>501</v>
      </c>
    </row>
    <row r="18" spans="2:18" x14ac:dyDescent="0.25">
      <c r="B18" s="342" t="s">
        <v>392</v>
      </c>
      <c r="C18" s="350" t="s">
        <v>553</v>
      </c>
      <c r="D18" s="350" t="s">
        <v>1106</v>
      </c>
      <c r="E18" s="346" t="s">
        <v>1120</v>
      </c>
      <c r="G18" s="334" t="s">
        <v>542</v>
      </c>
      <c r="H18" s="334" t="s">
        <v>593</v>
      </c>
      <c r="I18" s="334" t="s">
        <v>547</v>
      </c>
      <c r="K18" s="334" t="s">
        <v>593</v>
      </c>
      <c r="L18" s="334" t="s">
        <v>1105</v>
      </c>
      <c r="M18" s="334" t="s">
        <v>545</v>
      </c>
      <c r="O18" s="334" t="s">
        <v>1222</v>
      </c>
      <c r="P18" s="334" t="s">
        <v>1222</v>
      </c>
      <c r="Q18" s="334" t="s">
        <v>538</v>
      </c>
      <c r="R18" s="334" t="s">
        <v>959</v>
      </c>
    </row>
    <row r="19" spans="2:18" x14ac:dyDescent="0.25">
      <c r="B19" s="342" t="s">
        <v>393</v>
      </c>
      <c r="C19" s="350" t="s">
        <v>580</v>
      </c>
      <c r="D19" s="350" t="s">
        <v>1141</v>
      </c>
      <c r="E19" s="346" t="s">
        <v>1210</v>
      </c>
      <c r="G19" s="334" t="s">
        <v>501</v>
      </c>
      <c r="H19" s="334" t="s">
        <v>501</v>
      </c>
      <c r="I19" s="334" t="s">
        <v>501</v>
      </c>
      <c r="K19" s="334" t="s">
        <v>501</v>
      </c>
      <c r="L19" s="334" t="s">
        <v>501</v>
      </c>
      <c r="M19" s="334" t="s">
        <v>501</v>
      </c>
      <c r="O19" s="334" t="s">
        <v>501</v>
      </c>
      <c r="P19" s="334" t="s">
        <v>501</v>
      </c>
      <c r="Q19" s="334" t="s">
        <v>501</v>
      </c>
      <c r="R19" s="334" t="s">
        <v>501</v>
      </c>
    </row>
    <row r="20" spans="2:18" x14ac:dyDescent="0.25">
      <c r="B20" s="342" t="s">
        <v>398</v>
      </c>
      <c r="C20" s="350" t="s">
        <v>596</v>
      </c>
      <c r="D20" s="350" t="s">
        <v>596</v>
      </c>
      <c r="E20" s="346" t="s">
        <v>596</v>
      </c>
      <c r="G20" s="334" t="s">
        <v>501</v>
      </c>
      <c r="H20" s="334" t="s">
        <v>501</v>
      </c>
      <c r="I20" s="334" t="s">
        <v>514</v>
      </c>
      <c r="K20" s="334" t="s">
        <v>501</v>
      </c>
      <c r="L20" s="334" t="s">
        <v>501</v>
      </c>
      <c r="M20" s="334" t="s">
        <v>501</v>
      </c>
      <c r="O20" s="334" t="s">
        <v>501</v>
      </c>
      <c r="P20" s="334" t="s">
        <v>501</v>
      </c>
      <c r="Q20" s="334" t="s">
        <v>501</v>
      </c>
      <c r="R20" s="334" t="s">
        <v>501</v>
      </c>
    </row>
    <row r="21" spans="2:18" x14ac:dyDescent="0.25">
      <c r="B21" s="342" t="s">
        <v>552</v>
      </c>
      <c r="C21" s="350" t="s">
        <v>1259</v>
      </c>
      <c r="D21" s="350" t="s">
        <v>1260</v>
      </c>
      <c r="E21" s="346" t="s">
        <v>551</v>
      </c>
      <c r="G21" s="334" t="s">
        <v>501</v>
      </c>
      <c r="H21" s="334" t="s">
        <v>514</v>
      </c>
      <c r="I21" s="334" t="s">
        <v>514</v>
      </c>
      <c r="K21" s="334" t="s">
        <v>501</v>
      </c>
      <c r="L21" s="334" t="s">
        <v>501</v>
      </c>
      <c r="M21" s="334" t="s">
        <v>501</v>
      </c>
      <c r="O21" s="334" t="s">
        <v>501</v>
      </c>
      <c r="P21" s="334" t="s">
        <v>501</v>
      </c>
      <c r="Q21" s="334" t="s">
        <v>514</v>
      </c>
      <c r="R21" s="334" t="s">
        <v>514</v>
      </c>
    </row>
    <row r="22" spans="2:18" x14ac:dyDescent="0.25">
      <c r="B22" s="342" t="s">
        <v>399</v>
      </c>
      <c r="C22" s="350" t="s">
        <v>1262</v>
      </c>
      <c r="D22" s="350" t="s">
        <v>1263</v>
      </c>
      <c r="E22" s="346" t="s">
        <v>1241</v>
      </c>
      <c r="G22" s="334">
        <v>13</v>
      </c>
      <c r="H22" s="334">
        <v>12</v>
      </c>
      <c r="I22" s="334">
        <v>17</v>
      </c>
      <c r="K22" s="334">
        <v>16</v>
      </c>
      <c r="L22" s="334">
        <v>15</v>
      </c>
      <c r="M22" s="334">
        <v>17</v>
      </c>
      <c r="O22" s="334" t="s">
        <v>501</v>
      </c>
      <c r="P22" s="334" t="s">
        <v>501</v>
      </c>
      <c r="Q22" s="334" t="s">
        <v>501</v>
      </c>
      <c r="R22" s="334" t="s">
        <v>501</v>
      </c>
    </row>
    <row r="23" spans="2:18" x14ac:dyDescent="0.25">
      <c r="B23" s="342" t="s">
        <v>401</v>
      </c>
      <c r="C23" s="350" t="s">
        <v>1265</v>
      </c>
      <c r="D23" s="350" t="s">
        <v>1266</v>
      </c>
      <c r="E23" s="346" t="s">
        <v>1242</v>
      </c>
      <c r="G23" s="334">
        <v>2758</v>
      </c>
      <c r="H23" s="334">
        <v>3236</v>
      </c>
      <c r="I23" s="334">
        <v>1960</v>
      </c>
      <c r="K23" s="334">
        <v>3510</v>
      </c>
      <c r="L23" s="334">
        <v>3824</v>
      </c>
      <c r="M23" s="334">
        <v>4029</v>
      </c>
      <c r="O23" s="334" t="s">
        <v>501</v>
      </c>
      <c r="P23" s="334" t="s">
        <v>501</v>
      </c>
      <c r="Q23" s="334" t="s">
        <v>514</v>
      </c>
      <c r="R23" s="334" t="s">
        <v>514</v>
      </c>
    </row>
    <row r="24" spans="2:18" x14ac:dyDescent="0.25">
      <c r="B24" s="342" t="s">
        <v>402</v>
      </c>
      <c r="C24" s="350" t="s">
        <v>1268</v>
      </c>
      <c r="D24" s="350" t="s">
        <v>1269</v>
      </c>
      <c r="E24" s="346" t="s">
        <v>1243</v>
      </c>
      <c r="G24" s="334">
        <v>1123</v>
      </c>
      <c r="H24" s="334">
        <v>1231</v>
      </c>
      <c r="I24" s="334">
        <v>985</v>
      </c>
      <c r="K24" s="334">
        <v>1448</v>
      </c>
      <c r="L24" s="334">
        <v>1379</v>
      </c>
      <c r="M24" s="334">
        <v>1517</v>
      </c>
      <c r="O24" s="334" t="s">
        <v>501</v>
      </c>
      <c r="P24" s="334" t="s">
        <v>1223</v>
      </c>
      <c r="Q24" s="334" t="s">
        <v>501</v>
      </c>
      <c r="R24" s="334" t="s">
        <v>501</v>
      </c>
    </row>
    <row r="25" spans="2:18" x14ac:dyDescent="0.25">
      <c r="B25" s="342" t="s">
        <v>561</v>
      </c>
      <c r="C25" s="350" t="s">
        <v>501</v>
      </c>
      <c r="D25" s="350" t="s">
        <v>501</v>
      </c>
      <c r="E25" s="346" t="s">
        <v>501</v>
      </c>
      <c r="G25" s="334">
        <v>1</v>
      </c>
      <c r="H25" s="334">
        <v>0</v>
      </c>
      <c r="I25" s="334">
        <v>1</v>
      </c>
      <c r="K25" s="334" t="s">
        <v>501</v>
      </c>
      <c r="L25" s="334" t="s">
        <v>501</v>
      </c>
      <c r="M25" s="334" t="s">
        <v>501</v>
      </c>
      <c r="O25" s="334" t="s">
        <v>514</v>
      </c>
      <c r="P25" s="334" t="s">
        <v>514</v>
      </c>
      <c r="Q25" s="334" t="s">
        <v>501</v>
      </c>
      <c r="R25" s="334" t="s">
        <v>501</v>
      </c>
    </row>
    <row r="26" spans="2:18" x14ac:dyDescent="0.25">
      <c r="B26" s="342" t="s">
        <v>563</v>
      </c>
      <c r="C26" s="350" t="s">
        <v>501</v>
      </c>
      <c r="D26" s="350" t="s">
        <v>501</v>
      </c>
      <c r="E26" s="346" t="s">
        <v>501</v>
      </c>
      <c r="G26" s="334">
        <v>0</v>
      </c>
      <c r="H26" s="334">
        <v>0</v>
      </c>
      <c r="I26" s="334">
        <v>0</v>
      </c>
      <c r="K26" s="334" t="s">
        <v>501</v>
      </c>
      <c r="L26" s="334" t="s">
        <v>501</v>
      </c>
      <c r="M26" s="334" t="s">
        <v>501</v>
      </c>
      <c r="O26" s="334" t="s">
        <v>501</v>
      </c>
      <c r="P26" s="334" t="s">
        <v>501</v>
      </c>
      <c r="Q26" s="334" t="s">
        <v>501</v>
      </c>
      <c r="R26" s="334" t="s">
        <v>501</v>
      </c>
    </row>
    <row r="27" spans="2:18" x14ac:dyDescent="0.25">
      <c r="B27" s="342" t="s">
        <v>394</v>
      </c>
      <c r="C27" s="350" t="s">
        <v>1271</v>
      </c>
      <c r="D27" s="350" t="s">
        <v>1272</v>
      </c>
      <c r="E27" s="346" t="s">
        <v>1244</v>
      </c>
      <c r="G27" s="334">
        <v>496</v>
      </c>
      <c r="H27" s="334">
        <v>438</v>
      </c>
      <c r="I27" s="334">
        <v>395</v>
      </c>
      <c r="K27" s="334">
        <v>748</v>
      </c>
      <c r="L27" s="334">
        <v>415</v>
      </c>
      <c r="M27" s="334">
        <v>492</v>
      </c>
      <c r="O27" s="59" t="s">
        <v>1318</v>
      </c>
      <c r="P27" s="334" t="s">
        <v>1224</v>
      </c>
      <c r="Q27" s="334" t="s">
        <v>569</v>
      </c>
      <c r="R27" s="334" t="s">
        <v>960</v>
      </c>
    </row>
    <row r="28" spans="2:18" x14ac:dyDescent="0.25">
      <c r="B28" s="342" t="s">
        <v>574</v>
      </c>
      <c r="C28" s="350" t="s">
        <v>501</v>
      </c>
      <c r="D28" s="350" t="s">
        <v>501</v>
      </c>
      <c r="E28" s="346" t="s">
        <v>501</v>
      </c>
      <c r="G28" s="334"/>
      <c r="H28" s="334" t="s">
        <v>501</v>
      </c>
      <c r="I28" s="334" t="s">
        <v>501</v>
      </c>
      <c r="K28" s="334" t="s">
        <v>501</v>
      </c>
      <c r="L28" s="334" t="s">
        <v>514</v>
      </c>
      <c r="M28" s="334" t="s">
        <v>501</v>
      </c>
      <c r="O28" s="334" t="s">
        <v>501</v>
      </c>
      <c r="P28" s="334" t="s">
        <v>501</v>
      </c>
      <c r="Q28" s="334" t="s">
        <v>501</v>
      </c>
      <c r="R28" s="334" t="s">
        <v>514</v>
      </c>
    </row>
    <row r="29" spans="2:18" x14ac:dyDescent="0.25">
      <c r="B29" s="342" t="s">
        <v>583</v>
      </c>
      <c r="C29" s="350" t="s">
        <v>226</v>
      </c>
      <c r="D29" s="350" t="s">
        <v>226</v>
      </c>
      <c r="E29" s="346" t="s">
        <v>540</v>
      </c>
      <c r="G29" s="334" t="s">
        <v>540</v>
      </c>
      <c r="H29" s="334" t="s">
        <v>584</v>
      </c>
      <c r="I29" s="334" t="s">
        <v>226</v>
      </c>
      <c r="K29" s="334" t="s">
        <v>540</v>
      </c>
      <c r="L29" s="334" t="s">
        <v>585</v>
      </c>
      <c r="M29" s="334" t="s">
        <v>543</v>
      </c>
      <c r="O29" s="335" t="s">
        <v>544</v>
      </c>
      <c r="P29" s="335" t="s">
        <v>544</v>
      </c>
      <c r="Q29" s="335" t="s">
        <v>585</v>
      </c>
      <c r="R29" s="335" t="s">
        <v>226</v>
      </c>
    </row>
    <row r="30" spans="2:18" x14ac:dyDescent="0.25">
      <c r="B30" s="342" t="s">
        <v>586</v>
      </c>
      <c r="C30" s="350" t="s">
        <v>226</v>
      </c>
      <c r="D30" s="350" t="s">
        <v>226</v>
      </c>
      <c r="E30" s="346" t="s">
        <v>543</v>
      </c>
      <c r="G30" s="334" t="s">
        <v>584</v>
      </c>
      <c r="H30" s="334" t="s">
        <v>558</v>
      </c>
      <c r="I30" s="334" t="s">
        <v>226</v>
      </c>
      <c r="K30" s="334" t="s">
        <v>544</v>
      </c>
      <c r="L30" s="334" t="s">
        <v>559</v>
      </c>
      <c r="M30" s="334" t="s">
        <v>544</v>
      </c>
      <c r="O30" s="335" t="s">
        <v>585</v>
      </c>
      <c r="P30" s="335" t="s">
        <v>585</v>
      </c>
      <c r="Q30" s="335" t="s">
        <v>559</v>
      </c>
      <c r="R30" s="335" t="s">
        <v>226</v>
      </c>
    </row>
    <row r="31" spans="2:18" x14ac:dyDescent="0.25">
      <c r="B31" s="342" t="s">
        <v>590</v>
      </c>
      <c r="C31" s="350" t="s">
        <v>226</v>
      </c>
      <c r="D31" s="350" t="s">
        <v>226</v>
      </c>
      <c r="E31" s="346" t="s">
        <v>559</v>
      </c>
      <c r="G31" s="334" t="s">
        <v>1225</v>
      </c>
      <c r="H31" s="334" t="s">
        <v>514</v>
      </c>
      <c r="I31" s="334" t="s">
        <v>226</v>
      </c>
      <c r="K31" s="334" t="s">
        <v>1225</v>
      </c>
      <c r="L31" s="334" t="s">
        <v>548</v>
      </c>
      <c r="M31" s="334" t="s">
        <v>587</v>
      </c>
      <c r="O31" s="335" t="s">
        <v>1225</v>
      </c>
      <c r="P31" s="335" t="s">
        <v>1225</v>
      </c>
      <c r="Q31" s="335" t="s">
        <v>545</v>
      </c>
      <c r="R31" s="335" t="s">
        <v>226</v>
      </c>
    </row>
  </sheetData>
  <mergeCells count="4">
    <mergeCell ref="G2:I2"/>
    <mergeCell ref="K2:M2"/>
    <mergeCell ref="O2:R2"/>
    <mergeCell ref="C2:E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402D0-E7DF-4AFA-8EC8-7E0174309F61}">
  <sheetPr codeName="Hoja22">
    <tabColor theme="1"/>
  </sheetPr>
  <dimension ref="A1:H38"/>
  <sheetViews>
    <sheetView showGridLines="0" topLeftCell="G1" workbookViewId="0">
      <selection activeCell="K1" sqref="K1"/>
    </sheetView>
  </sheetViews>
  <sheetFormatPr baseColWidth="10" defaultRowHeight="14.5" x14ac:dyDescent="0.35"/>
  <cols>
    <col min="1" max="1" width="18.81640625" bestFit="1" customWidth="1"/>
    <col min="2" max="2" width="13.7265625" customWidth="1"/>
    <col min="3" max="3" width="16.26953125" customWidth="1"/>
    <col min="4" max="4" width="15.26953125" customWidth="1"/>
    <col min="7" max="7" width="13.54296875" style="35" bestFit="1" customWidth="1"/>
    <col min="8" max="8" width="15.26953125" customWidth="1"/>
  </cols>
  <sheetData>
    <row r="1" spans="1:8" ht="35.5" customHeight="1" x14ac:dyDescent="0.35">
      <c r="A1" s="416" t="s">
        <v>1330</v>
      </c>
      <c r="B1" s="416"/>
      <c r="C1" s="416"/>
      <c r="D1" s="416"/>
      <c r="G1" s="4" t="s">
        <v>1</v>
      </c>
      <c r="H1" s="4" t="s">
        <v>83</v>
      </c>
    </row>
    <row r="2" spans="1:8" x14ac:dyDescent="0.35">
      <c r="A2" s="362" t="s">
        <v>1331</v>
      </c>
      <c r="B2" s="362" t="s">
        <v>1332</v>
      </c>
      <c r="C2" s="81" t="s">
        <v>706</v>
      </c>
      <c r="D2" s="363" t="s">
        <v>707</v>
      </c>
      <c r="G2" s="4" t="s">
        <v>2</v>
      </c>
      <c r="H2" s="15" t="s">
        <v>80</v>
      </c>
    </row>
    <row r="3" spans="1:8" x14ac:dyDescent="0.35">
      <c r="A3" s="33" t="s">
        <v>1333</v>
      </c>
      <c r="B3" s="33" t="s">
        <v>729</v>
      </c>
      <c r="C3" s="364">
        <v>16</v>
      </c>
      <c r="D3" s="365">
        <v>16.5</v>
      </c>
      <c r="G3" s="81" t="s">
        <v>3</v>
      </c>
      <c r="H3" s="5">
        <v>17</v>
      </c>
    </row>
    <row r="4" spans="1:8" x14ac:dyDescent="0.35">
      <c r="A4" s="33" t="s">
        <v>1334</v>
      </c>
      <c r="B4" s="33" t="s">
        <v>729</v>
      </c>
      <c r="C4" s="365">
        <v>13.5</v>
      </c>
      <c r="D4" s="364">
        <v>13</v>
      </c>
      <c r="G4" s="82" t="s">
        <v>4</v>
      </c>
      <c r="H4" s="5">
        <v>19</v>
      </c>
    </row>
    <row r="5" spans="1:8" x14ac:dyDescent="0.35">
      <c r="A5" s="33" t="s">
        <v>1335</v>
      </c>
      <c r="B5" s="33" t="s">
        <v>1336</v>
      </c>
      <c r="C5" s="364">
        <v>3</v>
      </c>
      <c r="D5" s="365">
        <v>4.5</v>
      </c>
      <c r="G5" s="81" t="s">
        <v>5</v>
      </c>
      <c r="H5" s="8">
        <v>1.9</v>
      </c>
    </row>
    <row r="6" spans="1:8" x14ac:dyDescent="0.35">
      <c r="A6" s="33" t="s">
        <v>1337</v>
      </c>
      <c r="B6" s="33" t="s">
        <v>1336</v>
      </c>
      <c r="C6" s="364">
        <v>6</v>
      </c>
      <c r="D6" s="364">
        <v>8</v>
      </c>
      <c r="G6" s="82" t="s">
        <v>6</v>
      </c>
      <c r="H6" s="8">
        <v>2.1</v>
      </c>
    </row>
    <row r="7" spans="1:8" x14ac:dyDescent="0.35">
      <c r="A7" s="33" t="s">
        <v>1338</v>
      </c>
      <c r="B7" s="33" t="s">
        <v>1339</v>
      </c>
      <c r="C7" s="364">
        <v>7</v>
      </c>
      <c r="D7" s="364">
        <v>9</v>
      </c>
      <c r="G7" s="81" t="s">
        <v>7</v>
      </c>
      <c r="H7" s="5">
        <v>3</v>
      </c>
    </row>
    <row r="8" spans="1:8" x14ac:dyDescent="0.35">
      <c r="A8" s="33" t="s">
        <v>329</v>
      </c>
      <c r="B8" s="33" t="s">
        <v>1340</v>
      </c>
      <c r="C8" s="365">
        <v>7.5</v>
      </c>
      <c r="D8" s="365">
        <v>6.5</v>
      </c>
      <c r="G8" s="82" t="s">
        <v>8</v>
      </c>
      <c r="H8" s="5">
        <v>5</v>
      </c>
    </row>
    <row r="9" spans="1:8" x14ac:dyDescent="0.35">
      <c r="A9" s="33" t="s">
        <v>136</v>
      </c>
      <c r="B9" s="33" t="s">
        <v>1341</v>
      </c>
      <c r="C9" s="365">
        <v>0.3</v>
      </c>
      <c r="D9" s="365">
        <v>0.5</v>
      </c>
      <c r="G9" s="81" t="s">
        <v>9</v>
      </c>
      <c r="H9" s="5">
        <v>2</v>
      </c>
    </row>
    <row r="10" spans="1:8" x14ac:dyDescent="0.35">
      <c r="A10" s="33" t="s">
        <v>1342</v>
      </c>
      <c r="B10" s="33" t="s">
        <v>712</v>
      </c>
      <c r="C10" s="364">
        <v>13</v>
      </c>
      <c r="D10" s="364">
        <v>15</v>
      </c>
      <c r="G10" s="82" t="s">
        <v>10</v>
      </c>
      <c r="H10" s="5">
        <v>3</v>
      </c>
    </row>
    <row r="11" spans="1:8" x14ac:dyDescent="0.35">
      <c r="A11" s="33" t="s">
        <v>107</v>
      </c>
      <c r="B11" s="33" t="s">
        <v>712</v>
      </c>
      <c r="C11" s="364">
        <v>3</v>
      </c>
      <c r="D11" s="365">
        <v>3.5</v>
      </c>
      <c r="G11" s="81" t="s">
        <v>11</v>
      </c>
      <c r="H11" s="5"/>
    </row>
    <row r="12" spans="1:8" x14ac:dyDescent="0.35">
      <c r="A12" s="33" t="s">
        <v>108</v>
      </c>
      <c r="B12" s="33" t="s">
        <v>712</v>
      </c>
      <c r="C12" s="364">
        <v>3</v>
      </c>
      <c r="D12" s="365">
        <v>3.5</v>
      </c>
      <c r="G12" s="82" t="s">
        <v>12</v>
      </c>
      <c r="H12" s="5"/>
    </row>
    <row r="13" spans="1:8" x14ac:dyDescent="0.35">
      <c r="A13" s="33" t="s">
        <v>110</v>
      </c>
      <c r="B13" s="33" t="s">
        <v>712</v>
      </c>
      <c r="C13" s="364">
        <v>2</v>
      </c>
      <c r="D13" s="364">
        <v>3</v>
      </c>
      <c r="G13" s="81" t="s">
        <v>13</v>
      </c>
      <c r="H13" s="5">
        <v>0.3</v>
      </c>
    </row>
    <row r="14" spans="1:8" x14ac:dyDescent="0.35">
      <c r="A14" s="33" t="s">
        <v>106</v>
      </c>
      <c r="B14" s="33" t="s">
        <v>712</v>
      </c>
      <c r="C14" s="364">
        <v>2</v>
      </c>
      <c r="D14" s="364">
        <v>3</v>
      </c>
      <c r="G14" s="82" t="s">
        <v>14</v>
      </c>
      <c r="H14" s="5">
        <v>0.4</v>
      </c>
    </row>
    <row r="15" spans="1:8" x14ac:dyDescent="0.35">
      <c r="A15" s="33" t="s">
        <v>124</v>
      </c>
      <c r="B15" s="33" t="s">
        <v>712</v>
      </c>
      <c r="C15" s="364">
        <v>45</v>
      </c>
      <c r="D15" s="364">
        <v>40</v>
      </c>
      <c r="G15" s="81" t="s">
        <v>15</v>
      </c>
      <c r="H15" s="5"/>
    </row>
    <row r="16" spans="1:8" x14ac:dyDescent="0.35">
      <c r="A16" s="33" t="s">
        <v>117</v>
      </c>
      <c r="B16" s="33" t="s">
        <v>712</v>
      </c>
      <c r="C16" s="364">
        <v>38</v>
      </c>
      <c r="D16" s="364">
        <v>25</v>
      </c>
      <c r="G16" s="82" t="s">
        <v>16</v>
      </c>
      <c r="H16" s="5"/>
    </row>
    <row r="17" spans="1:8" x14ac:dyDescent="0.35">
      <c r="A17" s="33" t="s">
        <v>112</v>
      </c>
      <c r="B17" s="33" t="s">
        <v>712</v>
      </c>
      <c r="C17" s="364">
        <v>7</v>
      </c>
      <c r="D17" s="364">
        <v>10</v>
      </c>
      <c r="G17" s="81" t="s">
        <v>17</v>
      </c>
      <c r="H17" s="5">
        <v>6</v>
      </c>
    </row>
    <row r="18" spans="1:8" x14ac:dyDescent="0.35">
      <c r="A18" s="33" t="s">
        <v>1343</v>
      </c>
      <c r="B18" s="33" t="s">
        <v>968</v>
      </c>
      <c r="C18" s="365">
        <v>0.2</v>
      </c>
      <c r="D18" s="365">
        <v>0.3</v>
      </c>
      <c r="G18" s="82" t="s">
        <v>18</v>
      </c>
      <c r="H18" s="5">
        <v>7</v>
      </c>
    </row>
    <row r="19" spans="1:8" x14ac:dyDescent="0.35">
      <c r="A19" s="33" t="s">
        <v>658</v>
      </c>
      <c r="B19" s="33" t="s">
        <v>968</v>
      </c>
      <c r="C19" s="365">
        <v>0.3</v>
      </c>
      <c r="D19" s="365">
        <v>0.4</v>
      </c>
      <c r="G19" s="81" t="s">
        <v>19</v>
      </c>
      <c r="H19" s="5">
        <v>5</v>
      </c>
    </row>
    <row r="20" spans="1:8" x14ac:dyDescent="0.35">
      <c r="A20" s="33" t="s">
        <v>921</v>
      </c>
      <c r="B20" s="33" t="s">
        <v>712</v>
      </c>
      <c r="C20" s="364">
        <v>2</v>
      </c>
      <c r="D20" s="364">
        <v>3</v>
      </c>
      <c r="G20" s="82" t="s">
        <v>20</v>
      </c>
      <c r="H20" s="5">
        <v>15</v>
      </c>
    </row>
    <row r="21" spans="1:8" x14ac:dyDescent="0.35">
      <c r="A21" s="33" t="s">
        <v>113</v>
      </c>
      <c r="B21" s="33" t="s">
        <v>712</v>
      </c>
      <c r="C21" s="364">
        <v>5</v>
      </c>
      <c r="D21" s="364">
        <v>7</v>
      </c>
      <c r="G21" s="81" t="s">
        <v>21</v>
      </c>
      <c r="H21" s="5">
        <v>3</v>
      </c>
    </row>
    <row r="22" spans="1:8" x14ac:dyDescent="0.35">
      <c r="G22" s="82" t="s">
        <v>22</v>
      </c>
      <c r="H22" s="5">
        <v>5</v>
      </c>
    </row>
    <row r="23" spans="1:8" x14ac:dyDescent="0.35">
      <c r="G23" s="81" t="s">
        <v>39</v>
      </c>
      <c r="H23" s="105">
        <v>13.7</v>
      </c>
    </row>
    <row r="24" spans="1:8" x14ac:dyDescent="0.35">
      <c r="G24" s="82" t="s">
        <v>40</v>
      </c>
      <c r="H24" s="105">
        <v>13.4</v>
      </c>
    </row>
    <row r="25" spans="1:8" x14ac:dyDescent="0.35">
      <c r="G25" s="81" t="s">
        <v>41</v>
      </c>
      <c r="H25" s="105">
        <v>14.8</v>
      </c>
    </row>
    <row r="26" spans="1:8" x14ac:dyDescent="0.35">
      <c r="G26" s="82" t="s">
        <v>42</v>
      </c>
      <c r="H26" s="105">
        <v>15.1</v>
      </c>
    </row>
    <row r="27" spans="1:8" x14ac:dyDescent="0.35">
      <c r="G27" s="81" t="s">
        <v>43</v>
      </c>
      <c r="H27" s="105">
        <v>30</v>
      </c>
    </row>
    <row r="28" spans="1:8" x14ac:dyDescent="0.35">
      <c r="G28" s="82" t="s">
        <v>44</v>
      </c>
      <c r="H28" s="105">
        <v>40</v>
      </c>
    </row>
    <row r="29" spans="1:8" x14ac:dyDescent="0.35">
      <c r="G29" s="81" t="s">
        <v>45</v>
      </c>
      <c r="H29" s="105">
        <v>8</v>
      </c>
    </row>
    <row r="30" spans="1:8" x14ac:dyDescent="0.35">
      <c r="G30" s="82" t="s">
        <v>46</v>
      </c>
      <c r="H30" s="105">
        <v>9</v>
      </c>
    </row>
    <row r="31" spans="1:8" x14ac:dyDescent="0.35">
      <c r="G31" s="81" t="s">
        <v>47</v>
      </c>
      <c r="H31" s="105">
        <v>10</v>
      </c>
    </row>
    <row r="32" spans="1:8" x14ac:dyDescent="0.35">
      <c r="G32" s="82" t="s">
        <v>48</v>
      </c>
      <c r="H32" s="105">
        <v>11</v>
      </c>
    </row>
    <row r="33" spans="7:8" x14ac:dyDescent="0.35">
      <c r="G33" s="81" t="s">
        <v>49</v>
      </c>
      <c r="H33" s="105">
        <v>9</v>
      </c>
    </row>
    <row r="34" spans="7:8" x14ac:dyDescent="0.35">
      <c r="G34" s="82" t="s">
        <v>50</v>
      </c>
      <c r="H34" s="105">
        <v>10</v>
      </c>
    </row>
    <row r="35" spans="7:8" x14ac:dyDescent="0.35">
      <c r="G35" s="81" t="s">
        <v>51</v>
      </c>
      <c r="H35" s="105">
        <v>9.5</v>
      </c>
    </row>
    <row r="36" spans="7:8" x14ac:dyDescent="0.35">
      <c r="G36" s="82" t="s">
        <v>52</v>
      </c>
      <c r="H36" s="105">
        <v>9</v>
      </c>
    </row>
    <row r="37" spans="7:8" x14ac:dyDescent="0.35">
      <c r="G37" s="81" t="s">
        <v>53</v>
      </c>
      <c r="H37" s="105">
        <v>0.5</v>
      </c>
    </row>
    <row r="38" spans="7:8" x14ac:dyDescent="0.35">
      <c r="G38" s="82" t="s">
        <v>54</v>
      </c>
      <c r="H38" s="105">
        <v>0.6</v>
      </c>
    </row>
  </sheetData>
  <mergeCells count="1">
    <mergeCell ref="A1:D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6D68F-A6B0-477F-95A2-8B8CA2D113AF}">
  <dimension ref="A1:I22"/>
  <sheetViews>
    <sheetView workbookViewId="0">
      <selection activeCell="J21" sqref="J21"/>
    </sheetView>
  </sheetViews>
  <sheetFormatPr baseColWidth="10" defaultRowHeight="14.5" x14ac:dyDescent="0.35"/>
  <cols>
    <col min="1" max="1" width="12.7265625" bestFit="1" customWidth="1"/>
    <col min="2" max="2" width="5.54296875" bestFit="1" customWidth="1"/>
    <col min="3" max="3" width="12.36328125" bestFit="1" customWidth="1"/>
    <col min="4" max="4" width="19.08984375" bestFit="1" customWidth="1"/>
    <col min="5" max="5" width="6.26953125" bestFit="1" customWidth="1"/>
  </cols>
  <sheetData>
    <row r="1" spans="1:9" x14ac:dyDescent="0.35">
      <c r="A1" s="377" t="s">
        <v>1415</v>
      </c>
      <c r="B1" s="377" t="s">
        <v>1416</v>
      </c>
      <c r="C1" s="377" t="s">
        <v>447</v>
      </c>
      <c r="D1" s="377" t="s">
        <v>387</v>
      </c>
      <c r="E1" s="377" t="s">
        <v>1417</v>
      </c>
      <c r="F1" s="378" t="s">
        <v>1418</v>
      </c>
      <c r="G1" s="378" t="s">
        <v>1419</v>
      </c>
      <c r="H1" s="378" t="s">
        <v>1420</v>
      </c>
      <c r="I1" s="378" t="s">
        <v>1421</v>
      </c>
    </row>
    <row r="2" spans="1:9" x14ac:dyDescent="0.35">
      <c r="A2" s="379" t="s">
        <v>861</v>
      </c>
      <c r="B2" s="380" t="s">
        <v>1422</v>
      </c>
      <c r="C2" s="379" t="s">
        <v>1423</v>
      </c>
      <c r="D2" s="379" t="s">
        <v>1424</v>
      </c>
      <c r="E2" s="379">
        <v>68.099999999999994</v>
      </c>
      <c r="F2" s="381">
        <v>62</v>
      </c>
      <c r="G2" s="381">
        <v>55</v>
      </c>
      <c r="H2" s="381" t="s">
        <v>148</v>
      </c>
      <c r="I2" s="381" t="s">
        <v>148</v>
      </c>
    </row>
    <row r="3" spans="1:9" x14ac:dyDescent="0.35">
      <c r="A3" s="379" t="s">
        <v>861</v>
      </c>
      <c r="B3" s="380" t="s">
        <v>1422</v>
      </c>
      <c r="C3" s="379" t="s">
        <v>1423</v>
      </c>
      <c r="D3" s="379" t="s">
        <v>1425</v>
      </c>
      <c r="E3" s="379">
        <v>2491.1999999999998</v>
      </c>
      <c r="F3" s="381">
        <v>2240</v>
      </c>
      <c r="G3" s="381">
        <v>1990</v>
      </c>
      <c r="H3" s="381" t="s">
        <v>148</v>
      </c>
      <c r="I3" s="381" t="s">
        <v>148</v>
      </c>
    </row>
    <row r="4" spans="1:9" x14ac:dyDescent="0.35">
      <c r="A4" s="379" t="s">
        <v>861</v>
      </c>
      <c r="B4" s="380" t="s">
        <v>1422</v>
      </c>
      <c r="C4" s="379" t="s">
        <v>1423</v>
      </c>
      <c r="D4" s="379" t="s">
        <v>1426</v>
      </c>
      <c r="E4" s="379">
        <v>1340.2</v>
      </c>
      <c r="F4" s="381">
        <v>1200</v>
      </c>
      <c r="G4" s="381">
        <v>1100</v>
      </c>
      <c r="H4" s="381" t="s">
        <v>148</v>
      </c>
      <c r="I4" s="381" t="s">
        <v>148</v>
      </c>
    </row>
    <row r="5" spans="1:9" x14ac:dyDescent="0.35">
      <c r="A5" s="379" t="s">
        <v>861</v>
      </c>
      <c r="B5" s="380" t="s">
        <v>1422</v>
      </c>
      <c r="C5" s="379" t="s">
        <v>1423</v>
      </c>
      <c r="D5" s="379" t="s">
        <v>1427</v>
      </c>
      <c r="E5" s="379">
        <v>478.1</v>
      </c>
      <c r="F5" s="381">
        <v>430</v>
      </c>
      <c r="G5" s="381">
        <v>380</v>
      </c>
      <c r="H5" s="381" t="s">
        <v>148</v>
      </c>
      <c r="I5" s="381" t="s">
        <v>148</v>
      </c>
    </row>
    <row r="6" spans="1:9" x14ac:dyDescent="0.35">
      <c r="A6" s="379" t="s">
        <v>861</v>
      </c>
      <c r="B6" s="380" t="s">
        <v>1422</v>
      </c>
      <c r="C6" s="379" t="s">
        <v>1423</v>
      </c>
      <c r="D6" s="379" t="s">
        <v>1428</v>
      </c>
      <c r="E6" s="379">
        <v>1322.4</v>
      </c>
      <c r="F6" s="381">
        <v>1190</v>
      </c>
      <c r="G6" s="381">
        <v>1070</v>
      </c>
      <c r="H6" s="381" t="s">
        <v>148</v>
      </c>
      <c r="I6" s="381" t="s">
        <v>148</v>
      </c>
    </row>
    <row r="7" spans="1:9" x14ac:dyDescent="0.35">
      <c r="A7" s="379" t="s">
        <v>861</v>
      </c>
      <c r="B7" s="380" t="s">
        <v>1422</v>
      </c>
      <c r="C7" s="379" t="s">
        <v>1133</v>
      </c>
      <c r="D7" s="379" t="s">
        <v>1429</v>
      </c>
      <c r="E7" s="379">
        <v>5.4</v>
      </c>
      <c r="F7" s="381" t="s">
        <v>148</v>
      </c>
      <c r="G7" s="381" t="s">
        <v>148</v>
      </c>
      <c r="H7" s="381">
        <v>8</v>
      </c>
      <c r="I7" s="381">
        <v>9</v>
      </c>
    </row>
    <row r="8" spans="1:9" x14ac:dyDescent="0.35">
      <c r="A8" s="379" t="s">
        <v>861</v>
      </c>
      <c r="B8" s="380" t="s">
        <v>1422</v>
      </c>
      <c r="C8" s="379" t="s">
        <v>1133</v>
      </c>
      <c r="D8" s="379" t="s">
        <v>1430</v>
      </c>
      <c r="E8" s="379">
        <v>3.1</v>
      </c>
      <c r="F8" s="381" t="s">
        <v>148</v>
      </c>
      <c r="G8" s="381" t="s">
        <v>148</v>
      </c>
      <c r="H8" s="381">
        <v>7</v>
      </c>
      <c r="I8" s="381">
        <v>8</v>
      </c>
    </row>
    <row r="9" spans="1:9" x14ac:dyDescent="0.35">
      <c r="A9" s="379" t="s">
        <v>861</v>
      </c>
      <c r="B9" s="380" t="s">
        <v>1422</v>
      </c>
      <c r="C9" s="379" t="s">
        <v>1133</v>
      </c>
      <c r="D9" s="379" t="s">
        <v>1431</v>
      </c>
      <c r="E9" s="379">
        <v>6.9</v>
      </c>
      <c r="F9" s="381" t="s">
        <v>148</v>
      </c>
      <c r="G9" s="381" t="s">
        <v>148</v>
      </c>
      <c r="H9" s="381">
        <v>10</v>
      </c>
      <c r="I9" s="381">
        <v>11</v>
      </c>
    </row>
    <row r="10" spans="1:9" x14ac:dyDescent="0.35">
      <c r="A10" s="379" t="s">
        <v>861</v>
      </c>
      <c r="B10" s="380" t="s">
        <v>1422</v>
      </c>
      <c r="C10" s="379" t="s">
        <v>1133</v>
      </c>
      <c r="D10" s="379" t="s">
        <v>522</v>
      </c>
      <c r="E10" s="379">
        <v>0</v>
      </c>
      <c r="F10" s="381">
        <v>9.5</v>
      </c>
      <c r="G10" s="381">
        <v>9</v>
      </c>
      <c r="H10" s="381" t="s">
        <v>148</v>
      </c>
      <c r="I10" s="381" t="s">
        <v>148</v>
      </c>
    </row>
    <row r="11" spans="1:9" x14ac:dyDescent="0.35">
      <c r="A11" s="379" t="s">
        <v>861</v>
      </c>
      <c r="B11" s="380" t="s">
        <v>1422</v>
      </c>
      <c r="C11" s="379" t="s">
        <v>1133</v>
      </c>
      <c r="D11" s="379" t="s">
        <v>1432</v>
      </c>
      <c r="E11" s="379"/>
      <c r="F11" s="381">
        <v>13.7</v>
      </c>
      <c r="G11" s="381">
        <v>13.4</v>
      </c>
      <c r="H11" s="381">
        <v>15.25</v>
      </c>
      <c r="I11" s="381">
        <v>15.5</v>
      </c>
    </row>
    <row r="12" spans="1:9" x14ac:dyDescent="0.35">
      <c r="A12" s="379" t="s">
        <v>861</v>
      </c>
      <c r="B12" s="380" t="s">
        <v>1422</v>
      </c>
      <c r="C12" s="379" t="s">
        <v>1433</v>
      </c>
      <c r="D12" s="379" t="s">
        <v>1434</v>
      </c>
      <c r="E12" s="379"/>
      <c r="F12" s="381" t="s">
        <v>148</v>
      </c>
      <c r="G12" s="381" t="s">
        <v>148</v>
      </c>
      <c r="H12" s="381">
        <v>0.35</v>
      </c>
      <c r="I12" s="381">
        <v>0.4</v>
      </c>
    </row>
    <row r="13" spans="1:9" x14ac:dyDescent="0.35">
      <c r="A13" s="379" t="s">
        <v>861</v>
      </c>
      <c r="B13" s="380" t="s">
        <v>1422</v>
      </c>
      <c r="C13" s="379" t="s">
        <v>1433</v>
      </c>
      <c r="D13" s="379" t="s">
        <v>1435</v>
      </c>
      <c r="E13" s="379"/>
      <c r="F13" s="381" t="s">
        <v>148</v>
      </c>
      <c r="G13" s="381" t="s">
        <v>148</v>
      </c>
      <c r="H13" s="381">
        <v>3</v>
      </c>
      <c r="I13" s="381">
        <v>5</v>
      </c>
    </row>
    <row r="14" spans="1:9" x14ac:dyDescent="0.35">
      <c r="A14" s="379" t="s">
        <v>861</v>
      </c>
      <c r="B14" s="380" t="s">
        <v>1422</v>
      </c>
      <c r="C14" s="379" t="s">
        <v>1433</v>
      </c>
      <c r="D14" s="379" t="s">
        <v>1436</v>
      </c>
      <c r="E14" s="379"/>
      <c r="F14" s="381" t="s">
        <v>148</v>
      </c>
      <c r="G14" s="381" t="s">
        <v>148</v>
      </c>
      <c r="H14" s="381">
        <v>6</v>
      </c>
      <c r="I14" s="381">
        <v>7</v>
      </c>
    </row>
    <row r="15" spans="1:9" x14ac:dyDescent="0.35">
      <c r="A15" s="379" t="s">
        <v>861</v>
      </c>
      <c r="B15" s="380" t="s">
        <v>1422</v>
      </c>
      <c r="C15" s="379" t="s">
        <v>1433</v>
      </c>
      <c r="D15" s="379" t="s">
        <v>1437</v>
      </c>
      <c r="E15" s="379"/>
      <c r="F15" s="381" t="s">
        <v>148</v>
      </c>
      <c r="G15" s="381" t="s">
        <v>148</v>
      </c>
      <c r="H15" s="381">
        <v>5</v>
      </c>
      <c r="I15" s="381">
        <v>15</v>
      </c>
    </row>
    <row r="16" spans="1:9" x14ac:dyDescent="0.35">
      <c r="A16" s="379" t="s">
        <v>861</v>
      </c>
      <c r="B16" s="380" t="s">
        <v>1422</v>
      </c>
      <c r="C16" s="379" t="s">
        <v>1438</v>
      </c>
      <c r="D16" s="379" t="s">
        <v>1439</v>
      </c>
      <c r="E16" s="379"/>
      <c r="F16" s="381" t="s">
        <v>148</v>
      </c>
      <c r="G16" s="381" t="s">
        <v>148</v>
      </c>
      <c r="H16" s="381">
        <v>1.7</v>
      </c>
      <c r="I16" s="381">
        <v>1.9</v>
      </c>
    </row>
    <row r="17" spans="1:9" x14ac:dyDescent="0.35">
      <c r="A17" s="379" t="s">
        <v>861</v>
      </c>
      <c r="B17" s="380" t="s">
        <v>1422</v>
      </c>
      <c r="C17" s="379" t="s">
        <v>1438</v>
      </c>
      <c r="D17" s="379" t="s">
        <v>1440</v>
      </c>
      <c r="E17" s="379"/>
      <c r="F17" s="381" t="s">
        <v>148</v>
      </c>
      <c r="G17" s="381" t="s">
        <v>148</v>
      </c>
      <c r="H17" s="381">
        <v>3</v>
      </c>
      <c r="I17" s="381">
        <v>5</v>
      </c>
    </row>
    <row r="18" spans="1:9" x14ac:dyDescent="0.35">
      <c r="A18" s="379" t="s">
        <v>861</v>
      </c>
      <c r="B18" s="380" t="s">
        <v>1422</v>
      </c>
      <c r="C18" s="379" t="s">
        <v>1438</v>
      </c>
      <c r="D18" s="379" t="s">
        <v>1441</v>
      </c>
      <c r="E18" s="379"/>
      <c r="F18" s="381" t="s">
        <v>148</v>
      </c>
      <c r="G18" s="381" t="s">
        <v>148</v>
      </c>
      <c r="H18" s="381">
        <v>0.3</v>
      </c>
      <c r="I18" s="381">
        <v>0.4</v>
      </c>
    </row>
    <row r="19" spans="1:9" x14ac:dyDescent="0.35">
      <c r="A19" s="379" t="s">
        <v>861</v>
      </c>
      <c r="B19" s="380" t="s">
        <v>1422</v>
      </c>
      <c r="C19" s="379" t="s">
        <v>1438</v>
      </c>
      <c r="D19" s="379" t="s">
        <v>1442</v>
      </c>
      <c r="E19" s="379"/>
      <c r="F19" s="381" t="s">
        <v>148</v>
      </c>
      <c r="G19" s="381" t="s">
        <v>148</v>
      </c>
      <c r="H19" s="381">
        <v>0.6</v>
      </c>
      <c r="I19" s="381">
        <v>0.7</v>
      </c>
    </row>
    <row r="20" spans="1:9" x14ac:dyDescent="0.35">
      <c r="A20" s="379" t="s">
        <v>861</v>
      </c>
      <c r="B20" s="380" t="s">
        <v>1422</v>
      </c>
      <c r="C20" s="379" t="s">
        <v>1438</v>
      </c>
      <c r="D20" s="379" t="s">
        <v>1443</v>
      </c>
      <c r="E20" s="379"/>
      <c r="F20" s="381" t="s">
        <v>148</v>
      </c>
      <c r="G20" s="381" t="s">
        <v>148</v>
      </c>
      <c r="H20" s="381">
        <v>12.5</v>
      </c>
      <c r="I20" s="381">
        <v>15</v>
      </c>
    </row>
    <row r="21" spans="1:9" x14ac:dyDescent="0.35">
      <c r="A21" s="379" t="s">
        <v>861</v>
      </c>
      <c r="B21" s="380" t="s">
        <v>1422</v>
      </c>
      <c r="C21" s="379" t="s">
        <v>1438</v>
      </c>
      <c r="D21" s="379" t="s">
        <v>1444</v>
      </c>
      <c r="E21" s="379"/>
      <c r="F21" s="381" t="s">
        <v>148</v>
      </c>
      <c r="G21" s="381" t="s">
        <v>148</v>
      </c>
      <c r="H21" s="381">
        <v>2</v>
      </c>
      <c r="I21" s="381">
        <v>3</v>
      </c>
    </row>
    <row r="22" spans="1:9" x14ac:dyDescent="0.35">
      <c r="A22" s="379" t="s">
        <v>861</v>
      </c>
      <c r="B22" s="380" t="s">
        <v>1422</v>
      </c>
      <c r="C22" s="379" t="s">
        <v>1438</v>
      </c>
      <c r="D22" s="379" t="s">
        <v>833</v>
      </c>
      <c r="E22" s="379"/>
      <c r="F22" s="381" t="s">
        <v>148</v>
      </c>
      <c r="G22" s="381" t="s">
        <v>148</v>
      </c>
      <c r="H22" s="381">
        <v>20</v>
      </c>
      <c r="I22" s="381">
        <v>25</v>
      </c>
    </row>
  </sheetData>
  <conditionalFormatting sqref="F2:I22">
    <cfRule type="expression" dxfId="0" priority="1">
      <formula>$N2="Modificar"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7254-AB9C-4F0C-8830-AF16654DB248}">
  <dimension ref="A1:W41"/>
  <sheetViews>
    <sheetView zoomScale="85" zoomScaleNormal="85" workbookViewId="0">
      <selection activeCell="M7" sqref="M7"/>
    </sheetView>
  </sheetViews>
  <sheetFormatPr baseColWidth="10" defaultRowHeight="14.5" x14ac:dyDescent="0.35"/>
  <sheetData>
    <row r="1" spans="1:23" x14ac:dyDescent="0.35">
      <c r="A1" s="99" t="s">
        <v>407</v>
      </c>
      <c r="B1" s="99" t="s">
        <v>440</v>
      </c>
      <c r="C1" s="99" t="s">
        <v>441</v>
      </c>
      <c r="D1" s="99" t="s">
        <v>442</v>
      </c>
      <c r="E1" s="99" t="s">
        <v>443</v>
      </c>
      <c r="F1" s="99" t="s">
        <v>444</v>
      </c>
      <c r="G1" s="99" t="s">
        <v>445</v>
      </c>
      <c r="H1" s="99" t="s">
        <v>446</v>
      </c>
      <c r="J1" s="326" t="s">
        <v>447</v>
      </c>
      <c r="K1" s="326" t="s">
        <v>407</v>
      </c>
      <c r="L1" s="326" t="s">
        <v>1250</v>
      </c>
      <c r="M1" s="326" t="s">
        <v>1251</v>
      </c>
      <c r="N1" s="326" t="s">
        <v>1252</v>
      </c>
      <c r="O1" s="326" t="s">
        <v>1238</v>
      </c>
      <c r="P1" s="326" t="s">
        <v>1134</v>
      </c>
      <c r="Q1" s="326" t="s">
        <v>1135</v>
      </c>
      <c r="R1" s="326" t="s">
        <v>1136</v>
      </c>
      <c r="S1" s="326" t="s">
        <v>1137</v>
      </c>
      <c r="T1" s="326" t="s">
        <v>1115</v>
      </c>
      <c r="U1" s="326" t="s">
        <v>1116</v>
      </c>
      <c r="V1" s="326" t="s">
        <v>1100</v>
      </c>
      <c r="W1" s="326" t="s">
        <v>1101</v>
      </c>
    </row>
    <row r="2" spans="1:23" ht="23" x14ac:dyDescent="0.35">
      <c r="A2" s="99" t="s">
        <v>457</v>
      </c>
      <c r="B2" s="100" t="s">
        <v>480</v>
      </c>
      <c r="C2" s="100" t="s">
        <v>481</v>
      </c>
      <c r="D2" s="100" t="s">
        <v>482</v>
      </c>
      <c r="E2" s="100" t="s">
        <v>475</v>
      </c>
      <c r="F2" s="100" t="s">
        <v>472</v>
      </c>
      <c r="G2" s="100" t="s">
        <v>477</v>
      </c>
      <c r="H2" s="100" t="s">
        <v>478</v>
      </c>
      <c r="J2" s="327" t="s">
        <v>483</v>
      </c>
      <c r="K2" s="327" t="s">
        <v>457</v>
      </c>
      <c r="L2" s="317" t="s">
        <v>1253</v>
      </c>
      <c r="M2" s="317" t="s">
        <v>1254</v>
      </c>
      <c r="N2" s="317" t="s">
        <v>1254</v>
      </c>
      <c r="O2" s="317" t="s">
        <v>1239</v>
      </c>
      <c r="P2" s="317" t="s">
        <v>1138</v>
      </c>
      <c r="Q2" s="317" t="s">
        <v>1139</v>
      </c>
      <c r="R2" s="317" t="s">
        <v>1139</v>
      </c>
      <c r="S2" s="317" t="s">
        <v>1139</v>
      </c>
      <c r="T2" s="317" t="s">
        <v>1117</v>
      </c>
      <c r="U2" s="317" t="s">
        <v>1118</v>
      </c>
      <c r="V2" s="317" t="s">
        <v>1102</v>
      </c>
      <c r="W2" s="317" t="s">
        <v>1103</v>
      </c>
    </row>
    <row r="3" spans="1:23" ht="23" x14ac:dyDescent="0.35">
      <c r="A3" s="99" t="s">
        <v>487</v>
      </c>
      <c r="B3" s="100" t="s">
        <v>488</v>
      </c>
      <c r="C3" s="100" t="s">
        <v>488</v>
      </c>
      <c r="D3" s="100" t="s">
        <v>488</v>
      </c>
      <c r="E3" s="100" t="s">
        <v>488</v>
      </c>
      <c r="F3" s="100" t="s">
        <v>488</v>
      </c>
      <c r="G3" s="100" t="s">
        <v>488</v>
      </c>
      <c r="H3" s="100" t="s">
        <v>488</v>
      </c>
      <c r="J3" s="327" t="s">
        <v>483</v>
      </c>
      <c r="K3" s="327" t="s">
        <v>489</v>
      </c>
      <c r="L3" s="317" t="s">
        <v>490</v>
      </c>
      <c r="M3" s="317" t="s">
        <v>490</v>
      </c>
      <c r="N3" s="317" t="s">
        <v>490</v>
      </c>
      <c r="O3" s="317" t="s">
        <v>490</v>
      </c>
      <c r="P3" s="317" t="s">
        <v>490</v>
      </c>
      <c r="Q3" s="317" t="s">
        <v>490</v>
      </c>
      <c r="R3" s="317" t="s">
        <v>490</v>
      </c>
      <c r="S3" s="317" t="s">
        <v>490</v>
      </c>
      <c r="T3" s="317" t="s">
        <v>490</v>
      </c>
      <c r="U3" s="317" t="s">
        <v>490</v>
      </c>
      <c r="V3" s="317" t="s">
        <v>490</v>
      </c>
      <c r="W3" s="317" t="s">
        <v>490</v>
      </c>
    </row>
    <row r="4" spans="1:23" ht="23" x14ac:dyDescent="0.35">
      <c r="A4" s="99" t="s">
        <v>491</v>
      </c>
      <c r="B4" s="100" t="s">
        <v>492</v>
      </c>
      <c r="C4" s="100" t="s">
        <v>492</v>
      </c>
      <c r="D4" s="100" t="s">
        <v>492</v>
      </c>
      <c r="E4" s="100" t="s">
        <v>492</v>
      </c>
      <c r="F4" s="100" t="s">
        <v>492</v>
      </c>
      <c r="G4" s="100" t="s">
        <v>492</v>
      </c>
      <c r="H4" s="100" t="s">
        <v>492</v>
      </c>
      <c r="J4" s="327" t="s">
        <v>483</v>
      </c>
      <c r="K4" s="327" t="s">
        <v>487</v>
      </c>
      <c r="L4" s="317" t="s">
        <v>488</v>
      </c>
      <c r="M4" s="317" t="s">
        <v>488</v>
      </c>
      <c r="N4" s="317" t="s">
        <v>488</v>
      </c>
      <c r="O4" s="317" t="s">
        <v>488</v>
      </c>
      <c r="P4" s="317" t="s">
        <v>488</v>
      </c>
      <c r="Q4" s="317" t="s">
        <v>488</v>
      </c>
      <c r="R4" s="317" t="s">
        <v>488</v>
      </c>
      <c r="S4" s="317" t="s">
        <v>488</v>
      </c>
      <c r="T4" s="317" t="s">
        <v>488</v>
      </c>
      <c r="U4" s="317" t="s">
        <v>488</v>
      </c>
      <c r="V4" s="317" t="s">
        <v>488</v>
      </c>
      <c r="W4" s="317" t="s">
        <v>488</v>
      </c>
    </row>
    <row r="5" spans="1:23" ht="34.5" x14ac:dyDescent="0.35">
      <c r="A5" s="99" t="s">
        <v>493</v>
      </c>
      <c r="B5" s="98" t="s">
        <v>226</v>
      </c>
      <c r="C5" s="98">
        <v>15.27</v>
      </c>
      <c r="D5" s="98">
        <v>14.42</v>
      </c>
      <c r="E5" s="98">
        <v>14.33</v>
      </c>
      <c r="F5" s="98">
        <v>14.5</v>
      </c>
      <c r="G5" s="98">
        <v>14.25</v>
      </c>
      <c r="H5" s="98">
        <v>14.53</v>
      </c>
      <c r="J5" s="327" t="s">
        <v>483</v>
      </c>
      <c r="K5" s="327" t="s">
        <v>500</v>
      </c>
      <c r="L5" s="317" t="s">
        <v>501</v>
      </c>
      <c r="M5" s="317" t="s">
        <v>501</v>
      </c>
      <c r="N5" s="317" t="s">
        <v>501</v>
      </c>
      <c r="O5" s="317" t="s">
        <v>501</v>
      </c>
      <c r="P5" s="317" t="s">
        <v>501</v>
      </c>
      <c r="Q5" s="317" t="s">
        <v>501</v>
      </c>
      <c r="R5" s="317" t="s">
        <v>501</v>
      </c>
      <c r="S5" s="317" t="s">
        <v>501</v>
      </c>
      <c r="T5" s="317" t="s">
        <v>501</v>
      </c>
      <c r="U5" s="317" t="s">
        <v>501</v>
      </c>
      <c r="V5" s="317" t="s">
        <v>501</v>
      </c>
      <c r="W5" s="317" t="s">
        <v>501</v>
      </c>
    </row>
    <row r="6" spans="1:23" ht="34.5" x14ac:dyDescent="0.35">
      <c r="A6" s="99" t="s">
        <v>510</v>
      </c>
      <c r="B6" s="98" t="s">
        <v>501</v>
      </c>
      <c r="C6" s="98">
        <v>0</v>
      </c>
      <c r="D6" s="98">
        <v>0</v>
      </c>
      <c r="E6" s="98">
        <v>0</v>
      </c>
      <c r="F6" s="98">
        <v>0</v>
      </c>
      <c r="G6" s="98">
        <v>0</v>
      </c>
      <c r="H6" s="98">
        <v>107</v>
      </c>
      <c r="J6" s="327" t="s">
        <v>483</v>
      </c>
      <c r="K6" s="327" t="s">
        <v>512</v>
      </c>
      <c r="L6" s="317" t="s">
        <v>501</v>
      </c>
      <c r="M6" s="317" t="s">
        <v>501</v>
      </c>
      <c r="N6" s="317" t="s">
        <v>501</v>
      </c>
      <c r="O6" s="317" t="s">
        <v>501</v>
      </c>
      <c r="P6" s="317" t="s">
        <v>501</v>
      </c>
      <c r="Q6" s="317" t="s">
        <v>501</v>
      </c>
      <c r="R6" s="317" t="s">
        <v>501</v>
      </c>
      <c r="S6" s="317" t="s">
        <v>501</v>
      </c>
      <c r="T6" s="317" t="s">
        <v>501</v>
      </c>
      <c r="U6" s="317" t="s">
        <v>501</v>
      </c>
      <c r="V6" s="317" t="s">
        <v>501</v>
      </c>
      <c r="W6" s="317" t="s">
        <v>501</v>
      </c>
    </row>
    <row r="7" spans="1:23" ht="31.5" x14ac:dyDescent="0.35">
      <c r="A7" s="99" t="s">
        <v>511</v>
      </c>
      <c r="B7" s="98" t="s">
        <v>514</v>
      </c>
      <c r="C7" s="98">
        <v>1</v>
      </c>
      <c r="D7" s="98">
        <v>1</v>
      </c>
      <c r="E7" s="98">
        <v>1</v>
      </c>
      <c r="F7" s="98">
        <v>1</v>
      </c>
      <c r="G7" s="98">
        <v>1</v>
      </c>
      <c r="H7" s="98">
        <v>0</v>
      </c>
      <c r="J7" s="327" t="s">
        <v>483</v>
      </c>
      <c r="K7" s="327" t="s">
        <v>491</v>
      </c>
      <c r="L7" s="317" t="s">
        <v>1104</v>
      </c>
      <c r="M7" s="317" t="s">
        <v>1104</v>
      </c>
      <c r="N7" s="317" t="s">
        <v>1104</v>
      </c>
      <c r="O7" s="317" t="s">
        <v>1104</v>
      </c>
      <c r="P7" s="317" t="s">
        <v>1104</v>
      </c>
      <c r="Q7" s="317" t="s">
        <v>1104</v>
      </c>
      <c r="R7" s="317" t="s">
        <v>1104</v>
      </c>
      <c r="S7" s="317" t="s">
        <v>1104</v>
      </c>
      <c r="T7" s="317" t="s">
        <v>1104</v>
      </c>
      <c r="U7" s="317" t="s">
        <v>1104</v>
      </c>
      <c r="V7" s="317" t="s">
        <v>1104</v>
      </c>
      <c r="W7" s="317" t="s">
        <v>1104</v>
      </c>
    </row>
    <row r="8" spans="1:23" ht="34.5" x14ac:dyDescent="0.35">
      <c r="A8" s="99" t="s">
        <v>515</v>
      </c>
      <c r="B8" s="98" t="s">
        <v>501</v>
      </c>
      <c r="C8" s="98">
        <v>0</v>
      </c>
      <c r="D8" s="98">
        <v>0</v>
      </c>
      <c r="E8" s="98">
        <v>0</v>
      </c>
      <c r="F8" s="98">
        <v>0</v>
      </c>
      <c r="G8" s="98">
        <v>0</v>
      </c>
      <c r="H8" s="98">
        <v>0</v>
      </c>
      <c r="J8" s="327" t="s">
        <v>502</v>
      </c>
      <c r="K8" s="327" t="s">
        <v>493</v>
      </c>
      <c r="L8" s="316" t="s">
        <v>1255</v>
      </c>
      <c r="M8" s="316" t="s">
        <v>1256</v>
      </c>
      <c r="N8" s="316" t="s">
        <v>1257</v>
      </c>
      <c r="O8" s="316" t="s">
        <v>1240</v>
      </c>
      <c r="P8" s="316">
        <v>16.577500000000001</v>
      </c>
      <c r="Q8" s="316">
        <v>15.505000000000001</v>
      </c>
      <c r="R8" s="316">
        <v>15.910600000000001</v>
      </c>
      <c r="S8" s="316">
        <v>15.9573</v>
      </c>
      <c r="T8" s="316">
        <v>16.2699</v>
      </c>
      <c r="U8" s="316">
        <v>16.126899999999999</v>
      </c>
      <c r="V8" s="316">
        <v>17.04</v>
      </c>
      <c r="W8" s="316">
        <v>16.48</v>
      </c>
    </row>
    <row r="9" spans="1:23" ht="23" x14ac:dyDescent="0.35">
      <c r="A9" s="99" t="s">
        <v>518</v>
      </c>
      <c r="B9" s="98" t="s">
        <v>501</v>
      </c>
      <c r="C9" s="98">
        <v>0</v>
      </c>
      <c r="D9" s="98">
        <v>0</v>
      </c>
      <c r="E9" s="98">
        <v>0</v>
      </c>
      <c r="F9" s="98">
        <v>0</v>
      </c>
      <c r="G9" s="98">
        <v>0</v>
      </c>
      <c r="H9" s="98">
        <v>0</v>
      </c>
      <c r="J9" s="327" t="s">
        <v>521</v>
      </c>
      <c r="K9" s="327" t="s">
        <v>522</v>
      </c>
      <c r="L9" s="316"/>
      <c r="M9" s="316"/>
      <c r="N9" s="316"/>
      <c r="O9" s="316"/>
      <c r="P9" s="316"/>
      <c r="Q9" s="316"/>
      <c r="R9" s="316"/>
      <c r="S9" s="316"/>
      <c r="T9" s="316" t="s">
        <v>523</v>
      </c>
      <c r="U9" s="316" t="s">
        <v>523</v>
      </c>
      <c r="V9" s="316" t="s">
        <v>523</v>
      </c>
      <c r="W9" s="316" t="s">
        <v>523</v>
      </c>
    </row>
    <row r="10" spans="1:23" ht="23" x14ac:dyDescent="0.35">
      <c r="A10" s="99" t="s">
        <v>520</v>
      </c>
      <c r="B10" s="98" t="s">
        <v>501</v>
      </c>
      <c r="C10" s="98">
        <v>0</v>
      </c>
      <c r="D10" s="98">
        <v>0</v>
      </c>
      <c r="E10" s="98">
        <v>0</v>
      </c>
      <c r="F10" s="98">
        <v>0</v>
      </c>
      <c r="G10" s="98">
        <v>0</v>
      </c>
      <c r="H10" s="98">
        <v>0</v>
      </c>
      <c r="J10" s="327" t="s">
        <v>521</v>
      </c>
      <c r="K10" s="327" t="s">
        <v>526</v>
      </c>
      <c r="L10" s="316"/>
      <c r="M10" s="316"/>
      <c r="N10" s="316"/>
      <c r="O10" s="316"/>
      <c r="P10" s="316"/>
      <c r="Q10" s="316"/>
      <c r="R10" s="316"/>
      <c r="S10" s="316"/>
      <c r="T10" s="316" t="s">
        <v>501</v>
      </c>
      <c r="U10" s="316" t="s">
        <v>501</v>
      </c>
      <c r="V10" s="316" t="s">
        <v>501</v>
      </c>
      <c r="W10" s="316" t="s">
        <v>501</v>
      </c>
    </row>
    <row r="11" spans="1:23" ht="23" x14ac:dyDescent="0.35">
      <c r="A11" s="99" t="s">
        <v>524</v>
      </c>
      <c r="B11" s="98" t="s">
        <v>501</v>
      </c>
      <c r="C11" s="98">
        <v>0</v>
      </c>
      <c r="D11" s="98">
        <v>1</v>
      </c>
      <c r="E11" s="98">
        <v>0</v>
      </c>
      <c r="F11" s="98">
        <v>0</v>
      </c>
      <c r="G11" s="98">
        <v>0</v>
      </c>
      <c r="H11" s="98">
        <v>0</v>
      </c>
      <c r="J11" s="327" t="s">
        <v>521</v>
      </c>
      <c r="K11" s="327" t="s">
        <v>528</v>
      </c>
      <c r="L11" s="316"/>
      <c r="M11" s="316"/>
      <c r="N11" s="316"/>
      <c r="O11" s="316"/>
      <c r="P11" s="316"/>
      <c r="Q11" s="316"/>
      <c r="R11" s="316"/>
      <c r="S11" s="316"/>
      <c r="T11" s="316" t="s">
        <v>501</v>
      </c>
      <c r="U11" s="316" t="s">
        <v>501</v>
      </c>
      <c r="V11" s="316" t="s">
        <v>501</v>
      </c>
      <c r="W11" s="316" t="s">
        <v>276</v>
      </c>
    </row>
    <row r="12" spans="1:23" ht="23" x14ac:dyDescent="0.35">
      <c r="A12" s="99" t="s">
        <v>406</v>
      </c>
      <c r="B12" s="98" t="s">
        <v>501</v>
      </c>
      <c r="C12" s="98">
        <v>0</v>
      </c>
      <c r="D12" s="98">
        <v>1</v>
      </c>
      <c r="E12" s="98">
        <v>0</v>
      </c>
      <c r="F12" s="98">
        <v>0</v>
      </c>
      <c r="G12" s="98">
        <v>1</v>
      </c>
      <c r="H12" s="98">
        <v>0</v>
      </c>
      <c r="J12" s="327" t="s">
        <v>521</v>
      </c>
      <c r="K12" s="327" t="s">
        <v>530</v>
      </c>
      <c r="L12" s="316"/>
      <c r="M12" s="316"/>
      <c r="N12" s="316"/>
      <c r="O12" s="316"/>
      <c r="P12" s="316"/>
      <c r="Q12" s="316"/>
      <c r="R12" s="316"/>
      <c r="S12" s="316"/>
      <c r="T12" s="316" t="s">
        <v>501</v>
      </c>
      <c r="U12" s="316" t="s">
        <v>501</v>
      </c>
      <c r="V12" s="316" t="s">
        <v>501</v>
      </c>
      <c r="W12" s="316" t="s">
        <v>501</v>
      </c>
    </row>
    <row r="13" spans="1:23" ht="34.5" x14ac:dyDescent="0.35">
      <c r="A13" s="99" t="s">
        <v>527</v>
      </c>
      <c r="B13" s="98" t="s">
        <v>501</v>
      </c>
      <c r="C13" s="98">
        <v>0</v>
      </c>
      <c r="D13" s="98">
        <v>0</v>
      </c>
      <c r="E13" s="98">
        <v>0</v>
      </c>
      <c r="F13" s="98">
        <v>0</v>
      </c>
      <c r="G13" s="98">
        <v>1</v>
      </c>
      <c r="H13" s="98">
        <v>0</v>
      </c>
      <c r="J13" s="327" t="s">
        <v>534</v>
      </c>
      <c r="K13" s="327" t="s">
        <v>535</v>
      </c>
      <c r="L13" s="316"/>
      <c r="M13" s="316"/>
      <c r="N13" s="316"/>
      <c r="O13" s="316"/>
      <c r="P13" s="316"/>
      <c r="Q13" s="316"/>
      <c r="R13" s="316"/>
      <c r="S13" s="316"/>
      <c r="T13" s="316" t="s">
        <v>501</v>
      </c>
      <c r="U13" s="316" t="s">
        <v>501</v>
      </c>
      <c r="V13" s="316" t="s">
        <v>501</v>
      </c>
      <c r="W13" s="316" t="s">
        <v>501</v>
      </c>
    </row>
    <row r="14" spans="1:23" ht="34.5" x14ac:dyDescent="0.35">
      <c r="A14" s="99" t="s">
        <v>529</v>
      </c>
      <c r="B14" s="98" t="s">
        <v>501</v>
      </c>
      <c r="C14" s="98">
        <v>0</v>
      </c>
      <c r="D14" s="98">
        <v>0</v>
      </c>
      <c r="E14" s="98">
        <v>0</v>
      </c>
      <c r="F14" s="98">
        <v>0</v>
      </c>
      <c r="G14" s="98">
        <v>0</v>
      </c>
      <c r="H14" s="98">
        <v>0</v>
      </c>
      <c r="J14" s="327" t="s">
        <v>534</v>
      </c>
      <c r="K14" s="327" t="s">
        <v>536</v>
      </c>
      <c r="L14" s="316"/>
      <c r="M14" s="316"/>
      <c r="N14" s="316"/>
      <c r="O14" s="316"/>
      <c r="P14" s="316"/>
      <c r="Q14" s="316"/>
      <c r="R14" s="316"/>
      <c r="S14" s="316"/>
      <c r="T14" s="316" t="s">
        <v>501</v>
      </c>
      <c r="U14" s="316" t="s">
        <v>501</v>
      </c>
      <c r="V14" s="316" t="s">
        <v>501</v>
      </c>
      <c r="W14" s="316" t="s">
        <v>501</v>
      </c>
    </row>
    <row r="15" spans="1:23" ht="34.5" x14ac:dyDescent="0.35">
      <c r="A15" s="99" t="s">
        <v>531</v>
      </c>
      <c r="B15" s="98" t="s">
        <v>501</v>
      </c>
      <c r="C15" s="98">
        <v>1</v>
      </c>
      <c r="D15" s="98">
        <v>1</v>
      </c>
      <c r="E15" s="98">
        <v>0</v>
      </c>
      <c r="F15" s="98">
        <v>0</v>
      </c>
      <c r="G15" s="98">
        <v>0</v>
      </c>
      <c r="H15" s="98">
        <v>1</v>
      </c>
      <c r="J15" s="327" t="s">
        <v>534</v>
      </c>
      <c r="K15" s="327" t="s">
        <v>546</v>
      </c>
      <c r="L15" s="316"/>
      <c r="M15" s="316"/>
      <c r="N15" s="316"/>
      <c r="O15" s="316"/>
      <c r="P15" s="316"/>
      <c r="Q15" s="316"/>
      <c r="R15" s="316"/>
      <c r="S15" s="316"/>
      <c r="T15" s="316" t="s">
        <v>501</v>
      </c>
      <c r="U15" s="316" t="s">
        <v>501</v>
      </c>
      <c r="V15" s="316" t="s">
        <v>501</v>
      </c>
      <c r="W15" s="316" t="s">
        <v>501</v>
      </c>
    </row>
    <row r="16" spans="1:23" ht="34.5" x14ac:dyDescent="0.35">
      <c r="A16" s="99" t="s">
        <v>400</v>
      </c>
      <c r="B16" s="98" t="s">
        <v>501</v>
      </c>
      <c r="C16" s="98">
        <v>0</v>
      </c>
      <c r="D16" s="98">
        <v>0</v>
      </c>
      <c r="E16" s="98">
        <v>0</v>
      </c>
      <c r="F16" s="98">
        <v>0</v>
      </c>
      <c r="G16" s="98">
        <v>0</v>
      </c>
      <c r="H16" s="98">
        <v>0</v>
      </c>
      <c r="J16" s="327" t="s">
        <v>534</v>
      </c>
      <c r="K16" s="327" t="s">
        <v>549</v>
      </c>
      <c r="L16" s="316"/>
      <c r="M16" s="316"/>
      <c r="N16" s="316"/>
      <c r="O16" s="316"/>
      <c r="P16" s="316"/>
      <c r="Q16" s="316"/>
      <c r="R16" s="316"/>
      <c r="S16" s="316"/>
      <c r="T16" s="316" t="s">
        <v>501</v>
      </c>
      <c r="U16" s="316" t="s">
        <v>501</v>
      </c>
      <c r="V16" s="316" t="s">
        <v>501</v>
      </c>
      <c r="W16" s="316" t="s">
        <v>501</v>
      </c>
    </row>
    <row r="17" spans="1:23" ht="34.5" x14ac:dyDescent="0.35">
      <c r="A17" s="99" t="s">
        <v>392</v>
      </c>
      <c r="B17" s="98" t="s">
        <v>545</v>
      </c>
      <c r="C17" s="98">
        <v>7</v>
      </c>
      <c r="D17" s="98">
        <v>8</v>
      </c>
      <c r="E17" s="98">
        <v>8</v>
      </c>
      <c r="F17" s="98">
        <v>9</v>
      </c>
      <c r="G17" s="98">
        <v>10</v>
      </c>
      <c r="H17" s="98">
        <v>8</v>
      </c>
      <c r="J17" s="327" t="s">
        <v>516</v>
      </c>
      <c r="K17" s="327" t="s">
        <v>511</v>
      </c>
      <c r="L17" s="316" t="s">
        <v>501</v>
      </c>
      <c r="M17" s="316" t="s">
        <v>517</v>
      </c>
      <c r="N17" s="316" t="s">
        <v>501</v>
      </c>
      <c r="O17" s="316" t="s">
        <v>514</v>
      </c>
      <c r="P17" s="316" t="s">
        <v>514</v>
      </c>
      <c r="Q17" s="316" t="s">
        <v>514</v>
      </c>
      <c r="R17" s="316" t="s">
        <v>517</v>
      </c>
      <c r="S17" s="316" t="s">
        <v>517</v>
      </c>
      <c r="T17" s="316" t="s">
        <v>514</v>
      </c>
      <c r="U17" s="316" t="s">
        <v>514</v>
      </c>
      <c r="V17" s="316" t="s">
        <v>514</v>
      </c>
      <c r="W17" s="316" t="s">
        <v>514</v>
      </c>
    </row>
    <row r="18" spans="1:23" ht="34.5" x14ac:dyDescent="0.35">
      <c r="A18" s="99" t="s">
        <v>393</v>
      </c>
      <c r="B18" s="98" t="s">
        <v>514</v>
      </c>
      <c r="C18" s="98">
        <v>0</v>
      </c>
      <c r="D18" s="98">
        <v>0</v>
      </c>
      <c r="E18" s="98">
        <v>0</v>
      </c>
      <c r="F18" s="98">
        <v>0</v>
      </c>
      <c r="G18" s="98">
        <v>0</v>
      </c>
      <c r="H18" s="98">
        <v>0</v>
      </c>
      <c r="J18" s="327" t="s">
        <v>516</v>
      </c>
      <c r="K18" s="327" t="s">
        <v>515</v>
      </c>
      <c r="L18" s="316" t="s">
        <v>501</v>
      </c>
      <c r="M18" s="316" t="s">
        <v>501</v>
      </c>
      <c r="N18" s="316" t="s">
        <v>501</v>
      </c>
      <c r="O18" s="316" t="s">
        <v>501</v>
      </c>
      <c r="P18" s="316" t="s">
        <v>501</v>
      </c>
      <c r="Q18" s="316" t="s">
        <v>501</v>
      </c>
      <c r="R18" s="316" t="s">
        <v>501</v>
      </c>
      <c r="S18" s="316" t="s">
        <v>501</v>
      </c>
      <c r="T18" s="316" t="s">
        <v>501</v>
      </c>
      <c r="U18" s="316" t="s">
        <v>501</v>
      </c>
      <c r="V18" s="316" t="s">
        <v>501</v>
      </c>
      <c r="W18" s="316" t="s">
        <v>501</v>
      </c>
    </row>
    <row r="19" spans="1:23" ht="34.5" x14ac:dyDescent="0.35">
      <c r="A19" s="99" t="s">
        <v>398</v>
      </c>
      <c r="B19" s="98" t="s">
        <v>514</v>
      </c>
      <c r="C19" s="98">
        <v>3</v>
      </c>
      <c r="D19" s="98">
        <v>1</v>
      </c>
      <c r="E19" s="98">
        <v>1</v>
      </c>
      <c r="F19" s="98">
        <v>2</v>
      </c>
      <c r="G19" s="98">
        <v>2</v>
      </c>
      <c r="H19" s="98">
        <v>1</v>
      </c>
      <c r="J19" s="327" t="s">
        <v>516</v>
      </c>
      <c r="K19" s="327" t="s">
        <v>518</v>
      </c>
      <c r="L19" s="316" t="s">
        <v>501</v>
      </c>
      <c r="M19" s="316" t="s">
        <v>501</v>
      </c>
      <c r="N19" s="316" t="s">
        <v>501</v>
      </c>
      <c r="O19" s="316" t="s">
        <v>501</v>
      </c>
      <c r="P19" s="316" t="s">
        <v>501</v>
      </c>
      <c r="Q19" s="316" t="s">
        <v>501</v>
      </c>
      <c r="R19" s="316" t="s">
        <v>501</v>
      </c>
      <c r="S19" s="316" t="s">
        <v>501</v>
      </c>
      <c r="T19" s="316" t="s">
        <v>501</v>
      </c>
      <c r="U19" s="316" t="s">
        <v>501</v>
      </c>
      <c r="V19" s="316" t="s">
        <v>501</v>
      </c>
      <c r="W19" s="316" t="s">
        <v>501</v>
      </c>
    </row>
    <row r="20" spans="1:23" ht="34.5" x14ac:dyDescent="0.35">
      <c r="A20" s="99" t="s">
        <v>552</v>
      </c>
      <c r="B20" s="98" t="s">
        <v>555</v>
      </c>
      <c r="C20" s="98">
        <v>31</v>
      </c>
      <c r="D20" s="98">
        <v>44</v>
      </c>
      <c r="E20" s="98">
        <v>42</v>
      </c>
      <c r="F20" s="98">
        <v>47</v>
      </c>
      <c r="G20" s="98">
        <v>49</v>
      </c>
      <c r="H20" s="98">
        <v>41</v>
      </c>
      <c r="J20" s="327" t="s">
        <v>516</v>
      </c>
      <c r="K20" s="327" t="s">
        <v>520</v>
      </c>
      <c r="L20" s="316" t="s">
        <v>501</v>
      </c>
      <c r="M20" s="316" t="s">
        <v>501</v>
      </c>
      <c r="N20" s="316" t="s">
        <v>501</v>
      </c>
      <c r="O20" s="316" t="s">
        <v>501</v>
      </c>
      <c r="P20" s="316" t="s">
        <v>501</v>
      </c>
      <c r="Q20" s="316" t="s">
        <v>501</v>
      </c>
      <c r="R20" s="316" t="s">
        <v>501</v>
      </c>
      <c r="S20" s="316" t="s">
        <v>501</v>
      </c>
      <c r="T20" s="316" t="s">
        <v>501</v>
      </c>
      <c r="U20" s="316" t="s">
        <v>501</v>
      </c>
      <c r="V20" s="316" t="s">
        <v>501</v>
      </c>
      <c r="W20" s="316" t="s">
        <v>501</v>
      </c>
    </row>
    <row r="21" spans="1:23" ht="34.5" x14ac:dyDescent="0.35">
      <c r="A21" s="99" t="s">
        <v>554</v>
      </c>
      <c r="B21" s="98" t="s">
        <v>501</v>
      </c>
      <c r="C21" s="98">
        <v>0</v>
      </c>
      <c r="D21" s="98">
        <v>0</v>
      </c>
      <c r="E21" s="98">
        <v>0</v>
      </c>
      <c r="F21" s="98">
        <v>0</v>
      </c>
      <c r="G21" s="98">
        <v>0</v>
      </c>
      <c r="H21" s="98">
        <v>0</v>
      </c>
      <c r="J21" s="327" t="s">
        <v>516</v>
      </c>
      <c r="K21" s="327" t="s">
        <v>524</v>
      </c>
      <c r="L21" s="316" t="s">
        <v>501</v>
      </c>
      <c r="M21" s="316" t="s">
        <v>501</v>
      </c>
      <c r="N21" s="316" t="s">
        <v>501</v>
      </c>
      <c r="O21" s="316" t="s">
        <v>514</v>
      </c>
      <c r="P21" s="316" t="s">
        <v>514</v>
      </c>
      <c r="Q21" s="316" t="s">
        <v>517</v>
      </c>
      <c r="R21" s="316" t="s">
        <v>514</v>
      </c>
      <c r="S21" s="316" t="s">
        <v>517</v>
      </c>
      <c r="T21" s="316" t="s">
        <v>501</v>
      </c>
      <c r="U21" s="316" t="s">
        <v>501</v>
      </c>
      <c r="V21" s="316" t="s">
        <v>501</v>
      </c>
      <c r="W21" s="316" t="s">
        <v>501</v>
      </c>
    </row>
    <row r="22" spans="1:23" ht="34.5" x14ac:dyDescent="0.35">
      <c r="A22" s="99" t="s">
        <v>399</v>
      </c>
      <c r="B22" s="98" t="s">
        <v>556</v>
      </c>
      <c r="C22" s="98">
        <v>1121</v>
      </c>
      <c r="D22" s="98">
        <v>1727</v>
      </c>
      <c r="E22" s="98">
        <v>1905</v>
      </c>
      <c r="F22" s="98">
        <v>1443</v>
      </c>
      <c r="G22" s="98">
        <v>1386</v>
      </c>
      <c r="H22" s="98">
        <v>1505</v>
      </c>
      <c r="J22" s="327" t="s">
        <v>516</v>
      </c>
      <c r="K22" s="327" t="s">
        <v>406</v>
      </c>
      <c r="L22" s="316" t="s">
        <v>501</v>
      </c>
      <c r="M22" s="316" t="s">
        <v>501</v>
      </c>
      <c r="N22" s="316" t="s">
        <v>501</v>
      </c>
      <c r="O22" s="316" t="s">
        <v>501</v>
      </c>
      <c r="P22" s="316" t="s">
        <v>501</v>
      </c>
      <c r="Q22" s="316" t="s">
        <v>514</v>
      </c>
      <c r="R22" s="316" t="s">
        <v>514</v>
      </c>
      <c r="S22" s="316" t="s">
        <v>514</v>
      </c>
      <c r="T22" s="316" t="s">
        <v>501</v>
      </c>
      <c r="U22" s="316" t="s">
        <v>501</v>
      </c>
      <c r="V22" s="316" t="s">
        <v>501</v>
      </c>
      <c r="W22" s="316" t="s">
        <v>501</v>
      </c>
    </row>
    <row r="23" spans="1:23" ht="34.5" x14ac:dyDescent="0.35">
      <c r="A23" s="99" t="s">
        <v>401</v>
      </c>
      <c r="B23" s="98" t="s">
        <v>560</v>
      </c>
      <c r="C23" s="98">
        <v>1253</v>
      </c>
      <c r="D23" s="98">
        <v>1535</v>
      </c>
      <c r="E23" s="98">
        <v>1556</v>
      </c>
      <c r="F23" s="98">
        <v>1266</v>
      </c>
      <c r="G23" s="98">
        <v>1171</v>
      </c>
      <c r="H23" s="98">
        <v>911</v>
      </c>
      <c r="J23" s="327" t="s">
        <v>516</v>
      </c>
      <c r="K23" s="327" t="s">
        <v>527</v>
      </c>
      <c r="L23" s="316" t="s">
        <v>501</v>
      </c>
      <c r="M23" s="316" t="s">
        <v>501</v>
      </c>
      <c r="N23" s="316" t="s">
        <v>501</v>
      </c>
      <c r="O23" s="316" t="s">
        <v>514</v>
      </c>
      <c r="P23" s="316" t="s">
        <v>501</v>
      </c>
      <c r="Q23" s="316" t="s">
        <v>501</v>
      </c>
      <c r="R23" s="316" t="s">
        <v>501</v>
      </c>
      <c r="S23" s="316" t="s">
        <v>501</v>
      </c>
      <c r="T23" s="316" t="s">
        <v>501</v>
      </c>
      <c r="U23" s="316" t="s">
        <v>501</v>
      </c>
      <c r="V23" s="316" t="s">
        <v>501</v>
      </c>
      <c r="W23" s="316" t="s">
        <v>514</v>
      </c>
    </row>
    <row r="24" spans="1:23" ht="34.5" x14ac:dyDescent="0.35">
      <c r="A24" s="99" t="s">
        <v>402</v>
      </c>
      <c r="B24" s="98" t="s">
        <v>562</v>
      </c>
      <c r="C24" s="98">
        <v>1651</v>
      </c>
      <c r="D24" s="98">
        <v>2081</v>
      </c>
      <c r="E24" s="98">
        <v>1939</v>
      </c>
      <c r="F24" s="98">
        <v>2055</v>
      </c>
      <c r="G24" s="98">
        <v>1953</v>
      </c>
      <c r="H24" s="98">
        <v>1414</v>
      </c>
      <c r="J24" s="327" t="s">
        <v>516</v>
      </c>
      <c r="K24" s="327" t="s">
        <v>529</v>
      </c>
      <c r="L24" s="316" t="s">
        <v>501</v>
      </c>
      <c r="M24" s="316" t="s">
        <v>501</v>
      </c>
      <c r="N24" s="316" t="s">
        <v>501</v>
      </c>
      <c r="O24" s="316" t="s">
        <v>501</v>
      </c>
      <c r="P24" s="316" t="s">
        <v>501</v>
      </c>
      <c r="Q24" s="316" t="s">
        <v>501</v>
      </c>
      <c r="R24" s="316" t="s">
        <v>501</v>
      </c>
      <c r="S24" s="316" t="s">
        <v>501</v>
      </c>
      <c r="T24" s="316" t="s">
        <v>501</v>
      </c>
      <c r="U24" s="316" t="s">
        <v>501</v>
      </c>
      <c r="V24" s="316" t="s">
        <v>501</v>
      </c>
      <c r="W24" s="316" t="s">
        <v>501</v>
      </c>
    </row>
    <row r="25" spans="1:23" ht="34.5" x14ac:dyDescent="0.35">
      <c r="A25" s="99" t="s">
        <v>561</v>
      </c>
      <c r="B25" s="98" t="s">
        <v>501</v>
      </c>
      <c r="C25" s="98">
        <v>2</v>
      </c>
      <c r="D25" s="98">
        <v>1</v>
      </c>
      <c r="E25" s="98">
        <v>1</v>
      </c>
      <c r="F25" s="98">
        <v>0</v>
      </c>
      <c r="G25" s="98">
        <v>0</v>
      </c>
      <c r="H25" s="98">
        <v>0</v>
      </c>
      <c r="J25" s="327" t="s">
        <v>516</v>
      </c>
      <c r="K25" s="327" t="s">
        <v>531</v>
      </c>
      <c r="L25" s="316" t="s">
        <v>501</v>
      </c>
      <c r="M25" s="316" t="s">
        <v>501</v>
      </c>
      <c r="N25" s="316" t="s">
        <v>501</v>
      </c>
      <c r="O25" s="316" t="s">
        <v>501</v>
      </c>
      <c r="P25" s="316" t="s">
        <v>501</v>
      </c>
      <c r="Q25" s="316" t="s">
        <v>514</v>
      </c>
      <c r="R25" s="316" t="s">
        <v>514</v>
      </c>
      <c r="S25" s="316" t="s">
        <v>501</v>
      </c>
      <c r="T25" s="316" t="s">
        <v>501</v>
      </c>
      <c r="U25" s="316" t="s">
        <v>501</v>
      </c>
      <c r="V25" s="316" t="s">
        <v>501</v>
      </c>
      <c r="W25" s="316" t="s">
        <v>514</v>
      </c>
    </row>
    <row r="26" spans="1:23" ht="46" x14ac:dyDescent="0.35">
      <c r="A26" s="99" t="s">
        <v>563</v>
      </c>
      <c r="B26" s="98" t="s">
        <v>501</v>
      </c>
      <c r="C26" s="98">
        <v>0</v>
      </c>
      <c r="D26" s="98">
        <v>0</v>
      </c>
      <c r="E26" s="98">
        <v>0</v>
      </c>
      <c r="F26" s="98">
        <v>0</v>
      </c>
      <c r="G26" s="98">
        <v>0</v>
      </c>
      <c r="H26" s="98">
        <v>0</v>
      </c>
      <c r="J26" s="327" t="s">
        <v>537</v>
      </c>
      <c r="K26" s="327" t="s">
        <v>400</v>
      </c>
      <c r="L26" s="316" t="s">
        <v>501</v>
      </c>
      <c r="M26" s="316" t="s">
        <v>501</v>
      </c>
      <c r="N26" s="316" t="s">
        <v>501</v>
      </c>
      <c r="O26" s="316" t="s">
        <v>501</v>
      </c>
      <c r="P26" s="316" t="s">
        <v>501</v>
      </c>
      <c r="Q26" s="316" t="s">
        <v>501</v>
      </c>
      <c r="R26" s="316" t="s">
        <v>501</v>
      </c>
      <c r="S26" s="316" t="s">
        <v>501</v>
      </c>
      <c r="T26" s="316" t="s">
        <v>501</v>
      </c>
      <c r="U26" s="316" t="s">
        <v>501</v>
      </c>
      <c r="V26" s="316" t="s">
        <v>501</v>
      </c>
      <c r="W26" s="316" t="s">
        <v>501</v>
      </c>
    </row>
    <row r="27" spans="1:23" ht="46" x14ac:dyDescent="0.35">
      <c r="A27" s="99" t="s">
        <v>394</v>
      </c>
      <c r="B27" s="98" t="s">
        <v>575</v>
      </c>
      <c r="C27" s="98">
        <v>1059</v>
      </c>
      <c r="D27" s="98">
        <v>1073</v>
      </c>
      <c r="E27" s="98">
        <v>1143</v>
      </c>
      <c r="F27" s="98">
        <v>1096</v>
      </c>
      <c r="G27" s="98">
        <v>1129</v>
      </c>
      <c r="H27" s="98">
        <v>1128</v>
      </c>
      <c r="J27" s="327" t="s">
        <v>537</v>
      </c>
      <c r="K27" s="327" t="s">
        <v>392</v>
      </c>
      <c r="L27" s="316" t="s">
        <v>553</v>
      </c>
      <c r="M27" s="316" t="s">
        <v>1106</v>
      </c>
      <c r="N27" s="316" t="s">
        <v>1120</v>
      </c>
      <c r="O27" s="316" t="s">
        <v>1120</v>
      </c>
      <c r="P27" s="316" t="s">
        <v>1120</v>
      </c>
      <c r="Q27" s="316" t="s">
        <v>1106</v>
      </c>
      <c r="R27" s="316" t="s">
        <v>1106</v>
      </c>
      <c r="S27" s="316" t="s">
        <v>1120</v>
      </c>
      <c r="T27" s="316" t="s">
        <v>1120</v>
      </c>
      <c r="U27" s="316" t="s">
        <v>1120</v>
      </c>
      <c r="V27" s="316" t="s">
        <v>1105</v>
      </c>
      <c r="W27" s="316" t="s">
        <v>1106</v>
      </c>
    </row>
    <row r="28" spans="1:23" ht="46" x14ac:dyDescent="0.35">
      <c r="A28" s="99" t="s">
        <v>574</v>
      </c>
      <c r="B28" s="98" t="s">
        <v>501</v>
      </c>
      <c r="C28" s="98">
        <v>0</v>
      </c>
      <c r="D28" s="98">
        <v>0</v>
      </c>
      <c r="E28" s="98">
        <v>0</v>
      </c>
      <c r="F28" s="98">
        <v>0</v>
      </c>
      <c r="G28" s="98">
        <v>1</v>
      </c>
      <c r="H28" s="98">
        <v>0</v>
      </c>
      <c r="J28" s="327" t="s">
        <v>537</v>
      </c>
      <c r="K28" s="327" t="s">
        <v>393</v>
      </c>
      <c r="L28" s="316" t="s">
        <v>580</v>
      </c>
      <c r="M28" s="316" t="s">
        <v>1141</v>
      </c>
      <c r="N28" s="316" t="s">
        <v>1258</v>
      </c>
      <c r="O28" s="316" t="s">
        <v>1210</v>
      </c>
      <c r="P28" s="316" t="s">
        <v>1140</v>
      </c>
      <c r="Q28" s="316" t="s">
        <v>1141</v>
      </c>
      <c r="R28" s="316" t="s">
        <v>1141</v>
      </c>
      <c r="S28" s="316" t="s">
        <v>1142</v>
      </c>
      <c r="T28" s="316" t="s">
        <v>580</v>
      </c>
      <c r="U28" s="316" t="s">
        <v>1121</v>
      </c>
      <c r="V28" s="316" t="s">
        <v>1107</v>
      </c>
      <c r="W28" s="316" t="s">
        <v>1108</v>
      </c>
    </row>
    <row r="29" spans="1:23" ht="46" x14ac:dyDescent="0.35">
      <c r="A29" s="99" t="s">
        <v>583</v>
      </c>
      <c r="B29" s="98" t="s">
        <v>544</v>
      </c>
      <c r="C29" s="98" t="s">
        <v>226</v>
      </c>
      <c r="D29" s="98">
        <v>22</v>
      </c>
      <c r="E29" s="98">
        <v>22</v>
      </c>
      <c r="F29" s="98">
        <v>23</v>
      </c>
      <c r="G29" s="98">
        <v>23</v>
      </c>
      <c r="H29" s="98">
        <v>23</v>
      </c>
      <c r="J29" s="327" t="s">
        <v>537</v>
      </c>
      <c r="K29" s="327" t="s">
        <v>398</v>
      </c>
      <c r="L29" s="316" t="s">
        <v>596</v>
      </c>
      <c r="M29" s="316" t="s">
        <v>596</v>
      </c>
      <c r="N29" s="316" t="s">
        <v>596</v>
      </c>
      <c r="O29" s="316" t="s">
        <v>596</v>
      </c>
      <c r="P29" s="316" t="s">
        <v>517</v>
      </c>
      <c r="Q29" s="316" t="s">
        <v>501</v>
      </c>
      <c r="R29" s="316" t="s">
        <v>501</v>
      </c>
      <c r="S29" s="316" t="s">
        <v>517</v>
      </c>
      <c r="T29" s="316" t="s">
        <v>596</v>
      </c>
      <c r="U29" s="316" t="s">
        <v>596</v>
      </c>
      <c r="V29" s="316" t="s">
        <v>596</v>
      </c>
      <c r="W29" s="316" t="s">
        <v>596</v>
      </c>
    </row>
    <row r="30" spans="1:23" ht="46" x14ac:dyDescent="0.35">
      <c r="A30" s="99" t="s">
        <v>586</v>
      </c>
      <c r="B30" s="98" t="s">
        <v>584</v>
      </c>
      <c r="C30" s="98" t="s">
        <v>226</v>
      </c>
      <c r="D30" s="98">
        <v>20</v>
      </c>
      <c r="E30" s="98">
        <v>20</v>
      </c>
      <c r="F30" s="98">
        <v>20</v>
      </c>
      <c r="G30" s="98">
        <v>20</v>
      </c>
      <c r="H30" s="98">
        <v>20</v>
      </c>
      <c r="J30" s="327" t="s">
        <v>537</v>
      </c>
      <c r="K30" s="327" t="s">
        <v>552</v>
      </c>
      <c r="L30" s="316" t="s">
        <v>1259</v>
      </c>
      <c r="M30" s="316" t="s">
        <v>1260</v>
      </c>
      <c r="N30" s="316" t="s">
        <v>1261</v>
      </c>
      <c r="O30" s="316" t="s">
        <v>551</v>
      </c>
      <c r="P30" s="316" t="s">
        <v>1143</v>
      </c>
      <c r="Q30" s="316" t="s">
        <v>579</v>
      </c>
      <c r="R30" s="316" t="s">
        <v>1144</v>
      </c>
      <c r="S30" s="316" t="s">
        <v>1145</v>
      </c>
      <c r="T30" s="316" t="s">
        <v>1122</v>
      </c>
      <c r="U30" s="316" t="s">
        <v>1109</v>
      </c>
      <c r="V30" s="316" t="s">
        <v>1109</v>
      </c>
      <c r="W30" s="316" t="s">
        <v>634</v>
      </c>
    </row>
    <row r="31" spans="1:23" ht="46" x14ac:dyDescent="0.35">
      <c r="A31" s="99" t="s">
        <v>590</v>
      </c>
      <c r="B31" s="98" t="s">
        <v>547</v>
      </c>
      <c r="C31" s="98" t="s">
        <v>226</v>
      </c>
      <c r="D31" s="98">
        <v>1</v>
      </c>
      <c r="E31" s="98">
        <v>11</v>
      </c>
      <c r="F31" s="98">
        <v>12</v>
      </c>
      <c r="G31" s="98">
        <v>12</v>
      </c>
      <c r="H31" s="98">
        <v>1</v>
      </c>
      <c r="J31" s="327" t="s">
        <v>537</v>
      </c>
      <c r="K31" s="327" t="s">
        <v>554</v>
      </c>
      <c r="L31" s="316" t="s">
        <v>501</v>
      </c>
      <c r="M31" s="316" t="s">
        <v>501</v>
      </c>
      <c r="N31" s="316" t="s">
        <v>501</v>
      </c>
      <c r="O31" s="316" t="s">
        <v>501</v>
      </c>
      <c r="P31" s="316" t="s">
        <v>501</v>
      </c>
      <c r="Q31" s="316" t="s">
        <v>501</v>
      </c>
      <c r="R31" s="316" t="s">
        <v>501</v>
      </c>
      <c r="S31" s="316" t="s">
        <v>501</v>
      </c>
      <c r="T31" s="316" t="s">
        <v>501</v>
      </c>
      <c r="U31" s="316" t="s">
        <v>501</v>
      </c>
      <c r="V31" s="316" t="s">
        <v>501</v>
      </c>
      <c r="W31" s="316" t="s">
        <v>501</v>
      </c>
    </row>
    <row r="32" spans="1:23" ht="23" x14ac:dyDescent="0.35">
      <c r="A32" s="99" t="s">
        <v>595</v>
      </c>
      <c r="B32" s="98" t="s">
        <v>605</v>
      </c>
      <c r="C32" s="98" t="s">
        <v>226</v>
      </c>
      <c r="D32" s="98">
        <v>24678</v>
      </c>
      <c r="E32" s="98">
        <v>27949</v>
      </c>
      <c r="F32" s="98">
        <v>63743</v>
      </c>
      <c r="G32" s="98">
        <v>50062</v>
      </c>
      <c r="H32" s="98">
        <v>50371</v>
      </c>
      <c r="J32" s="327" t="s">
        <v>557</v>
      </c>
      <c r="K32" s="327" t="s">
        <v>399</v>
      </c>
      <c r="L32" s="316" t="s">
        <v>1262</v>
      </c>
      <c r="M32" s="316" t="s">
        <v>1263</v>
      </c>
      <c r="N32" s="316" t="s">
        <v>1264</v>
      </c>
      <c r="O32" s="316" t="s">
        <v>1241</v>
      </c>
      <c r="P32" s="316" t="s">
        <v>591</v>
      </c>
      <c r="Q32" s="316" t="s">
        <v>1146</v>
      </c>
      <c r="R32" s="316" t="s">
        <v>1147</v>
      </c>
      <c r="S32" s="316" t="s">
        <v>1148</v>
      </c>
      <c r="T32" s="316" t="s">
        <v>1164</v>
      </c>
      <c r="U32" s="316" t="s">
        <v>1165</v>
      </c>
      <c r="V32" s="316" t="s">
        <v>1166</v>
      </c>
      <c r="W32" s="316" t="s">
        <v>1167</v>
      </c>
    </row>
    <row r="33" spans="1:23" ht="23" x14ac:dyDescent="0.35">
      <c r="A33" s="99" t="s">
        <v>604</v>
      </c>
      <c r="B33" s="98" t="s">
        <v>619</v>
      </c>
      <c r="C33" s="98" t="s">
        <v>226</v>
      </c>
      <c r="D33" s="98">
        <v>6424</v>
      </c>
      <c r="E33" s="98">
        <v>7030</v>
      </c>
      <c r="F33" s="98">
        <v>6965</v>
      </c>
      <c r="G33" s="98">
        <v>5841</v>
      </c>
      <c r="H33" s="98">
        <v>9257</v>
      </c>
      <c r="J33" s="327" t="s">
        <v>557</v>
      </c>
      <c r="K33" s="327" t="s">
        <v>401</v>
      </c>
      <c r="L33" s="316" t="s">
        <v>1265</v>
      </c>
      <c r="M33" s="316" t="s">
        <v>1266</v>
      </c>
      <c r="N33" s="316" t="s">
        <v>1267</v>
      </c>
      <c r="O33" s="316" t="s">
        <v>1242</v>
      </c>
      <c r="P33" s="316" t="s">
        <v>1149</v>
      </c>
      <c r="Q33" s="316" t="s">
        <v>1150</v>
      </c>
      <c r="R33" s="316" t="s">
        <v>1151</v>
      </c>
      <c r="S33" s="316" t="s">
        <v>1152</v>
      </c>
      <c r="T33" s="316" t="s">
        <v>1123</v>
      </c>
      <c r="U33" s="316" t="s">
        <v>1124</v>
      </c>
      <c r="V33" s="316" t="s">
        <v>1110</v>
      </c>
      <c r="W33" s="316" t="s">
        <v>1111</v>
      </c>
    </row>
    <row r="34" spans="1:23" ht="23" x14ac:dyDescent="0.35">
      <c r="A34" s="99" t="s">
        <v>618</v>
      </c>
      <c r="B34" s="98" t="s">
        <v>634</v>
      </c>
      <c r="C34" s="98" t="s">
        <v>226</v>
      </c>
      <c r="D34" s="98">
        <v>0</v>
      </c>
      <c r="E34" s="98">
        <v>10</v>
      </c>
      <c r="F34" s="98">
        <v>20</v>
      </c>
      <c r="G34" s="98">
        <v>33</v>
      </c>
      <c r="H34" s="98">
        <v>0</v>
      </c>
      <c r="J34" s="327" t="s">
        <v>557</v>
      </c>
      <c r="K34" s="327" t="s">
        <v>402</v>
      </c>
      <c r="L34" s="316" t="s">
        <v>1268</v>
      </c>
      <c r="M34" s="316" t="s">
        <v>1269</v>
      </c>
      <c r="N34" s="316" t="s">
        <v>1270</v>
      </c>
      <c r="O34" s="316" t="s">
        <v>1243</v>
      </c>
      <c r="P34" s="316" t="s">
        <v>1153</v>
      </c>
      <c r="Q34" s="316" t="s">
        <v>1154</v>
      </c>
      <c r="R34" s="316" t="s">
        <v>1155</v>
      </c>
      <c r="S34" s="316" t="s">
        <v>1156</v>
      </c>
      <c r="T34" s="316" t="s">
        <v>1112</v>
      </c>
      <c r="U34" s="316" t="s">
        <v>1125</v>
      </c>
      <c r="V34" s="316" t="s">
        <v>1112</v>
      </c>
      <c r="W34" s="316" t="s">
        <v>1113</v>
      </c>
    </row>
    <row r="35" spans="1:23" ht="73.5" x14ac:dyDescent="0.35">
      <c r="A35" s="99" t="s">
        <v>631</v>
      </c>
      <c r="B35" s="98" t="s">
        <v>226</v>
      </c>
      <c r="C35" s="98" t="s">
        <v>226</v>
      </c>
      <c r="D35" s="98" t="s">
        <v>226</v>
      </c>
      <c r="E35" s="98" t="s">
        <v>226</v>
      </c>
      <c r="F35" s="98" t="s">
        <v>170</v>
      </c>
      <c r="G35" s="98" t="s">
        <v>170</v>
      </c>
      <c r="H35" s="98" t="s">
        <v>156</v>
      </c>
      <c r="J35" s="327" t="s">
        <v>557</v>
      </c>
      <c r="K35" s="327" t="s">
        <v>561</v>
      </c>
      <c r="L35" s="316" t="s">
        <v>501</v>
      </c>
      <c r="M35" s="316" t="s">
        <v>501</v>
      </c>
      <c r="N35" s="316" t="s">
        <v>501</v>
      </c>
      <c r="O35" s="316" t="s">
        <v>501</v>
      </c>
      <c r="P35" s="316" t="s">
        <v>501</v>
      </c>
      <c r="Q35" s="316" t="s">
        <v>501</v>
      </c>
      <c r="R35" s="316" t="s">
        <v>501</v>
      </c>
      <c r="S35" s="316" t="s">
        <v>501</v>
      </c>
      <c r="T35" s="316" t="s">
        <v>501</v>
      </c>
      <c r="U35" s="316" t="s">
        <v>501</v>
      </c>
      <c r="V35" s="316" t="s">
        <v>501</v>
      </c>
      <c r="W35" s="316" t="s">
        <v>514</v>
      </c>
    </row>
    <row r="36" spans="1:23" ht="23" x14ac:dyDescent="0.35">
      <c r="J36" s="327" t="s">
        <v>557</v>
      </c>
      <c r="K36" s="327" t="s">
        <v>394</v>
      </c>
      <c r="L36" s="316" t="s">
        <v>1271</v>
      </c>
      <c r="M36" s="316" t="s">
        <v>1272</v>
      </c>
      <c r="N36" s="316" t="s">
        <v>1273</v>
      </c>
      <c r="O36" s="316" t="s">
        <v>1244</v>
      </c>
      <c r="P36" s="316" t="s">
        <v>1157</v>
      </c>
      <c r="Q36" s="316" t="s">
        <v>556</v>
      </c>
      <c r="R36" s="316" t="s">
        <v>1158</v>
      </c>
      <c r="S36" s="316" t="s">
        <v>1159</v>
      </c>
      <c r="T36" s="316" t="s">
        <v>1126</v>
      </c>
      <c r="U36" s="316" t="s">
        <v>1127</v>
      </c>
      <c r="V36" s="316" t="s">
        <v>1114</v>
      </c>
      <c r="W36" s="316" t="s">
        <v>577</v>
      </c>
    </row>
    <row r="37" spans="1:23" ht="23" x14ac:dyDescent="0.35">
      <c r="J37" s="327" t="s">
        <v>557</v>
      </c>
      <c r="K37" s="327" t="s">
        <v>574</v>
      </c>
      <c r="L37" s="316" t="s">
        <v>501</v>
      </c>
      <c r="M37" s="316" t="s">
        <v>501</v>
      </c>
      <c r="N37" s="316" t="s">
        <v>501</v>
      </c>
      <c r="O37" s="316" t="s">
        <v>501</v>
      </c>
      <c r="P37" s="316" t="s">
        <v>501</v>
      </c>
      <c r="Q37" s="316" t="s">
        <v>501</v>
      </c>
      <c r="R37" s="316" t="s">
        <v>501</v>
      </c>
      <c r="S37" s="316" t="s">
        <v>501</v>
      </c>
      <c r="T37" s="316" t="s">
        <v>501</v>
      </c>
      <c r="U37" s="316" t="s">
        <v>501</v>
      </c>
      <c r="V37" s="316" t="s">
        <v>501</v>
      </c>
      <c r="W37" s="316" t="s">
        <v>514</v>
      </c>
    </row>
    <row r="38" spans="1:23" ht="34.5" x14ac:dyDescent="0.35">
      <c r="J38" s="327" t="s">
        <v>588</v>
      </c>
      <c r="K38" s="327" t="s">
        <v>583</v>
      </c>
      <c r="L38" s="316" t="s">
        <v>226</v>
      </c>
      <c r="M38" s="316" t="s">
        <v>226</v>
      </c>
      <c r="N38" s="316" t="s">
        <v>226</v>
      </c>
      <c r="O38" s="316" t="s">
        <v>540</v>
      </c>
      <c r="P38" s="316" t="s">
        <v>226</v>
      </c>
      <c r="Q38" s="316" t="s">
        <v>540</v>
      </c>
      <c r="R38" s="316" t="s">
        <v>540</v>
      </c>
      <c r="S38" s="316" t="s">
        <v>540</v>
      </c>
      <c r="T38" s="316" t="s">
        <v>543</v>
      </c>
      <c r="U38" s="316" t="s">
        <v>543</v>
      </c>
      <c r="V38" s="316" t="s">
        <v>226</v>
      </c>
      <c r="W38" s="316" t="s">
        <v>543</v>
      </c>
    </row>
    <row r="39" spans="1:23" ht="34.5" x14ac:dyDescent="0.35">
      <c r="J39" s="327" t="s">
        <v>588</v>
      </c>
      <c r="K39" s="327" t="s">
        <v>586</v>
      </c>
      <c r="L39" s="316" t="s">
        <v>226</v>
      </c>
      <c r="M39" s="316" t="s">
        <v>226</v>
      </c>
      <c r="N39" s="316" t="s">
        <v>226</v>
      </c>
      <c r="O39" s="316" t="s">
        <v>543</v>
      </c>
      <c r="P39" s="316" t="s">
        <v>226</v>
      </c>
      <c r="Q39" s="316" t="s">
        <v>544</v>
      </c>
      <c r="R39" s="316" t="s">
        <v>543</v>
      </c>
      <c r="S39" s="316" t="s">
        <v>544</v>
      </c>
      <c r="T39" s="316" t="s">
        <v>584</v>
      </c>
      <c r="U39" s="316" t="s">
        <v>584</v>
      </c>
      <c r="V39" s="316" t="s">
        <v>226</v>
      </c>
      <c r="W39" s="316" t="s">
        <v>585</v>
      </c>
    </row>
    <row r="40" spans="1:23" ht="34.5" x14ac:dyDescent="0.35">
      <c r="J40" s="327" t="s">
        <v>588</v>
      </c>
      <c r="K40" s="327" t="s">
        <v>590</v>
      </c>
      <c r="L40" s="316" t="s">
        <v>226</v>
      </c>
      <c r="M40" s="316" t="s">
        <v>226</v>
      </c>
      <c r="N40" s="316" t="s">
        <v>226</v>
      </c>
      <c r="O40" s="316" t="s">
        <v>559</v>
      </c>
      <c r="P40" s="316" t="s">
        <v>226</v>
      </c>
      <c r="Q40" s="316" t="s">
        <v>587</v>
      </c>
      <c r="R40" s="316" t="s">
        <v>559</v>
      </c>
      <c r="S40" s="316" t="s">
        <v>594</v>
      </c>
      <c r="T40" s="316" t="s">
        <v>594</v>
      </c>
      <c r="U40" s="316" t="s">
        <v>594</v>
      </c>
      <c r="V40" s="316" t="s">
        <v>226</v>
      </c>
      <c r="W40" s="316" t="s">
        <v>594</v>
      </c>
    </row>
    <row r="41" spans="1:23" ht="42" x14ac:dyDescent="0.35">
      <c r="J41" s="327" t="s">
        <v>648</v>
      </c>
      <c r="K41" s="327" t="s">
        <v>631</v>
      </c>
      <c r="L41" s="316" t="s">
        <v>1274</v>
      </c>
      <c r="M41" s="316" t="s">
        <v>1162</v>
      </c>
      <c r="N41" s="316" t="s">
        <v>1275</v>
      </c>
      <c r="O41" s="316" t="s">
        <v>1160</v>
      </c>
      <c r="P41" s="316" t="s">
        <v>1245</v>
      </c>
      <c r="Q41" s="316" t="s">
        <v>1161</v>
      </c>
      <c r="R41" s="316" t="s">
        <v>1162</v>
      </c>
      <c r="S41" s="316" t="s">
        <v>1163</v>
      </c>
      <c r="T41" s="316" t="s">
        <v>1168</v>
      </c>
      <c r="U41" s="316" t="s">
        <v>1168</v>
      </c>
      <c r="V41" s="316" t="s">
        <v>1169</v>
      </c>
      <c r="W41" s="316" t="s">
        <v>1169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EF709-7239-496E-BF1F-CDE56FAAAC98}">
  <dimension ref="A1:D9"/>
  <sheetViews>
    <sheetView topLeftCell="A10" zoomScaleNormal="100" workbookViewId="0">
      <selection activeCell="E10" sqref="E10"/>
    </sheetView>
  </sheetViews>
  <sheetFormatPr baseColWidth="10" defaultRowHeight="14.5" x14ac:dyDescent="0.35"/>
  <cols>
    <col min="1" max="1" width="14.1796875" bestFit="1" customWidth="1"/>
    <col min="2" max="2" width="15.81640625" style="10" customWidth="1"/>
    <col min="3" max="3" width="17.6328125" style="10" customWidth="1"/>
    <col min="4" max="4" width="16.6328125" style="10" customWidth="1"/>
  </cols>
  <sheetData>
    <row r="1" spans="1:4" s="389" customFormat="1" ht="28" x14ac:dyDescent="0.35">
      <c r="A1" s="388" t="s">
        <v>1445</v>
      </c>
      <c r="B1" s="388" t="s">
        <v>492</v>
      </c>
      <c r="C1" s="388" t="s">
        <v>1104</v>
      </c>
      <c r="D1" s="388" t="s">
        <v>1487</v>
      </c>
    </row>
    <row r="2" spans="1:4" x14ac:dyDescent="0.35">
      <c r="A2" s="391" t="s">
        <v>1482</v>
      </c>
      <c r="B2" s="40">
        <v>15.27</v>
      </c>
      <c r="C2" s="40">
        <v>16.3</v>
      </c>
      <c r="D2" s="40">
        <v>15.93</v>
      </c>
    </row>
    <row r="3" spans="1:4" x14ac:dyDescent="0.35">
      <c r="A3" s="391" t="s">
        <v>1476</v>
      </c>
      <c r="B3" s="40">
        <v>1</v>
      </c>
      <c r="C3" s="40">
        <v>92</v>
      </c>
      <c r="D3" s="40">
        <v>98.16</v>
      </c>
    </row>
    <row r="4" spans="1:4" x14ac:dyDescent="0.35">
      <c r="A4" s="391" t="s">
        <v>1477</v>
      </c>
      <c r="B4" s="40">
        <v>44</v>
      </c>
      <c r="C4" s="40">
        <v>68</v>
      </c>
      <c r="D4" s="40">
        <v>58.72</v>
      </c>
    </row>
    <row r="5" spans="1:4" hidden="1" x14ac:dyDescent="0.35">
      <c r="A5" s="391" t="s">
        <v>1478</v>
      </c>
      <c r="B5" s="40">
        <v>1755</v>
      </c>
      <c r="C5" s="40">
        <v>1706</v>
      </c>
      <c r="D5" s="40">
        <v>1262</v>
      </c>
    </row>
    <row r="6" spans="1:4" hidden="1" x14ac:dyDescent="0.35">
      <c r="A6" s="391" t="s">
        <v>1479</v>
      </c>
      <c r="B6" s="40">
        <v>938</v>
      </c>
      <c r="C6" s="40">
        <v>955</v>
      </c>
      <c r="D6" s="40">
        <v>966.9</v>
      </c>
    </row>
    <row r="7" spans="1:4" x14ac:dyDescent="0.35">
      <c r="A7" s="391" t="s">
        <v>1480</v>
      </c>
      <c r="B7" s="40">
        <v>11.9</v>
      </c>
      <c r="C7" s="40">
        <v>10.6</v>
      </c>
      <c r="D7" s="40">
        <v>9.8000000000000007</v>
      </c>
    </row>
    <row r="8" spans="1:4" x14ac:dyDescent="0.35">
      <c r="A8" s="391" t="s">
        <v>1481</v>
      </c>
      <c r="B8" s="40" t="s">
        <v>1132</v>
      </c>
      <c r="C8" s="40" t="s">
        <v>1475</v>
      </c>
      <c r="D8" s="40" t="s">
        <v>1132</v>
      </c>
    </row>
    <row r="9" spans="1:4" ht="29" x14ac:dyDescent="0.35">
      <c r="A9" s="391" t="s">
        <v>1483</v>
      </c>
      <c r="B9" s="390" t="s">
        <v>1485</v>
      </c>
      <c r="C9" s="390" t="s">
        <v>1484</v>
      </c>
      <c r="D9" s="40" t="s">
        <v>1486</v>
      </c>
    </row>
  </sheetData>
  <pageMargins left="0.7" right="0.7" top="0.75" bottom="0.75" header="0.3" footer="0.3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3EB6-F913-45B1-AB74-07E70582E084}">
  <sheetPr codeName="Hoja21"/>
  <dimension ref="B2:E13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2" max="2" width="5.453125" customWidth="1"/>
    <col min="3" max="3" width="25.7265625" style="48" bestFit="1" customWidth="1"/>
    <col min="4" max="4" width="24.7265625" style="48" customWidth="1"/>
    <col min="5" max="5" width="26.81640625" style="48" customWidth="1"/>
  </cols>
  <sheetData>
    <row r="2" spans="2:5" x14ac:dyDescent="0.35">
      <c r="C2" s="319" t="s">
        <v>457</v>
      </c>
      <c r="D2" s="320" t="s">
        <v>1117</v>
      </c>
      <c r="E2" s="321" t="s">
        <v>481</v>
      </c>
    </row>
    <row r="3" spans="2:5" ht="21" customHeight="1" x14ac:dyDescent="0.35">
      <c r="C3" s="319" t="s">
        <v>491</v>
      </c>
      <c r="D3" s="320" t="s">
        <v>1104</v>
      </c>
      <c r="E3" s="321" t="s">
        <v>492</v>
      </c>
    </row>
    <row r="4" spans="2:5" ht="23" x14ac:dyDescent="0.35">
      <c r="B4" s="417" t="s">
        <v>1129</v>
      </c>
      <c r="C4" s="319" t="s">
        <v>493</v>
      </c>
      <c r="D4" s="322" t="s">
        <v>1119</v>
      </c>
      <c r="E4" s="323">
        <v>15.27</v>
      </c>
    </row>
    <row r="5" spans="2:5" x14ac:dyDescent="0.35">
      <c r="B5" s="417"/>
      <c r="C5" s="319" t="s">
        <v>393</v>
      </c>
      <c r="D5" s="324" t="s">
        <v>580</v>
      </c>
      <c r="E5" s="325" t="s">
        <v>514</v>
      </c>
    </row>
    <row r="6" spans="2:5" x14ac:dyDescent="0.35">
      <c r="B6" s="417"/>
      <c r="C6" s="319" t="s">
        <v>552</v>
      </c>
      <c r="D6" s="324" t="s">
        <v>1122</v>
      </c>
      <c r="E6" s="325" t="s">
        <v>555</v>
      </c>
    </row>
    <row r="7" spans="2:5" x14ac:dyDescent="0.35">
      <c r="B7" s="417"/>
      <c r="C7" s="319" t="s">
        <v>402</v>
      </c>
      <c r="D7" s="322" t="s">
        <v>1112</v>
      </c>
      <c r="E7" s="323" t="s">
        <v>562</v>
      </c>
    </row>
    <row r="8" spans="2:5" x14ac:dyDescent="0.35">
      <c r="B8" s="417"/>
      <c r="C8" s="319" t="s">
        <v>394</v>
      </c>
      <c r="D8" s="322" t="s">
        <v>1126</v>
      </c>
      <c r="E8" s="323" t="s">
        <v>575</v>
      </c>
    </row>
    <row r="9" spans="2:5" ht="14.65" customHeight="1" x14ac:dyDescent="0.35">
      <c r="B9" s="417" t="s">
        <v>1130</v>
      </c>
      <c r="C9" s="319" t="s">
        <v>493</v>
      </c>
      <c r="D9" s="322">
        <v>15.8</v>
      </c>
      <c r="E9" s="323">
        <v>14.4</v>
      </c>
    </row>
    <row r="10" spans="2:5" x14ac:dyDescent="0.35">
      <c r="B10" s="417"/>
      <c r="C10" s="319" t="s">
        <v>510</v>
      </c>
      <c r="D10" s="322">
        <v>118</v>
      </c>
      <c r="E10" s="323">
        <v>106</v>
      </c>
    </row>
    <row r="11" spans="2:5" x14ac:dyDescent="0.35">
      <c r="B11" s="417"/>
      <c r="C11" s="319" t="s">
        <v>134</v>
      </c>
      <c r="D11" s="322">
        <v>9.1999999999999993</v>
      </c>
      <c r="E11" s="323">
        <v>11.9</v>
      </c>
    </row>
    <row r="12" spans="2:5" x14ac:dyDescent="0.35">
      <c r="B12" s="417"/>
      <c r="C12" s="319" t="s">
        <v>1128</v>
      </c>
      <c r="D12" s="322">
        <v>142</v>
      </c>
      <c r="E12" s="323">
        <v>140</v>
      </c>
    </row>
    <row r="13" spans="2:5" x14ac:dyDescent="0.35">
      <c r="B13" s="417"/>
      <c r="C13" s="319" t="s">
        <v>1133</v>
      </c>
      <c r="D13" s="322" t="s">
        <v>1131</v>
      </c>
      <c r="E13" s="323" t="s">
        <v>1132</v>
      </c>
    </row>
  </sheetData>
  <mergeCells count="2">
    <mergeCell ref="B4:B8"/>
    <mergeCell ref="B9:B1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EA64B-46A7-4C7D-B28A-C75768BF0CBA}">
  <sheetPr codeName="Hoja18">
    <tabColor rgb="FF00FFFF"/>
  </sheetPr>
  <dimension ref="A3:BR9"/>
  <sheetViews>
    <sheetView showGridLines="0" workbookViewId="0">
      <selection activeCell="BE6" sqref="BE6"/>
    </sheetView>
  </sheetViews>
  <sheetFormatPr baseColWidth="10" defaultRowHeight="14.5" x14ac:dyDescent="0.35"/>
  <cols>
    <col min="1" max="1" width="12.453125" bestFit="1" customWidth="1"/>
    <col min="2" max="2" width="22.26953125" bestFit="1" customWidth="1"/>
    <col min="3" max="3" width="3.453125" bestFit="1" customWidth="1"/>
    <col min="4" max="4" width="3.7265625" bestFit="1" customWidth="1"/>
    <col min="5" max="7" width="3.453125" bestFit="1" customWidth="1"/>
    <col min="8" max="8" width="4.7265625" bestFit="1" customWidth="1"/>
    <col min="9" max="16" width="3.453125" bestFit="1" customWidth="1"/>
    <col min="17" max="17" width="4.7265625" bestFit="1" customWidth="1"/>
    <col min="18" max="18" width="3.7265625" bestFit="1" customWidth="1"/>
    <col min="19" max="19" width="3.453125" bestFit="1" customWidth="1"/>
    <col min="20" max="20" width="3.7265625" bestFit="1" customWidth="1"/>
    <col min="21" max="21" width="3.453125" bestFit="1" customWidth="1"/>
    <col min="22" max="22" width="3.7265625" bestFit="1" customWidth="1"/>
    <col min="23" max="24" width="3.453125" hidden="1" customWidth="1"/>
    <col min="25" max="26" width="3.7265625" bestFit="1" customWidth="1"/>
    <col min="27" max="38" width="3.453125" hidden="1" customWidth="1"/>
    <col min="39" max="42" width="4.453125" bestFit="1" customWidth="1"/>
    <col min="43" max="44" width="3.7265625" bestFit="1" customWidth="1"/>
    <col min="45" max="56" width="3.453125" hidden="1" customWidth="1"/>
    <col min="57" max="62" width="3.453125" bestFit="1" customWidth="1"/>
    <col min="63" max="66" width="3.453125" hidden="1" customWidth="1"/>
    <col min="67" max="67" width="8.453125" hidden="1" customWidth="1"/>
    <col min="68" max="68" width="4.7265625" hidden="1" customWidth="1"/>
    <col min="69" max="70" width="3.7265625" bestFit="1" customWidth="1"/>
  </cols>
  <sheetData>
    <row r="3" spans="1:70" ht="145.5" customHeight="1" x14ac:dyDescent="0.35">
      <c r="A3" s="4" t="s">
        <v>1</v>
      </c>
      <c r="B3" s="4" t="s">
        <v>2</v>
      </c>
      <c r="C3" s="28" t="s">
        <v>3</v>
      </c>
      <c r="D3" s="29" t="s">
        <v>4</v>
      </c>
      <c r="E3" s="28" t="s">
        <v>5</v>
      </c>
      <c r="F3" s="29" t="s">
        <v>6</v>
      </c>
      <c r="G3" s="28" t="s">
        <v>7</v>
      </c>
      <c r="H3" s="29" t="s">
        <v>8</v>
      </c>
      <c r="I3" s="28" t="s">
        <v>9</v>
      </c>
      <c r="J3" s="29" t="s">
        <v>10</v>
      </c>
      <c r="K3" s="28" t="s">
        <v>11</v>
      </c>
      <c r="L3" s="29" t="s">
        <v>12</v>
      </c>
      <c r="M3" s="28" t="s">
        <v>13</v>
      </c>
      <c r="N3" s="29" t="s">
        <v>14</v>
      </c>
      <c r="O3" s="28" t="s">
        <v>15</v>
      </c>
      <c r="P3" s="29" t="s">
        <v>16</v>
      </c>
      <c r="Q3" s="28" t="s">
        <v>17</v>
      </c>
      <c r="R3" s="29" t="s">
        <v>18</v>
      </c>
      <c r="S3" s="28" t="s">
        <v>19</v>
      </c>
      <c r="T3" s="29" t="s">
        <v>20</v>
      </c>
      <c r="U3" s="28" t="s">
        <v>21</v>
      </c>
      <c r="V3" s="29" t="s">
        <v>22</v>
      </c>
      <c r="W3" s="28" t="s">
        <v>23</v>
      </c>
      <c r="X3" s="29" t="s">
        <v>24</v>
      </c>
      <c r="Y3" s="28" t="s">
        <v>25</v>
      </c>
      <c r="Z3" s="29" t="s">
        <v>26</v>
      </c>
      <c r="AA3" s="28" t="s">
        <v>27</v>
      </c>
      <c r="AB3" s="29" t="s">
        <v>28</v>
      </c>
      <c r="AC3" s="28" t="s">
        <v>29</v>
      </c>
      <c r="AD3" s="29" t="s">
        <v>30</v>
      </c>
      <c r="AE3" s="28" t="s">
        <v>31</v>
      </c>
      <c r="AF3" s="29" t="s">
        <v>32</v>
      </c>
      <c r="AG3" s="28" t="s">
        <v>33</v>
      </c>
      <c r="AH3" s="29" t="s">
        <v>34</v>
      </c>
      <c r="AI3" s="28" t="s">
        <v>35</v>
      </c>
      <c r="AJ3" s="29" t="s">
        <v>36</v>
      </c>
      <c r="AK3" s="28" t="s">
        <v>37</v>
      </c>
      <c r="AL3" s="29" t="s">
        <v>38</v>
      </c>
      <c r="AM3" s="28" t="s">
        <v>39</v>
      </c>
      <c r="AN3" s="29" t="s">
        <v>40</v>
      </c>
      <c r="AO3" s="28" t="s">
        <v>41</v>
      </c>
      <c r="AP3" s="29" t="s">
        <v>42</v>
      </c>
      <c r="AQ3" s="28" t="s">
        <v>43</v>
      </c>
      <c r="AR3" s="29" t="s">
        <v>44</v>
      </c>
      <c r="AS3" s="28" t="s">
        <v>45</v>
      </c>
      <c r="AT3" s="29" t="s">
        <v>46</v>
      </c>
      <c r="AU3" s="28" t="s">
        <v>47</v>
      </c>
      <c r="AV3" s="29" t="s">
        <v>48</v>
      </c>
      <c r="AW3" s="28" t="s">
        <v>49</v>
      </c>
      <c r="AX3" s="29" t="s">
        <v>50</v>
      </c>
      <c r="AY3" s="28" t="s">
        <v>51</v>
      </c>
      <c r="AZ3" s="29" t="s">
        <v>52</v>
      </c>
      <c r="BA3" s="28" t="s">
        <v>53</v>
      </c>
      <c r="BB3" s="29" t="s">
        <v>54</v>
      </c>
      <c r="BC3" s="28" t="s">
        <v>55</v>
      </c>
      <c r="BD3" s="29" t="s">
        <v>56</v>
      </c>
      <c r="BE3" s="28" t="s">
        <v>57</v>
      </c>
      <c r="BF3" s="29" t="s">
        <v>58</v>
      </c>
      <c r="BG3" s="28" t="s">
        <v>59</v>
      </c>
      <c r="BH3" s="29" t="s">
        <v>60</v>
      </c>
      <c r="BI3" s="28" t="s">
        <v>61</v>
      </c>
      <c r="BJ3" s="29" t="s">
        <v>62</v>
      </c>
      <c r="BK3" s="28" t="s">
        <v>63</v>
      </c>
      <c r="BL3" s="29" t="s">
        <v>64</v>
      </c>
      <c r="BM3" s="28" t="s">
        <v>65</v>
      </c>
      <c r="BN3" s="29" t="s">
        <v>66</v>
      </c>
      <c r="BO3" s="4" t="s">
        <v>67</v>
      </c>
      <c r="BP3" s="4" t="s">
        <v>68</v>
      </c>
      <c r="BQ3" s="28" t="s">
        <v>69</v>
      </c>
      <c r="BR3" s="29" t="s">
        <v>70</v>
      </c>
    </row>
    <row r="4" spans="1:70" x14ac:dyDescent="0.35">
      <c r="A4" s="231" t="s">
        <v>82</v>
      </c>
      <c r="B4" s="15" t="s">
        <v>74</v>
      </c>
      <c r="C4" s="114">
        <v>80</v>
      </c>
      <c r="D4" s="114">
        <v>168</v>
      </c>
      <c r="E4" s="114">
        <v>10</v>
      </c>
      <c r="F4" s="114">
        <v>15</v>
      </c>
      <c r="G4" s="114">
        <v>35</v>
      </c>
      <c r="H4" s="114">
        <v>73.5</v>
      </c>
      <c r="I4" s="114">
        <v>10</v>
      </c>
      <c r="J4" s="114">
        <v>15</v>
      </c>
      <c r="K4" s="114">
        <v>10</v>
      </c>
      <c r="L4" s="114">
        <v>15</v>
      </c>
      <c r="M4" s="114">
        <v>10</v>
      </c>
      <c r="N4" s="114">
        <v>15</v>
      </c>
      <c r="O4" s="114">
        <v>10</v>
      </c>
      <c r="P4" s="114">
        <v>15</v>
      </c>
      <c r="Q4" s="226">
        <v>115</v>
      </c>
      <c r="R4" s="226">
        <v>122</v>
      </c>
      <c r="S4" s="114">
        <v>50</v>
      </c>
      <c r="T4" s="114">
        <v>100</v>
      </c>
      <c r="U4" s="114">
        <v>50</v>
      </c>
      <c r="V4" s="114">
        <v>100</v>
      </c>
      <c r="W4" s="114"/>
      <c r="X4" s="114"/>
      <c r="Y4" s="233">
        <v>280</v>
      </c>
      <c r="Z4" s="233">
        <v>240</v>
      </c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8">
        <v>71.010000000000005</v>
      </c>
      <c r="AO4" s="114"/>
      <c r="AP4" s="90">
        <v>86.79</v>
      </c>
      <c r="AQ4" s="114">
        <v>260</v>
      </c>
      <c r="AR4" s="114">
        <v>280</v>
      </c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2"/>
      <c r="BF4" s="114"/>
      <c r="BG4" s="89">
        <v>19</v>
      </c>
      <c r="BH4" s="89">
        <v>20</v>
      </c>
      <c r="BI4" s="89">
        <v>16</v>
      </c>
      <c r="BJ4" s="89">
        <v>19</v>
      </c>
      <c r="BK4" s="112"/>
      <c r="BL4" s="112"/>
      <c r="BM4" s="112"/>
      <c r="BN4" s="112"/>
      <c r="BO4" s="232" t="s">
        <v>96</v>
      </c>
      <c r="BP4" s="114">
        <v>10</v>
      </c>
      <c r="BQ4" s="21">
        <v>650</v>
      </c>
      <c r="BR4" s="21">
        <v>620</v>
      </c>
    </row>
    <row r="5" spans="1:70" x14ac:dyDescent="0.35">
      <c r="A5" s="231" t="s">
        <v>82</v>
      </c>
      <c r="B5" s="15" t="s">
        <v>76</v>
      </c>
      <c r="C5" s="114">
        <v>80</v>
      </c>
      <c r="D5" s="114">
        <v>168</v>
      </c>
      <c r="E5" s="114">
        <v>10</v>
      </c>
      <c r="F5" s="114">
        <v>15</v>
      </c>
      <c r="G5" s="114">
        <v>35</v>
      </c>
      <c r="H5" s="114">
        <v>73.5</v>
      </c>
      <c r="I5" s="114">
        <v>10</v>
      </c>
      <c r="J5" s="114">
        <v>15</v>
      </c>
      <c r="K5" s="114">
        <v>10</v>
      </c>
      <c r="L5" s="114">
        <v>15</v>
      </c>
      <c r="M5" s="114">
        <v>10</v>
      </c>
      <c r="N5" s="114">
        <v>15</v>
      </c>
      <c r="O5" s="114">
        <v>10</v>
      </c>
      <c r="P5" s="114">
        <v>15</v>
      </c>
      <c r="Q5" s="226">
        <v>115</v>
      </c>
      <c r="R5" s="226">
        <v>122</v>
      </c>
      <c r="S5" s="114">
        <v>50</v>
      </c>
      <c r="T5" s="114">
        <v>100</v>
      </c>
      <c r="U5" s="114">
        <v>50</v>
      </c>
      <c r="V5" s="114">
        <v>100</v>
      </c>
      <c r="W5" s="1"/>
      <c r="X5" s="1"/>
      <c r="Y5" s="233">
        <v>280</v>
      </c>
      <c r="Z5" s="233">
        <v>240</v>
      </c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8">
        <v>71.010000000000005</v>
      </c>
      <c r="AO5" s="1"/>
      <c r="AP5" s="90">
        <v>86.79</v>
      </c>
      <c r="AQ5" s="114">
        <v>260</v>
      </c>
      <c r="AR5" s="114">
        <v>280</v>
      </c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3"/>
      <c r="BF5" s="1"/>
      <c r="BG5" s="89">
        <v>19</v>
      </c>
      <c r="BH5" s="89">
        <v>20</v>
      </c>
      <c r="BI5" s="89">
        <v>16</v>
      </c>
      <c r="BJ5" s="89">
        <v>19</v>
      </c>
      <c r="BK5" s="13"/>
      <c r="BL5" s="13"/>
      <c r="BM5" s="13"/>
      <c r="BN5" s="13"/>
      <c r="BO5" s="232" t="s">
        <v>96</v>
      </c>
      <c r="BP5" s="114">
        <v>10</v>
      </c>
      <c r="BQ5" s="21">
        <v>650</v>
      </c>
      <c r="BR5" s="21">
        <v>620</v>
      </c>
    </row>
    <row r="6" spans="1:70" x14ac:dyDescent="0.35">
      <c r="A6" s="231" t="s">
        <v>82</v>
      </c>
      <c r="B6" s="15" t="s">
        <v>77</v>
      </c>
      <c r="C6" s="114">
        <v>80</v>
      </c>
      <c r="D6" s="114">
        <v>168</v>
      </c>
      <c r="E6" s="114">
        <v>10</v>
      </c>
      <c r="F6" s="114">
        <v>15</v>
      </c>
      <c r="G6" s="114">
        <v>35</v>
      </c>
      <c r="H6" s="114">
        <v>73.5</v>
      </c>
      <c r="I6" s="114">
        <v>10</v>
      </c>
      <c r="J6" s="114">
        <v>15</v>
      </c>
      <c r="K6" s="114">
        <v>10</v>
      </c>
      <c r="L6" s="114">
        <v>15</v>
      </c>
      <c r="M6" s="114">
        <v>10</v>
      </c>
      <c r="N6" s="114">
        <v>15</v>
      </c>
      <c r="O6" s="114">
        <v>10</v>
      </c>
      <c r="P6" s="114">
        <v>15</v>
      </c>
      <c r="Q6" s="14">
        <v>5.8</v>
      </c>
      <c r="R6" s="14">
        <v>6.1</v>
      </c>
      <c r="S6" s="114">
        <v>50</v>
      </c>
      <c r="T6" s="114">
        <v>100</v>
      </c>
      <c r="U6" s="114">
        <v>50</v>
      </c>
      <c r="V6" s="114">
        <v>100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27">
        <v>17.3</v>
      </c>
      <c r="AN6" s="27">
        <v>16.7</v>
      </c>
      <c r="AO6" s="27">
        <v>20</v>
      </c>
      <c r="AP6" s="27">
        <v>20.9</v>
      </c>
      <c r="AQ6" s="1">
        <v>13</v>
      </c>
      <c r="AR6" s="1">
        <v>14</v>
      </c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>
        <v>22</v>
      </c>
      <c r="BF6" s="1">
        <v>23</v>
      </c>
      <c r="BG6" s="1">
        <v>19</v>
      </c>
      <c r="BH6" s="89">
        <v>20</v>
      </c>
      <c r="BI6" s="1">
        <v>16</v>
      </c>
      <c r="BJ6" s="1">
        <v>17</v>
      </c>
      <c r="BK6" s="13"/>
      <c r="BL6" s="13"/>
      <c r="BM6" s="13"/>
      <c r="BN6" s="13"/>
      <c r="BO6" s="232" t="s">
        <v>96</v>
      </c>
      <c r="BP6" s="114">
        <v>10</v>
      </c>
      <c r="BQ6" s="13"/>
      <c r="BR6" s="13"/>
    </row>
    <row r="7" spans="1:70" x14ac:dyDescent="0.35">
      <c r="A7" s="231" t="s">
        <v>82</v>
      </c>
      <c r="B7" s="15" t="s">
        <v>78</v>
      </c>
      <c r="C7" s="114">
        <v>80</v>
      </c>
      <c r="D7" s="114">
        <v>168</v>
      </c>
      <c r="E7" s="114">
        <v>10</v>
      </c>
      <c r="F7" s="114">
        <v>15</v>
      </c>
      <c r="G7" s="114">
        <v>35</v>
      </c>
      <c r="H7" s="114">
        <v>73.5</v>
      </c>
      <c r="I7" s="114">
        <v>10</v>
      </c>
      <c r="J7" s="114">
        <v>15</v>
      </c>
      <c r="K7" s="114">
        <v>10</v>
      </c>
      <c r="L7" s="114">
        <v>15</v>
      </c>
      <c r="M7" s="114">
        <v>10</v>
      </c>
      <c r="N7" s="114">
        <v>15</v>
      </c>
      <c r="O7" s="114">
        <v>10</v>
      </c>
      <c r="P7" s="114">
        <v>15</v>
      </c>
      <c r="Q7" s="14">
        <v>5.8</v>
      </c>
      <c r="R7" s="14">
        <v>6.1</v>
      </c>
      <c r="S7" s="114">
        <v>50</v>
      </c>
      <c r="T7" s="114">
        <v>100</v>
      </c>
      <c r="U7" s="114">
        <v>50</v>
      </c>
      <c r="V7" s="114">
        <v>100</v>
      </c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27">
        <v>17.3</v>
      </c>
      <c r="AN7" s="27">
        <v>16.7</v>
      </c>
      <c r="AO7" s="27">
        <v>20</v>
      </c>
      <c r="AP7" s="27">
        <v>20.9</v>
      </c>
      <c r="AQ7" s="1">
        <v>13</v>
      </c>
      <c r="AR7" s="1">
        <v>14</v>
      </c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>
        <v>22</v>
      </c>
      <c r="BF7" s="1">
        <v>23</v>
      </c>
      <c r="BG7" s="1">
        <v>19</v>
      </c>
      <c r="BH7" s="89">
        <v>20</v>
      </c>
      <c r="BI7" s="1">
        <v>16</v>
      </c>
      <c r="BJ7" s="1">
        <v>17</v>
      </c>
      <c r="BK7" s="13"/>
      <c r="BL7" s="13"/>
      <c r="BM7" s="13"/>
      <c r="BN7" s="13"/>
      <c r="BO7" s="232" t="s">
        <v>96</v>
      </c>
      <c r="BP7" s="114">
        <v>10</v>
      </c>
      <c r="BQ7" s="13"/>
      <c r="BR7" s="13"/>
    </row>
    <row r="8" spans="1:70" x14ac:dyDescent="0.35">
      <c r="A8" s="231" t="s">
        <v>82</v>
      </c>
      <c r="B8" s="15" t="s">
        <v>79</v>
      </c>
      <c r="C8" s="114">
        <v>10</v>
      </c>
      <c r="D8" s="114">
        <v>15</v>
      </c>
      <c r="E8" s="114">
        <v>10</v>
      </c>
      <c r="F8" s="114">
        <v>15</v>
      </c>
      <c r="G8" s="114">
        <v>10</v>
      </c>
      <c r="H8" s="114">
        <v>15</v>
      </c>
      <c r="I8" s="114">
        <v>10</v>
      </c>
      <c r="J8" s="114">
        <v>15</v>
      </c>
      <c r="K8" s="114">
        <v>10</v>
      </c>
      <c r="L8" s="114">
        <v>15</v>
      </c>
      <c r="M8" s="114">
        <v>10</v>
      </c>
      <c r="N8" s="114">
        <v>15</v>
      </c>
      <c r="O8" s="114">
        <v>10</v>
      </c>
      <c r="P8" s="114">
        <v>15</v>
      </c>
      <c r="Q8" s="14">
        <v>29.2</v>
      </c>
      <c r="R8" s="14">
        <v>31</v>
      </c>
      <c r="S8" s="114">
        <v>50</v>
      </c>
      <c r="T8" s="114">
        <v>100</v>
      </c>
      <c r="U8" s="114">
        <v>50</v>
      </c>
      <c r="V8" s="114">
        <v>100</v>
      </c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27">
        <v>5.6</v>
      </c>
      <c r="AN8" s="27">
        <v>5.8</v>
      </c>
      <c r="AO8" s="27">
        <v>6.7</v>
      </c>
      <c r="AP8" s="27">
        <v>7</v>
      </c>
      <c r="AQ8" s="1">
        <v>13</v>
      </c>
      <c r="AR8" s="1">
        <v>14</v>
      </c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>
        <v>22</v>
      </c>
      <c r="BF8" s="1">
        <v>23</v>
      </c>
      <c r="BG8" s="1">
        <v>19</v>
      </c>
      <c r="BH8" s="89">
        <v>20</v>
      </c>
      <c r="BI8" s="1">
        <v>16</v>
      </c>
      <c r="BJ8" s="1">
        <v>17</v>
      </c>
      <c r="BK8" s="13"/>
      <c r="BL8" s="13"/>
      <c r="BM8" s="13"/>
      <c r="BN8" s="13"/>
      <c r="BO8" s="232" t="s">
        <v>96</v>
      </c>
      <c r="BP8" s="114">
        <v>10</v>
      </c>
      <c r="BQ8" s="13"/>
      <c r="BR8" s="13"/>
    </row>
    <row r="9" spans="1:70" x14ac:dyDescent="0.35">
      <c r="A9" s="235" t="s">
        <v>82</v>
      </c>
      <c r="B9" s="15" t="s">
        <v>80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3"/>
      <c r="BF9" s="1"/>
      <c r="BG9" s="1"/>
      <c r="BH9" s="1"/>
      <c r="BI9" s="1"/>
      <c r="BJ9" s="1"/>
      <c r="BK9" s="13"/>
      <c r="BL9" s="13"/>
      <c r="BM9" s="13"/>
      <c r="BN9" s="13"/>
      <c r="BO9" s="236" t="s">
        <v>96</v>
      </c>
      <c r="BP9" s="1">
        <v>10</v>
      </c>
      <c r="BQ9" s="13"/>
      <c r="BR9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"/>
  <sheetViews>
    <sheetView workbookViewId="0"/>
  </sheetViews>
  <sheetFormatPr baseColWidth="10" defaultColWidth="11.453125" defaultRowHeight="14.5" x14ac:dyDescent="0.3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/>
  <dimension ref="A1:Q43"/>
  <sheetViews>
    <sheetView showGridLines="0" zoomScale="55" zoomScaleNormal="55" workbookViewId="0">
      <selection activeCell="P13" sqref="P13"/>
    </sheetView>
  </sheetViews>
  <sheetFormatPr baseColWidth="10" defaultColWidth="11.453125" defaultRowHeight="14.5" x14ac:dyDescent="0.35"/>
  <cols>
    <col min="1" max="1" width="22.7265625" bestFit="1" customWidth="1"/>
    <col min="2" max="4" width="21.453125" bestFit="1" customWidth="1"/>
    <col min="6" max="6" width="20.7265625" bestFit="1" customWidth="1"/>
    <col min="7" max="7" width="20.54296875" customWidth="1"/>
    <col min="8" max="8" width="21.26953125" customWidth="1"/>
    <col min="9" max="9" width="21.26953125" bestFit="1" customWidth="1"/>
    <col min="11" max="11" width="20.7265625" bestFit="1" customWidth="1"/>
    <col min="12" max="14" width="21.26953125" bestFit="1" customWidth="1"/>
    <col min="16" max="16" width="11.7265625" bestFit="1" customWidth="1"/>
    <col min="17" max="17" width="4.26953125" bestFit="1" customWidth="1"/>
  </cols>
  <sheetData>
    <row r="1" spans="1:17" x14ac:dyDescent="0.35">
      <c r="A1" s="421" t="s">
        <v>842</v>
      </c>
      <c r="B1" s="421"/>
      <c r="C1" s="421"/>
      <c r="D1" s="421"/>
      <c r="F1" s="421" t="s">
        <v>842</v>
      </c>
      <c r="G1" s="421"/>
      <c r="H1" s="421"/>
      <c r="I1" s="421"/>
      <c r="K1" s="419" t="s">
        <v>842</v>
      </c>
      <c r="L1" s="419"/>
      <c r="M1" s="419"/>
      <c r="N1" s="419"/>
      <c r="P1" t="s">
        <v>843</v>
      </c>
      <c r="Q1" s="10">
        <v>1</v>
      </c>
    </row>
    <row r="2" spans="1:17" x14ac:dyDescent="0.35">
      <c r="A2" s="418" t="s">
        <v>387</v>
      </c>
      <c r="B2" s="32" t="s">
        <v>844</v>
      </c>
      <c r="C2" s="32" t="s">
        <v>845</v>
      </c>
      <c r="D2" s="32" t="s">
        <v>846</v>
      </c>
      <c r="F2" s="422" t="s">
        <v>387</v>
      </c>
      <c r="G2" s="32" t="s">
        <v>844</v>
      </c>
      <c r="H2" s="32" t="s">
        <v>845</v>
      </c>
      <c r="I2" s="32" t="s">
        <v>846</v>
      </c>
      <c r="K2" s="420" t="s">
        <v>387</v>
      </c>
      <c r="L2" s="34" t="s">
        <v>844</v>
      </c>
      <c r="M2" s="34" t="s">
        <v>845</v>
      </c>
      <c r="N2" s="34" t="s">
        <v>846</v>
      </c>
      <c r="P2" t="s">
        <v>287</v>
      </c>
      <c r="Q2" s="10">
        <v>2</v>
      </c>
    </row>
    <row r="3" spans="1:17" x14ac:dyDescent="0.35">
      <c r="A3" s="418"/>
      <c r="B3" s="32" t="s">
        <v>386</v>
      </c>
      <c r="C3" s="32" t="s">
        <v>386</v>
      </c>
      <c r="D3" s="32" t="s">
        <v>386</v>
      </c>
      <c r="F3" s="423"/>
      <c r="G3" s="34" t="s">
        <v>149</v>
      </c>
      <c r="H3" s="34" t="s">
        <v>149</v>
      </c>
      <c r="I3" s="34" t="s">
        <v>395</v>
      </c>
      <c r="K3" s="420"/>
      <c r="L3" s="34" t="s">
        <v>152</v>
      </c>
      <c r="M3" s="34" t="s">
        <v>152</v>
      </c>
      <c r="N3" s="34" t="s">
        <v>404</v>
      </c>
      <c r="P3" t="s">
        <v>135</v>
      </c>
      <c r="Q3" s="10">
        <v>3</v>
      </c>
    </row>
    <row r="4" spans="1:17" x14ac:dyDescent="0.35">
      <c r="A4" s="418"/>
      <c r="B4" s="32" t="s">
        <v>388</v>
      </c>
      <c r="C4" s="32" t="s">
        <v>389</v>
      </c>
      <c r="D4" s="32" t="s">
        <v>390</v>
      </c>
      <c r="F4" s="424"/>
      <c r="G4" s="34" t="s">
        <v>396</v>
      </c>
      <c r="H4" s="34" t="s">
        <v>389</v>
      </c>
      <c r="I4" s="34" t="s">
        <v>397</v>
      </c>
      <c r="K4" s="420"/>
      <c r="L4" s="34" t="s">
        <v>403</v>
      </c>
      <c r="M4" s="34" t="s">
        <v>389</v>
      </c>
      <c r="N4" s="34" t="s">
        <v>405</v>
      </c>
      <c r="P4" t="s">
        <v>134</v>
      </c>
      <c r="Q4" s="10">
        <v>4</v>
      </c>
    </row>
    <row r="5" spans="1:17" x14ac:dyDescent="0.35">
      <c r="A5" s="33" t="s">
        <v>847</v>
      </c>
      <c r="B5" s="14">
        <v>2500</v>
      </c>
      <c r="C5" s="14">
        <v>2000</v>
      </c>
      <c r="D5" s="14">
        <v>2000</v>
      </c>
      <c r="F5" s="33" t="s">
        <v>847</v>
      </c>
      <c r="G5" s="14">
        <v>2500</v>
      </c>
      <c r="H5" s="14">
        <v>1000</v>
      </c>
      <c r="I5" s="14">
        <v>2000</v>
      </c>
      <c r="K5" s="33" t="s">
        <v>848</v>
      </c>
      <c r="L5" s="14">
        <v>5000</v>
      </c>
      <c r="M5" s="14">
        <v>2000</v>
      </c>
      <c r="N5" s="14">
        <v>2000</v>
      </c>
      <c r="P5" t="s">
        <v>307</v>
      </c>
      <c r="Q5" s="10">
        <v>5</v>
      </c>
    </row>
    <row r="6" spans="1:17" x14ac:dyDescent="0.35">
      <c r="A6" s="33" t="s">
        <v>849</v>
      </c>
      <c r="B6" s="14">
        <v>827</v>
      </c>
      <c r="C6" s="14">
        <v>505</v>
      </c>
      <c r="D6" s="14">
        <v>902</v>
      </c>
      <c r="F6" s="1" t="s">
        <v>391</v>
      </c>
      <c r="G6" s="1">
        <v>17.47</v>
      </c>
      <c r="H6" s="1">
        <v>18.035</v>
      </c>
      <c r="I6" s="1">
        <v>18.7</v>
      </c>
      <c r="K6" s="1" t="s">
        <v>391</v>
      </c>
      <c r="L6" s="1">
        <v>6.54</v>
      </c>
      <c r="M6" s="8">
        <v>5.9649999999999999</v>
      </c>
      <c r="N6" s="8">
        <v>6.5</v>
      </c>
      <c r="P6" t="s">
        <v>309</v>
      </c>
      <c r="Q6" s="10">
        <v>6</v>
      </c>
    </row>
    <row r="7" spans="1:17" x14ac:dyDescent="0.35">
      <c r="A7" s="33" t="s">
        <v>850</v>
      </c>
      <c r="B7" s="14">
        <v>1914</v>
      </c>
      <c r="C7" s="14">
        <v>484</v>
      </c>
      <c r="D7" s="14">
        <v>595</v>
      </c>
      <c r="F7" s="1" t="s">
        <v>392</v>
      </c>
      <c r="G7" s="1">
        <v>6</v>
      </c>
      <c r="H7" s="1">
        <v>5</v>
      </c>
      <c r="I7" s="1">
        <v>17</v>
      </c>
      <c r="K7" s="1" t="s">
        <v>392</v>
      </c>
      <c r="L7" s="1">
        <v>6</v>
      </c>
      <c r="M7" s="1">
        <v>6</v>
      </c>
      <c r="N7" s="1">
        <v>15</v>
      </c>
      <c r="P7" t="s">
        <v>308</v>
      </c>
      <c r="Q7" s="10">
        <v>7</v>
      </c>
    </row>
    <row r="8" spans="1:17" x14ac:dyDescent="0.35">
      <c r="A8" s="33" t="s">
        <v>851</v>
      </c>
      <c r="B8" s="14">
        <v>500</v>
      </c>
      <c r="C8" s="14" t="s">
        <v>852</v>
      </c>
      <c r="D8" s="14">
        <v>500</v>
      </c>
      <c r="F8" s="1" t="s">
        <v>398</v>
      </c>
      <c r="G8" s="1">
        <v>3</v>
      </c>
      <c r="H8" s="1">
        <v>2</v>
      </c>
      <c r="I8" s="1">
        <v>2</v>
      </c>
      <c r="K8" s="1" t="s">
        <v>406</v>
      </c>
      <c r="L8" s="1"/>
      <c r="M8" s="1"/>
      <c r="N8" s="1">
        <v>1</v>
      </c>
      <c r="P8" t="s">
        <v>310</v>
      </c>
      <c r="Q8" s="10">
        <v>8</v>
      </c>
    </row>
    <row r="9" spans="1:17" x14ac:dyDescent="0.35">
      <c r="A9" s="1" t="s">
        <v>391</v>
      </c>
      <c r="B9" s="1">
        <v>77.900000000000006</v>
      </c>
      <c r="C9" s="8">
        <v>79.314999999999998</v>
      </c>
      <c r="D9" s="8">
        <v>78.900000000000006</v>
      </c>
      <c r="F9" s="1" t="s">
        <v>400</v>
      </c>
      <c r="G9" s="1"/>
      <c r="H9" s="1"/>
      <c r="I9" s="1">
        <v>1</v>
      </c>
      <c r="K9" s="1" t="s">
        <v>398</v>
      </c>
      <c r="L9" s="1">
        <v>2</v>
      </c>
      <c r="M9" s="1">
        <v>2</v>
      </c>
      <c r="N9" s="1">
        <v>2</v>
      </c>
      <c r="P9" t="s">
        <v>315</v>
      </c>
      <c r="Q9" s="10">
        <v>9</v>
      </c>
    </row>
    <row r="10" spans="1:17" x14ac:dyDescent="0.35">
      <c r="A10" s="1" t="s">
        <v>392</v>
      </c>
      <c r="B10" s="1">
        <v>20</v>
      </c>
      <c r="C10" s="1">
        <v>22.5</v>
      </c>
      <c r="D10" s="1">
        <v>22.05</v>
      </c>
      <c r="F10" s="1" t="s">
        <v>399</v>
      </c>
      <c r="G10" s="1">
        <v>13</v>
      </c>
      <c r="H10" s="1">
        <v>10.5</v>
      </c>
      <c r="I10" s="1">
        <v>14</v>
      </c>
      <c r="K10" s="1" t="s">
        <v>400</v>
      </c>
      <c r="L10" s="1"/>
      <c r="M10" s="1"/>
      <c r="N10" s="1">
        <v>1</v>
      </c>
      <c r="P10" t="s">
        <v>316</v>
      </c>
      <c r="Q10" s="10">
        <v>10</v>
      </c>
    </row>
    <row r="11" spans="1:17" x14ac:dyDescent="0.35">
      <c r="A11" s="1" t="s">
        <v>393</v>
      </c>
      <c r="B11" s="1">
        <v>32</v>
      </c>
      <c r="C11" s="1">
        <v>27.5</v>
      </c>
      <c r="D11" s="1">
        <v>28.96</v>
      </c>
      <c r="F11" s="1" t="s">
        <v>401</v>
      </c>
      <c r="G11" s="1">
        <v>3339</v>
      </c>
      <c r="H11" s="1">
        <v>2868</v>
      </c>
      <c r="I11" s="1">
        <v>3240</v>
      </c>
      <c r="K11" s="1" t="s">
        <v>399</v>
      </c>
      <c r="L11" s="1">
        <v>13</v>
      </c>
      <c r="M11" s="1">
        <v>12</v>
      </c>
      <c r="N11" s="5">
        <v>14</v>
      </c>
      <c r="P11" t="s">
        <v>140</v>
      </c>
      <c r="Q11" s="10">
        <v>11</v>
      </c>
    </row>
    <row r="12" spans="1:17" x14ac:dyDescent="0.35">
      <c r="A12" s="14" t="s">
        <v>394</v>
      </c>
      <c r="B12" s="14">
        <v>278</v>
      </c>
      <c r="C12" s="14">
        <v>342</v>
      </c>
      <c r="D12" s="14">
        <v>183.8</v>
      </c>
      <c r="F12" s="1" t="s">
        <v>402</v>
      </c>
      <c r="G12" s="1">
        <v>1482</v>
      </c>
      <c r="H12" s="1">
        <v>1262</v>
      </c>
      <c r="I12" s="1">
        <v>1152</v>
      </c>
      <c r="K12" s="1" t="s">
        <v>401</v>
      </c>
      <c r="L12" s="1">
        <v>3405</v>
      </c>
      <c r="M12" s="5">
        <v>2986.5</v>
      </c>
      <c r="N12" s="5">
        <v>3401</v>
      </c>
      <c r="P12" t="s">
        <v>288</v>
      </c>
      <c r="Q12" s="10">
        <v>12</v>
      </c>
    </row>
    <row r="13" spans="1:17" ht="58" x14ac:dyDescent="0.35">
      <c r="A13" s="35" t="s">
        <v>853</v>
      </c>
      <c r="F13" s="1" t="s">
        <v>394</v>
      </c>
      <c r="G13" s="1">
        <v>1001</v>
      </c>
      <c r="H13" s="1">
        <v>856</v>
      </c>
      <c r="I13" s="1">
        <v>983</v>
      </c>
      <c r="K13" s="1" t="s">
        <v>402</v>
      </c>
      <c r="L13" s="1">
        <v>1480</v>
      </c>
      <c r="M13" s="1">
        <v>1383</v>
      </c>
      <c r="N13" s="5">
        <v>1359</v>
      </c>
      <c r="P13" s="38" t="s">
        <v>306</v>
      </c>
      <c r="Q13" s="48">
        <v>13</v>
      </c>
    </row>
    <row r="14" spans="1:17" x14ac:dyDescent="0.35">
      <c r="K14" s="1" t="s">
        <v>394</v>
      </c>
      <c r="L14" s="1">
        <v>911</v>
      </c>
      <c r="M14" s="1">
        <v>878</v>
      </c>
      <c r="N14" s="5">
        <v>1061</v>
      </c>
      <c r="P14" t="s">
        <v>290</v>
      </c>
      <c r="Q14" s="10">
        <v>14</v>
      </c>
    </row>
    <row r="15" spans="1:17" x14ac:dyDescent="0.35">
      <c r="P15" t="s">
        <v>291</v>
      </c>
      <c r="Q15" s="10">
        <v>15</v>
      </c>
    </row>
    <row r="16" spans="1:17" x14ac:dyDescent="0.35">
      <c r="A16" s="418" t="s">
        <v>387</v>
      </c>
      <c r="B16" s="32" t="s">
        <v>844</v>
      </c>
      <c r="P16" t="s">
        <v>292</v>
      </c>
      <c r="Q16" s="10">
        <v>16</v>
      </c>
    </row>
    <row r="17" spans="1:17" x14ac:dyDescent="0.35">
      <c r="A17" s="418"/>
      <c r="B17" s="32" t="s">
        <v>386</v>
      </c>
      <c r="P17" t="s">
        <v>289</v>
      </c>
      <c r="Q17" s="10">
        <v>17</v>
      </c>
    </row>
    <row r="18" spans="1:17" x14ac:dyDescent="0.35">
      <c r="A18" s="418"/>
      <c r="B18" s="32" t="s">
        <v>388</v>
      </c>
      <c r="P18" t="s">
        <v>293</v>
      </c>
      <c r="Q18" s="10">
        <v>18</v>
      </c>
    </row>
    <row r="19" spans="1:17" x14ac:dyDescent="0.35">
      <c r="A19" s="1" t="s">
        <v>391</v>
      </c>
      <c r="B19" s="1">
        <v>77.900000000000006</v>
      </c>
      <c r="P19" t="s">
        <v>294</v>
      </c>
      <c r="Q19" s="10">
        <v>19</v>
      </c>
    </row>
    <row r="20" spans="1:17" x14ac:dyDescent="0.35">
      <c r="A20" s="1" t="s">
        <v>392</v>
      </c>
      <c r="B20" s="1">
        <v>20</v>
      </c>
      <c r="P20" t="s">
        <v>295</v>
      </c>
      <c r="Q20" s="10">
        <v>20</v>
      </c>
    </row>
    <row r="21" spans="1:17" x14ac:dyDescent="0.35">
      <c r="A21" s="1" t="s">
        <v>393</v>
      </c>
      <c r="B21" s="1">
        <v>32</v>
      </c>
      <c r="P21" t="s">
        <v>296</v>
      </c>
      <c r="Q21" s="10">
        <v>21</v>
      </c>
    </row>
    <row r="22" spans="1:17" x14ac:dyDescent="0.35">
      <c r="A22" s="14" t="s">
        <v>394</v>
      </c>
      <c r="B22" s="14">
        <v>278</v>
      </c>
      <c r="P22" t="s">
        <v>297</v>
      </c>
      <c r="Q22" s="10">
        <v>22</v>
      </c>
    </row>
    <row r="23" spans="1:17" x14ac:dyDescent="0.35">
      <c r="P23" t="s">
        <v>300</v>
      </c>
      <c r="Q23" s="10">
        <v>23</v>
      </c>
    </row>
    <row r="24" spans="1:17" x14ac:dyDescent="0.35">
      <c r="P24" t="s">
        <v>302</v>
      </c>
      <c r="Q24" s="10">
        <v>24</v>
      </c>
    </row>
    <row r="25" spans="1:17" x14ac:dyDescent="0.35">
      <c r="P25" t="s">
        <v>303</v>
      </c>
      <c r="Q25" s="10">
        <v>25</v>
      </c>
    </row>
    <row r="26" spans="1:17" x14ac:dyDescent="0.35">
      <c r="P26" t="s">
        <v>299</v>
      </c>
      <c r="Q26" s="10">
        <v>26</v>
      </c>
    </row>
    <row r="27" spans="1:17" x14ac:dyDescent="0.35">
      <c r="P27" t="s">
        <v>298</v>
      </c>
      <c r="Q27" s="10">
        <v>27</v>
      </c>
    </row>
    <row r="28" spans="1:17" x14ac:dyDescent="0.35">
      <c r="P28" t="s">
        <v>311</v>
      </c>
      <c r="Q28" s="10">
        <v>28</v>
      </c>
    </row>
    <row r="29" spans="1:17" x14ac:dyDescent="0.35">
      <c r="P29" t="s">
        <v>301</v>
      </c>
      <c r="Q29" s="10">
        <v>29</v>
      </c>
    </row>
    <row r="30" spans="1:17" x14ac:dyDescent="0.35">
      <c r="P30" t="s">
        <v>317</v>
      </c>
      <c r="Q30" s="10">
        <v>30</v>
      </c>
    </row>
    <row r="31" spans="1:17" x14ac:dyDescent="0.35">
      <c r="P31" t="s">
        <v>304</v>
      </c>
      <c r="Q31" s="10">
        <v>31</v>
      </c>
    </row>
    <row r="32" spans="1:17" x14ac:dyDescent="0.35">
      <c r="P32" t="s">
        <v>318</v>
      </c>
      <c r="Q32" s="10">
        <v>32</v>
      </c>
    </row>
    <row r="33" spans="16:17" x14ac:dyDescent="0.35">
      <c r="P33" t="s">
        <v>305</v>
      </c>
      <c r="Q33" s="10">
        <v>33</v>
      </c>
    </row>
    <row r="34" spans="16:17" x14ac:dyDescent="0.35">
      <c r="P34" t="s">
        <v>319</v>
      </c>
      <c r="Q34" s="10">
        <v>34</v>
      </c>
    </row>
    <row r="35" spans="16:17" x14ac:dyDescent="0.35">
      <c r="P35" t="s">
        <v>312</v>
      </c>
      <c r="Q35" s="10">
        <v>35</v>
      </c>
    </row>
    <row r="36" spans="16:17" x14ac:dyDescent="0.35">
      <c r="P36" t="s">
        <v>313</v>
      </c>
      <c r="Q36" s="10">
        <v>36</v>
      </c>
    </row>
    <row r="37" spans="16:17" x14ac:dyDescent="0.35">
      <c r="P37" t="s">
        <v>314</v>
      </c>
      <c r="Q37" s="10">
        <v>37</v>
      </c>
    </row>
    <row r="38" spans="16:17" x14ac:dyDescent="0.35">
      <c r="P38" t="s">
        <v>854</v>
      </c>
      <c r="Q38" s="10">
        <v>38</v>
      </c>
    </row>
    <row r="39" spans="16:17" x14ac:dyDescent="0.35">
      <c r="P39" t="s">
        <v>855</v>
      </c>
      <c r="Q39" s="10">
        <v>39</v>
      </c>
    </row>
    <row r="40" spans="16:17" x14ac:dyDescent="0.35">
      <c r="P40" t="s">
        <v>856</v>
      </c>
      <c r="Q40" s="10">
        <v>40</v>
      </c>
    </row>
    <row r="41" spans="16:17" x14ac:dyDescent="0.35">
      <c r="P41" t="s">
        <v>857</v>
      </c>
      <c r="Q41" s="10">
        <v>41</v>
      </c>
    </row>
    <row r="42" spans="16:17" x14ac:dyDescent="0.35">
      <c r="P42" t="s">
        <v>858</v>
      </c>
      <c r="Q42" s="10">
        <v>42</v>
      </c>
    </row>
    <row r="43" spans="16:17" x14ac:dyDescent="0.35">
      <c r="P43" t="s">
        <v>859</v>
      </c>
      <c r="Q43" s="10">
        <v>43</v>
      </c>
    </row>
  </sheetData>
  <mergeCells count="7">
    <mergeCell ref="A16:A18"/>
    <mergeCell ref="K1:N1"/>
    <mergeCell ref="K2:K4"/>
    <mergeCell ref="F1:I1"/>
    <mergeCell ref="F2:F4"/>
    <mergeCell ref="A1:D1"/>
    <mergeCell ref="A2:A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9"/>
  <dimension ref="A2:E9"/>
  <sheetViews>
    <sheetView showGridLines="0" workbookViewId="0">
      <selection activeCell="P13" sqref="P13"/>
    </sheetView>
  </sheetViews>
  <sheetFormatPr baseColWidth="10" defaultColWidth="11.453125" defaultRowHeight="14.5" x14ac:dyDescent="0.35"/>
  <cols>
    <col min="1" max="1" width="24" style="10" bestFit="1" customWidth="1"/>
    <col min="2" max="2" width="21.453125" style="10" bestFit="1" customWidth="1"/>
    <col min="3" max="3" width="23.26953125" style="10" customWidth="1"/>
    <col min="4" max="4" width="21.453125" style="10" bestFit="1" customWidth="1"/>
    <col min="5" max="5" width="21.7265625" bestFit="1" customWidth="1"/>
  </cols>
  <sheetData>
    <row r="2" spans="1:5" x14ac:dyDescent="0.35">
      <c r="A2" s="425" t="s">
        <v>842</v>
      </c>
      <c r="B2" s="425"/>
      <c r="C2" s="425"/>
      <c r="D2" s="425"/>
      <c r="E2" s="425"/>
    </row>
    <row r="3" spans="1:5" x14ac:dyDescent="0.35">
      <c r="A3" s="64" t="s">
        <v>860</v>
      </c>
      <c r="B3" s="63" t="s">
        <v>844</v>
      </c>
      <c r="C3" s="62" t="s">
        <v>845</v>
      </c>
      <c r="D3" s="21" t="s">
        <v>846</v>
      </c>
      <c r="E3" s="25" t="s">
        <v>861</v>
      </c>
    </row>
    <row r="4" spans="1:5" x14ac:dyDescent="0.35">
      <c r="A4" s="64" t="s">
        <v>862</v>
      </c>
      <c r="B4" s="1" t="s">
        <v>157</v>
      </c>
      <c r="C4" s="1" t="s">
        <v>157</v>
      </c>
      <c r="D4" s="1" t="s">
        <v>157</v>
      </c>
      <c r="E4" s="1" t="s">
        <v>372</v>
      </c>
    </row>
    <row r="5" spans="1:5" x14ac:dyDescent="0.35">
      <c r="A5" s="64" t="s">
        <v>863</v>
      </c>
      <c r="B5" s="1" t="s">
        <v>864</v>
      </c>
      <c r="C5" s="1" t="s">
        <v>389</v>
      </c>
      <c r="D5" s="1" t="s">
        <v>865</v>
      </c>
      <c r="E5" s="1" t="s">
        <v>866</v>
      </c>
    </row>
    <row r="6" spans="1:5" x14ac:dyDescent="0.35">
      <c r="A6" s="64" t="s">
        <v>391</v>
      </c>
      <c r="B6" s="61">
        <v>77.8</v>
      </c>
      <c r="C6" s="61">
        <v>79.314999999999998</v>
      </c>
      <c r="D6" s="61">
        <v>78.900000000000006</v>
      </c>
      <c r="E6" s="61">
        <v>78.599999999999994</v>
      </c>
    </row>
    <row r="7" spans="1:5" x14ac:dyDescent="0.35">
      <c r="A7" s="64" t="s">
        <v>392</v>
      </c>
      <c r="B7" s="61">
        <v>18</v>
      </c>
      <c r="C7" s="61">
        <v>22.5</v>
      </c>
      <c r="D7" s="61">
        <v>22.05</v>
      </c>
      <c r="E7" s="61">
        <v>18.7</v>
      </c>
    </row>
    <row r="8" spans="1:5" x14ac:dyDescent="0.35">
      <c r="A8" s="64" t="s">
        <v>393</v>
      </c>
      <c r="B8" s="61">
        <v>31</v>
      </c>
      <c r="C8" s="61">
        <v>27.5</v>
      </c>
      <c r="D8" s="61">
        <v>28.96</v>
      </c>
      <c r="E8" s="61" t="s">
        <v>867</v>
      </c>
    </row>
    <row r="9" spans="1:5" x14ac:dyDescent="0.35">
      <c r="A9" s="64" t="s">
        <v>394</v>
      </c>
      <c r="B9" s="61">
        <v>255</v>
      </c>
      <c r="C9" s="61">
        <v>342</v>
      </c>
      <c r="D9" s="61">
        <v>183.8</v>
      </c>
      <c r="E9" s="61">
        <v>333.3</v>
      </c>
    </row>
  </sheetData>
  <mergeCells count="1">
    <mergeCell ref="A2:E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0"/>
  <dimension ref="A1:BL34"/>
  <sheetViews>
    <sheetView showGridLines="0" zoomScale="40" zoomScaleNormal="40" workbookViewId="0">
      <selection activeCell="P13" sqref="P13"/>
    </sheetView>
  </sheetViews>
  <sheetFormatPr baseColWidth="10" defaultColWidth="11.453125" defaultRowHeight="14.5" x14ac:dyDescent="0.35"/>
  <cols>
    <col min="1" max="1" width="12.7265625" bestFit="1" customWidth="1"/>
    <col min="2" max="2" width="25.26953125" customWidth="1"/>
    <col min="3" max="3" width="17.7265625" bestFit="1" customWidth="1"/>
    <col min="4" max="4" width="18.453125" bestFit="1" customWidth="1"/>
    <col min="5" max="5" width="11.7265625" bestFit="1" customWidth="1"/>
    <col min="6" max="7" width="11.54296875" bestFit="1" customWidth="1"/>
    <col min="8" max="9" width="17.26953125" bestFit="1" customWidth="1"/>
    <col min="10" max="10" width="18.26953125" bestFit="1" customWidth="1"/>
    <col min="13" max="13" width="13.453125" bestFit="1" customWidth="1"/>
    <col min="14" max="15" width="19.54296875" customWidth="1"/>
    <col min="16" max="16" width="3.54296875" customWidth="1"/>
    <col min="17" max="17" width="15.26953125" bestFit="1" customWidth="1"/>
    <col min="18" max="19" width="19.54296875" customWidth="1"/>
  </cols>
  <sheetData>
    <row r="1" spans="1:19" x14ac:dyDescent="0.35">
      <c r="A1" s="79" t="s">
        <v>1</v>
      </c>
      <c r="B1" s="79" t="s">
        <v>862</v>
      </c>
      <c r="C1" s="79" t="s">
        <v>868</v>
      </c>
      <c r="D1" s="79" t="s">
        <v>869</v>
      </c>
      <c r="E1" s="79" t="s">
        <v>870</v>
      </c>
      <c r="F1" s="79" t="s">
        <v>871</v>
      </c>
      <c r="G1" s="79" t="s">
        <v>872</v>
      </c>
      <c r="H1" s="79" t="s">
        <v>873</v>
      </c>
      <c r="I1" s="79" t="s">
        <v>874</v>
      </c>
      <c r="J1" s="79" t="s">
        <v>875</v>
      </c>
      <c r="M1" s="4" t="s">
        <v>1</v>
      </c>
      <c r="N1" s="84" t="s">
        <v>876</v>
      </c>
      <c r="O1" s="83" t="s">
        <v>83</v>
      </c>
      <c r="Q1" s="4" t="s">
        <v>1</v>
      </c>
      <c r="R1" s="84" t="s">
        <v>876</v>
      </c>
      <c r="S1" s="83" t="s">
        <v>83</v>
      </c>
    </row>
    <row r="2" spans="1:19" ht="29" x14ac:dyDescent="0.35">
      <c r="A2" s="1" t="s">
        <v>844</v>
      </c>
      <c r="B2" s="1" t="s">
        <v>245</v>
      </c>
      <c r="C2" s="12">
        <v>44704</v>
      </c>
      <c r="D2" s="59">
        <v>63.78</v>
      </c>
      <c r="E2" s="59">
        <v>21</v>
      </c>
      <c r="F2" s="59">
        <v>0</v>
      </c>
      <c r="G2" s="59">
        <v>822</v>
      </c>
      <c r="H2" s="13"/>
      <c r="I2" s="13"/>
      <c r="J2" s="13"/>
      <c r="M2" s="4" t="s">
        <v>2</v>
      </c>
      <c r="N2" s="84" t="s">
        <v>79</v>
      </c>
      <c r="O2" s="83" t="s">
        <v>79</v>
      </c>
      <c r="Q2" s="4" t="s">
        <v>2</v>
      </c>
      <c r="R2" s="84" t="s">
        <v>384</v>
      </c>
      <c r="S2" s="83" t="s">
        <v>384</v>
      </c>
    </row>
    <row r="3" spans="1:19" x14ac:dyDescent="0.35">
      <c r="A3" s="1" t="s">
        <v>877</v>
      </c>
      <c r="B3" s="1"/>
      <c r="C3" s="12">
        <v>44688</v>
      </c>
      <c r="D3" s="1">
        <v>687.2</v>
      </c>
      <c r="E3" s="5">
        <v>29.8</v>
      </c>
      <c r="F3" s="5">
        <v>0.7</v>
      </c>
      <c r="G3" s="5">
        <v>476</v>
      </c>
      <c r="H3" s="1"/>
      <c r="I3" s="1"/>
      <c r="J3" s="1"/>
      <c r="M3" s="81" t="s">
        <v>3</v>
      </c>
      <c r="N3" s="5">
        <v>6</v>
      </c>
      <c r="O3" s="1">
        <v>9.7899999999999991</v>
      </c>
      <c r="Q3" s="81" t="s">
        <v>3</v>
      </c>
      <c r="R3" s="5">
        <v>145</v>
      </c>
      <c r="S3" s="1">
        <v>48.88</v>
      </c>
    </row>
    <row r="4" spans="1:19" x14ac:dyDescent="0.35">
      <c r="A4" s="1" t="s">
        <v>844</v>
      </c>
      <c r="B4" s="1" t="s">
        <v>157</v>
      </c>
      <c r="C4" s="12">
        <v>44677</v>
      </c>
      <c r="D4" s="1">
        <v>76.91</v>
      </c>
      <c r="E4" s="5">
        <v>26</v>
      </c>
      <c r="F4" s="5">
        <v>0</v>
      </c>
      <c r="G4" s="5">
        <v>554</v>
      </c>
      <c r="H4" s="1" t="s">
        <v>226</v>
      </c>
      <c r="I4" s="1" t="s">
        <v>226</v>
      </c>
      <c r="J4" s="1" t="s">
        <v>226</v>
      </c>
      <c r="M4" s="82" t="s">
        <v>4</v>
      </c>
      <c r="N4" s="5">
        <v>7</v>
      </c>
      <c r="O4" s="1">
        <v>11.72</v>
      </c>
      <c r="Q4" s="82" t="s">
        <v>4</v>
      </c>
      <c r="R4" s="5">
        <v>165</v>
      </c>
      <c r="S4" s="1">
        <v>55.28</v>
      </c>
    </row>
    <row r="5" spans="1:19" ht="29" x14ac:dyDescent="0.35">
      <c r="A5" s="1" t="s">
        <v>844</v>
      </c>
      <c r="B5" s="1" t="s">
        <v>157</v>
      </c>
      <c r="C5" s="12">
        <v>44653</v>
      </c>
      <c r="D5" s="1">
        <v>77.8</v>
      </c>
      <c r="E5" s="5">
        <v>18</v>
      </c>
      <c r="F5" s="5">
        <v>31</v>
      </c>
      <c r="G5" s="5">
        <v>255</v>
      </c>
      <c r="H5" s="1">
        <v>20</v>
      </c>
      <c r="I5" s="1">
        <v>18</v>
      </c>
      <c r="J5" s="1">
        <v>12</v>
      </c>
      <c r="M5" s="81" t="s">
        <v>5</v>
      </c>
      <c r="N5" s="5">
        <v>5</v>
      </c>
      <c r="O5" s="1">
        <v>5.21</v>
      </c>
      <c r="Q5" s="81" t="s">
        <v>5</v>
      </c>
      <c r="R5" s="5">
        <v>1</v>
      </c>
      <c r="S5" s="1">
        <v>1.27</v>
      </c>
    </row>
    <row r="6" spans="1:19" ht="29" x14ac:dyDescent="0.35">
      <c r="A6" s="1" t="s">
        <v>846</v>
      </c>
      <c r="B6" s="1"/>
      <c r="C6" s="12">
        <v>44618</v>
      </c>
      <c r="D6" s="1">
        <v>78.900000000000006</v>
      </c>
      <c r="E6" s="5">
        <v>22.05</v>
      </c>
      <c r="F6" s="5">
        <v>28.96</v>
      </c>
      <c r="G6" s="5">
        <v>183.8</v>
      </c>
      <c r="H6" s="1"/>
      <c r="I6" s="1"/>
      <c r="J6" s="1"/>
      <c r="M6" s="82" t="s">
        <v>6</v>
      </c>
      <c r="N6" s="5">
        <v>7</v>
      </c>
      <c r="O6" s="1">
        <v>6.72</v>
      </c>
      <c r="Q6" s="82" t="s">
        <v>6</v>
      </c>
      <c r="R6" s="5">
        <v>2</v>
      </c>
      <c r="S6" s="1">
        <v>1.48</v>
      </c>
    </row>
    <row r="7" spans="1:19" x14ac:dyDescent="0.35">
      <c r="A7" s="1" t="s">
        <v>845</v>
      </c>
      <c r="B7" s="1"/>
      <c r="C7" s="12">
        <v>44532</v>
      </c>
      <c r="D7" s="1">
        <v>79.33</v>
      </c>
      <c r="E7" s="5">
        <v>23</v>
      </c>
      <c r="F7" s="5">
        <v>28</v>
      </c>
      <c r="G7" s="5">
        <v>363</v>
      </c>
      <c r="H7" s="1"/>
      <c r="I7" s="1"/>
      <c r="J7" s="1"/>
      <c r="M7" s="81" t="s">
        <v>7</v>
      </c>
      <c r="N7" s="5">
        <v>2</v>
      </c>
      <c r="O7" s="1">
        <v>2.5499999999999998</v>
      </c>
      <c r="Q7" s="81" t="s">
        <v>7</v>
      </c>
      <c r="R7" s="5">
        <v>6</v>
      </c>
      <c r="S7" s="1">
        <v>3.51</v>
      </c>
    </row>
    <row r="8" spans="1:19" x14ac:dyDescent="0.35">
      <c r="A8" s="1" t="s">
        <v>845</v>
      </c>
      <c r="B8" s="1"/>
      <c r="C8" s="12">
        <v>44532</v>
      </c>
      <c r="D8" s="1">
        <v>79.3</v>
      </c>
      <c r="E8" s="5">
        <v>22</v>
      </c>
      <c r="F8" s="5">
        <v>27</v>
      </c>
      <c r="G8" s="5">
        <v>321</v>
      </c>
      <c r="H8" s="1"/>
      <c r="I8" s="1"/>
      <c r="J8" s="1"/>
      <c r="M8" s="82" t="s">
        <v>8</v>
      </c>
      <c r="N8" s="5">
        <v>3</v>
      </c>
      <c r="O8" s="1">
        <v>3.35</v>
      </c>
      <c r="Q8" s="82" t="s">
        <v>8</v>
      </c>
      <c r="R8" s="5">
        <v>10</v>
      </c>
      <c r="S8" s="1">
        <v>4.72</v>
      </c>
    </row>
    <row r="9" spans="1:19" x14ac:dyDescent="0.35">
      <c r="A9" s="1" t="s">
        <v>877</v>
      </c>
      <c r="B9" s="1"/>
      <c r="C9" s="12">
        <v>44531</v>
      </c>
      <c r="D9" s="1">
        <v>699</v>
      </c>
      <c r="E9" s="5">
        <v>15.8</v>
      </c>
      <c r="F9" s="5">
        <v>20.9</v>
      </c>
      <c r="G9" s="5">
        <v>235</v>
      </c>
      <c r="H9" s="1"/>
      <c r="I9" s="1"/>
      <c r="J9" s="1"/>
      <c r="M9" s="81" t="s">
        <v>9</v>
      </c>
      <c r="N9" s="5">
        <v>3</v>
      </c>
      <c r="O9" s="1">
        <v>0.47</v>
      </c>
      <c r="Q9" s="81" t="s">
        <v>9</v>
      </c>
      <c r="R9" s="5">
        <v>2</v>
      </c>
      <c r="S9" s="1">
        <v>0.96</v>
      </c>
    </row>
    <row r="10" spans="1:19" x14ac:dyDescent="0.35">
      <c r="A10" s="1" t="s">
        <v>844</v>
      </c>
      <c r="B10" s="1" t="s">
        <v>157</v>
      </c>
      <c r="C10" s="12">
        <v>44493</v>
      </c>
      <c r="D10" s="1">
        <v>77.900000000000006</v>
      </c>
      <c r="E10" s="5">
        <v>20</v>
      </c>
      <c r="F10" s="5">
        <v>32</v>
      </c>
      <c r="G10" s="5">
        <v>278</v>
      </c>
      <c r="H10" s="1" t="s">
        <v>226</v>
      </c>
      <c r="I10" s="1" t="s">
        <v>226</v>
      </c>
      <c r="J10" s="1" t="s">
        <v>226</v>
      </c>
      <c r="M10" s="82" t="s">
        <v>10</v>
      </c>
      <c r="N10" s="5">
        <v>5</v>
      </c>
      <c r="O10" s="1">
        <v>0.69</v>
      </c>
      <c r="Q10" s="82" t="s">
        <v>10</v>
      </c>
      <c r="R10" s="5">
        <v>3</v>
      </c>
      <c r="S10" s="1">
        <v>1.29</v>
      </c>
    </row>
    <row r="11" spans="1:19" x14ac:dyDescent="0.35">
      <c r="A11" s="1" t="s">
        <v>844</v>
      </c>
      <c r="B11" s="1" t="s">
        <v>157</v>
      </c>
      <c r="C11" s="12">
        <v>44440</v>
      </c>
      <c r="D11" s="1">
        <v>78.67</v>
      </c>
      <c r="E11" s="5">
        <v>14</v>
      </c>
      <c r="F11" s="5">
        <v>24</v>
      </c>
      <c r="G11" s="5">
        <v>138</v>
      </c>
      <c r="H11" s="1">
        <v>19</v>
      </c>
      <c r="I11" s="1">
        <v>16</v>
      </c>
      <c r="J11" s="1">
        <v>12</v>
      </c>
      <c r="M11" s="81" t="s">
        <v>13</v>
      </c>
      <c r="N11" s="5">
        <v>1</v>
      </c>
      <c r="O11" s="1">
        <v>0.25</v>
      </c>
      <c r="Q11" s="81" t="s">
        <v>13</v>
      </c>
      <c r="R11" s="5">
        <v>1</v>
      </c>
      <c r="S11" s="1">
        <v>0.96</v>
      </c>
    </row>
    <row r="12" spans="1:19" x14ac:dyDescent="0.35">
      <c r="A12" s="1" t="s">
        <v>844</v>
      </c>
      <c r="B12" s="1" t="s">
        <v>157</v>
      </c>
      <c r="C12" s="12">
        <v>44410</v>
      </c>
      <c r="D12" s="1">
        <v>76.95</v>
      </c>
      <c r="E12" s="5">
        <v>16</v>
      </c>
      <c r="F12" s="5">
        <v>27</v>
      </c>
      <c r="G12" s="5">
        <v>218</v>
      </c>
      <c r="H12" s="1">
        <v>18</v>
      </c>
      <c r="I12" s="1">
        <v>15</v>
      </c>
      <c r="J12" s="1">
        <v>12</v>
      </c>
      <c r="M12" s="82" t="s">
        <v>14</v>
      </c>
      <c r="N12" s="5">
        <v>2</v>
      </c>
      <c r="O12" s="1">
        <v>0.32</v>
      </c>
      <c r="Q12" s="82" t="s">
        <v>14</v>
      </c>
      <c r="R12" s="5">
        <v>2</v>
      </c>
      <c r="S12" s="1">
        <v>1.24</v>
      </c>
    </row>
    <row r="13" spans="1:19" x14ac:dyDescent="0.35">
      <c r="A13" s="1" t="s">
        <v>844</v>
      </c>
      <c r="B13" s="1" t="s">
        <v>157</v>
      </c>
      <c r="C13" s="12">
        <v>44409</v>
      </c>
      <c r="D13" s="1">
        <v>76.319999999999993</v>
      </c>
      <c r="E13" s="5">
        <v>19</v>
      </c>
      <c r="F13" s="5">
        <v>29</v>
      </c>
      <c r="G13" s="5">
        <v>200</v>
      </c>
      <c r="H13" s="1">
        <v>20</v>
      </c>
      <c r="I13" s="1">
        <v>18</v>
      </c>
      <c r="J13" s="1">
        <v>13</v>
      </c>
      <c r="M13" s="81" t="s">
        <v>17</v>
      </c>
      <c r="N13" s="5">
        <v>11</v>
      </c>
      <c r="O13" s="1">
        <v>13</v>
      </c>
      <c r="Q13" s="81" t="s">
        <v>17</v>
      </c>
      <c r="R13" s="5">
        <v>21</v>
      </c>
      <c r="S13" s="1">
        <v>22.81</v>
      </c>
    </row>
    <row r="14" spans="1:19" x14ac:dyDescent="0.35">
      <c r="A14" s="1" t="s">
        <v>844</v>
      </c>
      <c r="B14" s="1" t="s">
        <v>157</v>
      </c>
      <c r="C14" s="12">
        <v>44401</v>
      </c>
      <c r="D14" s="1">
        <v>76.53</v>
      </c>
      <c r="E14" s="5">
        <v>17</v>
      </c>
      <c r="F14" s="5">
        <v>26</v>
      </c>
      <c r="G14" s="5">
        <v>190</v>
      </c>
      <c r="H14" s="1">
        <v>18</v>
      </c>
      <c r="I14" s="1">
        <v>16</v>
      </c>
      <c r="J14" s="1">
        <v>1</v>
      </c>
      <c r="M14" s="82" t="s">
        <v>18</v>
      </c>
      <c r="N14" s="5">
        <v>13</v>
      </c>
      <c r="O14" s="1">
        <v>16</v>
      </c>
      <c r="Q14" s="82" t="s">
        <v>18</v>
      </c>
      <c r="R14" s="5">
        <v>26</v>
      </c>
      <c r="S14" s="1">
        <v>26.47</v>
      </c>
    </row>
    <row r="15" spans="1:19" x14ac:dyDescent="0.35">
      <c r="A15" s="1" t="s">
        <v>844</v>
      </c>
      <c r="B15" s="1" t="s">
        <v>157</v>
      </c>
      <c r="C15" s="12">
        <v>44400</v>
      </c>
      <c r="D15" s="1">
        <v>77.040000000000006</v>
      </c>
      <c r="E15" s="5">
        <v>20</v>
      </c>
      <c r="F15" s="5">
        <v>27</v>
      </c>
      <c r="G15" s="5">
        <v>208</v>
      </c>
      <c r="H15" s="1">
        <v>21</v>
      </c>
      <c r="I15" s="1">
        <v>20</v>
      </c>
      <c r="J15" s="1">
        <v>14</v>
      </c>
      <c r="M15" s="81" t="s">
        <v>19</v>
      </c>
      <c r="N15" s="5">
        <v>5</v>
      </c>
      <c r="O15" s="1">
        <v>2.81</v>
      </c>
      <c r="Q15" s="81" t="s">
        <v>19</v>
      </c>
      <c r="R15" s="5">
        <v>1</v>
      </c>
      <c r="S15" s="1"/>
    </row>
    <row r="16" spans="1:19" x14ac:dyDescent="0.35">
      <c r="A16" s="1" t="s">
        <v>861</v>
      </c>
      <c r="B16" s="1"/>
      <c r="C16" s="12">
        <v>44353</v>
      </c>
      <c r="D16" s="1">
        <v>78.2</v>
      </c>
      <c r="E16" s="5">
        <v>18.2</v>
      </c>
      <c r="F16" s="5"/>
      <c r="G16" s="5">
        <v>338</v>
      </c>
      <c r="H16" s="1">
        <v>21</v>
      </c>
      <c r="I16" s="1">
        <v>21</v>
      </c>
      <c r="J16" s="1">
        <v>16</v>
      </c>
      <c r="M16" s="82" t="s">
        <v>20</v>
      </c>
      <c r="N16" s="5">
        <v>6</v>
      </c>
      <c r="O16" s="1">
        <v>3.52</v>
      </c>
      <c r="Q16" s="82" t="s">
        <v>20</v>
      </c>
      <c r="R16" s="5">
        <v>2</v>
      </c>
      <c r="S16" s="1"/>
    </row>
    <row r="17" spans="1:64" x14ac:dyDescent="0.35">
      <c r="A17" s="1" t="s">
        <v>861</v>
      </c>
      <c r="B17" s="1"/>
      <c r="C17" s="12">
        <v>44353</v>
      </c>
      <c r="D17" s="1">
        <v>78.900000000000006</v>
      </c>
      <c r="E17" s="5">
        <v>19.100000000000001</v>
      </c>
      <c r="F17" s="5"/>
      <c r="G17" s="5">
        <v>328.6</v>
      </c>
      <c r="H17" s="1">
        <v>20</v>
      </c>
      <c r="I17" s="1">
        <v>18</v>
      </c>
      <c r="J17" s="1">
        <v>11</v>
      </c>
      <c r="M17" s="81" t="s">
        <v>21</v>
      </c>
      <c r="N17" s="5"/>
      <c r="O17" s="1">
        <v>2.2200000000000002</v>
      </c>
      <c r="Q17" s="81" t="s">
        <v>43</v>
      </c>
      <c r="R17" s="5">
        <v>130</v>
      </c>
      <c r="S17" s="1"/>
    </row>
    <row r="18" spans="1:64" x14ac:dyDescent="0.35">
      <c r="A18" s="1" t="s">
        <v>844</v>
      </c>
      <c r="B18" s="1" t="s">
        <v>157</v>
      </c>
      <c r="C18" s="12">
        <v>44257</v>
      </c>
      <c r="D18" s="1">
        <v>74.010000000000005</v>
      </c>
      <c r="E18" s="5">
        <v>20</v>
      </c>
      <c r="F18" s="5">
        <v>33</v>
      </c>
      <c r="G18" s="5">
        <v>284</v>
      </c>
      <c r="H18" s="1">
        <v>23</v>
      </c>
      <c r="I18" s="1">
        <v>20</v>
      </c>
      <c r="J18" s="1">
        <v>15</v>
      </c>
      <c r="M18" s="82" t="s">
        <v>22</v>
      </c>
      <c r="N18" s="5"/>
      <c r="O18" s="1">
        <v>2.98</v>
      </c>
      <c r="Q18" s="82" t="s">
        <v>44</v>
      </c>
      <c r="R18" s="5">
        <v>150</v>
      </c>
      <c r="S18" s="1"/>
    </row>
    <row r="19" spans="1:64" x14ac:dyDescent="0.35">
      <c r="A19" s="1" t="s">
        <v>844</v>
      </c>
      <c r="B19" s="1" t="s">
        <v>157</v>
      </c>
      <c r="C19" s="12">
        <v>44252</v>
      </c>
      <c r="D19" s="1">
        <v>74.03</v>
      </c>
      <c r="E19" s="5">
        <v>22</v>
      </c>
      <c r="F19" s="5">
        <v>35</v>
      </c>
      <c r="G19" s="5">
        <v>254</v>
      </c>
      <c r="H19" s="1">
        <v>17</v>
      </c>
      <c r="I19" s="1">
        <v>16</v>
      </c>
      <c r="J19" s="1">
        <v>14</v>
      </c>
      <c r="M19" s="81" t="s">
        <v>57</v>
      </c>
      <c r="N19" s="13"/>
      <c r="O19" s="5">
        <v>19</v>
      </c>
      <c r="Q19" s="81" t="s">
        <v>57</v>
      </c>
      <c r="R19" s="13"/>
      <c r="S19" s="5">
        <v>19</v>
      </c>
    </row>
    <row r="20" spans="1:64" x14ac:dyDescent="0.35">
      <c r="A20" s="1" t="s">
        <v>844</v>
      </c>
      <c r="B20" s="1" t="s">
        <v>157</v>
      </c>
      <c r="C20" s="12">
        <v>44252</v>
      </c>
      <c r="D20" s="1">
        <v>73.5</v>
      </c>
      <c r="E20" s="5">
        <v>22</v>
      </c>
      <c r="F20" s="5">
        <v>34</v>
      </c>
      <c r="G20" s="5">
        <v>250</v>
      </c>
      <c r="H20" s="1">
        <v>19</v>
      </c>
      <c r="I20" s="1">
        <v>16</v>
      </c>
      <c r="J20" s="1">
        <v>13</v>
      </c>
      <c r="M20" s="82" t="s">
        <v>58</v>
      </c>
      <c r="N20" s="13"/>
      <c r="O20" s="5">
        <v>20</v>
      </c>
      <c r="Q20" s="82" t="s">
        <v>58</v>
      </c>
      <c r="R20" s="13"/>
      <c r="S20" s="5">
        <v>20</v>
      </c>
    </row>
    <row r="21" spans="1:64" x14ac:dyDescent="0.35">
      <c r="A21" s="1" t="s">
        <v>844</v>
      </c>
      <c r="B21" s="1" t="s">
        <v>157</v>
      </c>
      <c r="C21" s="12">
        <v>44174</v>
      </c>
      <c r="D21" s="1">
        <v>75.39</v>
      </c>
      <c r="E21" s="5">
        <v>11</v>
      </c>
      <c r="F21" s="5">
        <v>29</v>
      </c>
      <c r="G21" s="5">
        <v>244</v>
      </c>
      <c r="H21" s="1">
        <v>22</v>
      </c>
      <c r="I21" s="1">
        <v>20</v>
      </c>
      <c r="J21" s="1">
        <v>16</v>
      </c>
      <c r="M21" s="81" t="s">
        <v>59</v>
      </c>
      <c r="N21" s="13"/>
      <c r="O21" s="1">
        <v>17</v>
      </c>
      <c r="Q21" s="81" t="s">
        <v>59</v>
      </c>
      <c r="R21" s="13"/>
      <c r="S21" s="5">
        <v>17</v>
      </c>
    </row>
    <row r="22" spans="1:64" x14ac:dyDescent="0.35">
      <c r="M22" s="82" t="s">
        <v>60</v>
      </c>
      <c r="N22" s="13"/>
      <c r="O22" s="1">
        <v>18</v>
      </c>
      <c r="Q22" s="82" t="s">
        <v>60</v>
      </c>
      <c r="R22" s="13"/>
      <c r="S22" s="5">
        <v>18</v>
      </c>
    </row>
    <row r="23" spans="1:64" x14ac:dyDescent="0.35">
      <c r="M23" s="81" t="s">
        <v>61</v>
      </c>
      <c r="N23" s="13"/>
      <c r="O23" s="5">
        <v>14</v>
      </c>
      <c r="Q23" s="81" t="s">
        <v>61</v>
      </c>
      <c r="R23" s="13"/>
      <c r="S23" s="5">
        <v>14</v>
      </c>
    </row>
    <row r="24" spans="1:64" x14ac:dyDescent="0.35">
      <c r="M24" s="82" t="s">
        <v>62</v>
      </c>
      <c r="N24" s="13"/>
      <c r="O24" s="5">
        <v>15</v>
      </c>
      <c r="Q24" s="82" t="s">
        <v>62</v>
      </c>
      <c r="R24" s="13"/>
      <c r="S24" s="5">
        <v>15</v>
      </c>
    </row>
    <row r="29" spans="1:64" ht="63" x14ac:dyDescent="0.35">
      <c r="A29" s="28" t="s">
        <v>3</v>
      </c>
      <c r="B29" s="29" t="s">
        <v>4</v>
      </c>
      <c r="C29" s="28" t="s">
        <v>5</v>
      </c>
      <c r="D29" s="29" t="s">
        <v>6</v>
      </c>
      <c r="E29" s="28" t="s">
        <v>7</v>
      </c>
      <c r="F29" s="29" t="s">
        <v>8</v>
      </c>
      <c r="G29" s="28" t="s">
        <v>9</v>
      </c>
      <c r="H29" s="29" t="s">
        <v>10</v>
      </c>
      <c r="I29" s="28" t="s">
        <v>11</v>
      </c>
      <c r="J29" s="29" t="s">
        <v>12</v>
      </c>
      <c r="K29" s="28" t="s">
        <v>13</v>
      </c>
      <c r="L29" s="29" t="s">
        <v>14</v>
      </c>
      <c r="M29" s="28" t="s">
        <v>15</v>
      </c>
      <c r="N29" s="29" t="s">
        <v>16</v>
      </c>
      <c r="O29" s="28" t="s">
        <v>17</v>
      </c>
      <c r="P29" s="29" t="s">
        <v>18</v>
      </c>
      <c r="Q29" s="28" t="s">
        <v>19</v>
      </c>
      <c r="R29" s="29" t="s">
        <v>20</v>
      </c>
      <c r="S29" s="28" t="s">
        <v>21</v>
      </c>
      <c r="T29" s="29" t="s">
        <v>22</v>
      </c>
      <c r="U29" s="28" t="s">
        <v>23</v>
      </c>
      <c r="V29" s="29" t="s">
        <v>24</v>
      </c>
      <c r="W29" s="28" t="s">
        <v>25</v>
      </c>
      <c r="X29" s="29" t="s">
        <v>26</v>
      </c>
      <c r="Y29" s="28" t="s">
        <v>27</v>
      </c>
      <c r="Z29" s="29" t="s">
        <v>28</v>
      </c>
      <c r="AA29" s="28" t="s">
        <v>29</v>
      </c>
      <c r="AB29" s="29" t="s">
        <v>30</v>
      </c>
      <c r="AC29" s="28" t="s">
        <v>31</v>
      </c>
      <c r="AD29" s="29" t="s">
        <v>32</v>
      </c>
      <c r="AE29" s="28" t="s">
        <v>33</v>
      </c>
      <c r="AF29" s="29" t="s">
        <v>34</v>
      </c>
      <c r="AG29" s="28" t="s">
        <v>35</v>
      </c>
      <c r="AH29" s="29" t="s">
        <v>36</v>
      </c>
      <c r="AI29" s="28" t="s">
        <v>37</v>
      </c>
      <c r="AJ29" s="29" t="s">
        <v>38</v>
      </c>
      <c r="AK29" s="28" t="s">
        <v>39</v>
      </c>
      <c r="AL29" s="29" t="s">
        <v>40</v>
      </c>
      <c r="AM29" s="28" t="s">
        <v>41</v>
      </c>
      <c r="AN29" s="29" t="s">
        <v>42</v>
      </c>
      <c r="AO29" s="28" t="s">
        <v>43</v>
      </c>
      <c r="AP29" s="29" t="s">
        <v>44</v>
      </c>
      <c r="AQ29" s="28" t="s">
        <v>45</v>
      </c>
      <c r="AR29" s="29" t="s">
        <v>46</v>
      </c>
      <c r="AS29" s="28" t="s">
        <v>47</v>
      </c>
      <c r="AT29" s="29" t="s">
        <v>48</v>
      </c>
      <c r="AU29" s="28" t="s">
        <v>49</v>
      </c>
      <c r="AV29" s="29" t="s">
        <v>50</v>
      </c>
      <c r="AW29" s="28" t="s">
        <v>51</v>
      </c>
      <c r="AX29" s="29" t="s">
        <v>52</v>
      </c>
      <c r="AY29" s="28" t="s">
        <v>53</v>
      </c>
      <c r="AZ29" s="29" t="s">
        <v>54</v>
      </c>
      <c r="BA29" s="28" t="s">
        <v>55</v>
      </c>
      <c r="BB29" s="29" t="s">
        <v>56</v>
      </c>
      <c r="BC29" s="28" t="s">
        <v>57</v>
      </c>
      <c r="BD29" s="29" t="s">
        <v>58</v>
      </c>
      <c r="BE29" s="28" t="s">
        <v>59</v>
      </c>
      <c r="BF29" s="29" t="s">
        <v>60</v>
      </c>
      <c r="BG29" s="28" t="s">
        <v>61</v>
      </c>
      <c r="BH29" s="29" t="s">
        <v>62</v>
      </c>
      <c r="BI29" s="28" t="s">
        <v>63</v>
      </c>
      <c r="BJ29" s="29" t="s">
        <v>64</v>
      </c>
      <c r="BK29" s="28" t="s">
        <v>65</v>
      </c>
      <c r="BL29" s="29" t="s">
        <v>66</v>
      </c>
    </row>
    <row r="30" spans="1:64" x14ac:dyDescent="0.35">
      <c r="A30" s="91">
        <v>48.88</v>
      </c>
      <c r="B30" s="91">
        <v>55.28</v>
      </c>
      <c r="C30" s="91">
        <v>1.27</v>
      </c>
      <c r="D30" s="91">
        <v>1.48</v>
      </c>
      <c r="E30" s="91">
        <v>3.51</v>
      </c>
      <c r="F30" s="91">
        <v>4.72</v>
      </c>
      <c r="G30" s="91">
        <v>0.96</v>
      </c>
      <c r="H30" s="91">
        <v>1.29</v>
      </c>
      <c r="I30" s="91"/>
      <c r="J30" s="91"/>
      <c r="K30" s="91">
        <v>0.96</v>
      </c>
      <c r="L30" s="91">
        <v>1.24</v>
      </c>
      <c r="M30" s="91"/>
      <c r="N30" s="91"/>
      <c r="O30" s="91">
        <v>22.81</v>
      </c>
      <c r="P30" s="91">
        <v>26.47</v>
      </c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89">
        <v>19</v>
      </c>
      <c r="BD30" s="89">
        <v>20</v>
      </c>
      <c r="BE30" s="89">
        <v>17</v>
      </c>
      <c r="BF30" s="89">
        <v>18</v>
      </c>
      <c r="BG30" s="89">
        <v>14</v>
      </c>
      <c r="BH30" s="89">
        <v>15</v>
      </c>
      <c r="BI30" s="92"/>
      <c r="BJ30" s="92"/>
      <c r="BK30" s="92"/>
      <c r="BL30" s="92"/>
    </row>
    <row r="31" spans="1:64" x14ac:dyDescent="0.35">
      <c r="A31" s="1">
        <v>48.88</v>
      </c>
      <c r="B31" s="1">
        <v>55.28</v>
      </c>
      <c r="C31" s="1">
        <v>1.27</v>
      </c>
      <c r="D31" s="1">
        <v>1.48</v>
      </c>
      <c r="E31" s="1">
        <v>3.51</v>
      </c>
      <c r="F31" s="1">
        <v>4.72</v>
      </c>
      <c r="G31" s="1">
        <v>0.96</v>
      </c>
      <c r="H31" s="1">
        <v>1.29</v>
      </c>
      <c r="I31" s="1"/>
      <c r="J31" s="1"/>
      <c r="K31" s="1">
        <v>0.96</v>
      </c>
      <c r="L31" s="1">
        <v>1.24</v>
      </c>
      <c r="M31" s="1"/>
      <c r="N31" s="1"/>
      <c r="O31" s="1">
        <v>22.81</v>
      </c>
      <c r="P31" s="1">
        <v>26.47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5">
        <v>19</v>
      </c>
      <c r="BD31" s="5">
        <v>20</v>
      </c>
      <c r="BE31" s="5">
        <v>17</v>
      </c>
      <c r="BF31" s="5">
        <v>18</v>
      </c>
      <c r="BG31" s="5">
        <v>14</v>
      </c>
      <c r="BH31" s="5">
        <v>15</v>
      </c>
      <c r="BI31" s="13"/>
      <c r="BJ31" s="13"/>
      <c r="BK31" s="13"/>
      <c r="BL31" s="13"/>
    </row>
    <row r="32" spans="1:64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5">
        <v>17</v>
      </c>
      <c r="BF32" s="5">
        <v>18</v>
      </c>
      <c r="BG32" s="1"/>
      <c r="BH32" s="1"/>
      <c r="BI32" s="13"/>
      <c r="BJ32" s="13"/>
      <c r="BK32" s="13"/>
      <c r="BL32" s="13"/>
    </row>
    <row r="33" spans="1:64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3"/>
      <c r="BJ33" s="13"/>
      <c r="BK33" s="13"/>
      <c r="BL33" s="13"/>
    </row>
    <row r="34" spans="1:64" x14ac:dyDescent="0.35">
      <c r="A34" s="1">
        <v>9.7899999999999991</v>
      </c>
      <c r="B34" s="1">
        <v>11.72</v>
      </c>
      <c r="C34" s="1">
        <v>5.21</v>
      </c>
      <c r="D34" s="1">
        <v>6.72</v>
      </c>
      <c r="E34" s="1">
        <v>2.5499999999999998</v>
      </c>
      <c r="F34" s="1">
        <v>3.35</v>
      </c>
      <c r="G34" s="1">
        <v>0.47</v>
      </c>
      <c r="H34" s="1">
        <v>0.69</v>
      </c>
      <c r="I34" s="1"/>
      <c r="J34" s="1"/>
      <c r="K34" s="1">
        <v>0.25</v>
      </c>
      <c r="L34" s="1">
        <v>0.32</v>
      </c>
      <c r="M34" s="1"/>
      <c r="N34" s="1"/>
      <c r="O34" s="1">
        <v>13</v>
      </c>
      <c r="P34" s="1">
        <v>16</v>
      </c>
      <c r="Q34" s="1">
        <v>2.81</v>
      </c>
      <c r="R34" s="1">
        <v>3.52</v>
      </c>
      <c r="S34" s="1">
        <v>2.2200000000000002</v>
      </c>
      <c r="T34" s="1">
        <v>2.98</v>
      </c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5">
        <v>19</v>
      </c>
      <c r="BD34" s="5">
        <v>20</v>
      </c>
      <c r="BE34" s="1">
        <v>17</v>
      </c>
      <c r="BF34" s="1">
        <v>18</v>
      </c>
      <c r="BG34" s="5">
        <v>14</v>
      </c>
      <c r="BH34" s="5">
        <v>15</v>
      </c>
      <c r="BI34" s="13"/>
      <c r="BJ34" s="13"/>
      <c r="BK34" s="13"/>
      <c r="BL34" s="13"/>
    </row>
  </sheetData>
  <autoFilter ref="A1:J21" xr:uid="{00000000-0009-0000-0000-00000D000000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G41"/>
  <sheetViews>
    <sheetView showGridLines="0" zoomScale="70" zoomScaleNormal="70" workbookViewId="0">
      <selection activeCell="P13" sqref="P13"/>
    </sheetView>
  </sheetViews>
  <sheetFormatPr baseColWidth="10" defaultColWidth="11.453125" defaultRowHeight="14.5" x14ac:dyDescent="0.35"/>
  <cols>
    <col min="1" max="1" width="13" customWidth="1"/>
    <col min="5" max="5" width="18.7265625" bestFit="1" customWidth="1"/>
    <col min="6" max="6" width="5.7265625" customWidth="1"/>
    <col min="7" max="7" width="4.7265625" customWidth="1"/>
  </cols>
  <sheetData>
    <row r="1" spans="1:7" x14ac:dyDescent="0.35">
      <c r="A1" s="110" t="s">
        <v>705</v>
      </c>
      <c r="B1" s="110" t="s">
        <v>878</v>
      </c>
    </row>
    <row r="2" spans="1:7" x14ac:dyDescent="0.35">
      <c r="A2" s="110" t="s">
        <v>307</v>
      </c>
      <c r="B2" s="111">
        <v>1</v>
      </c>
      <c r="E2" s="123" t="s">
        <v>879</v>
      </c>
      <c r="F2" s="128">
        <v>23.4</v>
      </c>
      <c r="G2" s="125" t="s">
        <v>729</v>
      </c>
    </row>
    <row r="3" spans="1:7" x14ac:dyDescent="0.35">
      <c r="A3" s="110" t="s">
        <v>309</v>
      </c>
      <c r="B3" s="111">
        <v>2</v>
      </c>
      <c r="E3" s="124" t="s">
        <v>880</v>
      </c>
      <c r="F3" s="129">
        <f>F2*0.9</f>
        <v>21.06</v>
      </c>
      <c r="G3" s="126" t="s">
        <v>729</v>
      </c>
    </row>
    <row r="4" spans="1:7" x14ac:dyDescent="0.35">
      <c r="A4" s="110" t="s">
        <v>308</v>
      </c>
      <c r="B4" s="111">
        <v>3</v>
      </c>
      <c r="E4" s="124" t="s">
        <v>881</v>
      </c>
      <c r="F4" s="130">
        <f>F2*0.8</f>
        <v>18.72</v>
      </c>
      <c r="G4" s="127" t="s">
        <v>729</v>
      </c>
    </row>
    <row r="5" spans="1:7" x14ac:dyDescent="0.35">
      <c r="A5" s="110" t="s">
        <v>310</v>
      </c>
      <c r="B5" s="111">
        <v>4</v>
      </c>
    </row>
    <row r="6" spans="1:7" x14ac:dyDescent="0.35">
      <c r="A6" s="110" t="s">
        <v>658</v>
      </c>
      <c r="B6" s="111">
        <v>5</v>
      </c>
    </row>
    <row r="7" spans="1:7" x14ac:dyDescent="0.35">
      <c r="A7" s="110" t="s">
        <v>315</v>
      </c>
      <c r="B7" s="111">
        <v>6</v>
      </c>
    </row>
    <row r="8" spans="1:7" x14ac:dyDescent="0.35">
      <c r="A8" s="110" t="s">
        <v>316</v>
      </c>
      <c r="B8" s="111">
        <v>7</v>
      </c>
      <c r="E8" s="123" t="s">
        <v>882</v>
      </c>
      <c r="F8" s="128">
        <v>17.2</v>
      </c>
      <c r="G8" s="125" t="s">
        <v>712</v>
      </c>
    </row>
    <row r="9" spans="1:7" x14ac:dyDescent="0.35">
      <c r="A9" s="110" t="s">
        <v>843</v>
      </c>
      <c r="B9" s="111">
        <v>8</v>
      </c>
    </row>
    <row r="10" spans="1:7" x14ac:dyDescent="0.35">
      <c r="A10" s="110" t="s">
        <v>287</v>
      </c>
      <c r="B10" s="111">
        <v>9</v>
      </c>
    </row>
    <row r="11" spans="1:7" x14ac:dyDescent="0.35">
      <c r="A11" s="110" t="s">
        <v>306</v>
      </c>
      <c r="B11" s="111">
        <v>10</v>
      </c>
    </row>
    <row r="12" spans="1:7" x14ac:dyDescent="0.35">
      <c r="A12" s="110" t="s">
        <v>288</v>
      </c>
      <c r="B12" s="111">
        <v>11</v>
      </c>
    </row>
    <row r="13" spans="1:7" x14ac:dyDescent="0.35">
      <c r="A13" s="110" t="s">
        <v>293</v>
      </c>
      <c r="B13" s="111">
        <v>12</v>
      </c>
    </row>
    <row r="14" spans="1:7" x14ac:dyDescent="0.35">
      <c r="A14" s="110" t="s">
        <v>291</v>
      </c>
      <c r="B14" s="111">
        <v>13</v>
      </c>
    </row>
    <row r="15" spans="1:7" x14ac:dyDescent="0.35">
      <c r="A15" s="110" t="s">
        <v>290</v>
      </c>
      <c r="B15" s="111">
        <v>14</v>
      </c>
    </row>
    <row r="16" spans="1:7" x14ac:dyDescent="0.35">
      <c r="A16" s="110" t="s">
        <v>292</v>
      </c>
      <c r="B16" s="111">
        <v>15</v>
      </c>
    </row>
    <row r="17" spans="1:2" x14ac:dyDescent="0.35">
      <c r="A17" s="110" t="s">
        <v>289</v>
      </c>
      <c r="B17" s="111">
        <v>16</v>
      </c>
    </row>
    <row r="18" spans="1:2" x14ac:dyDescent="0.35">
      <c r="A18" s="110" t="s">
        <v>294</v>
      </c>
      <c r="B18" s="111">
        <v>17</v>
      </c>
    </row>
    <row r="19" spans="1:2" x14ac:dyDescent="0.35">
      <c r="A19" s="110" t="s">
        <v>317</v>
      </c>
      <c r="B19" s="111">
        <v>18</v>
      </c>
    </row>
    <row r="20" spans="1:2" x14ac:dyDescent="0.35">
      <c r="A20" s="110" t="s">
        <v>295</v>
      </c>
      <c r="B20" s="111">
        <v>19</v>
      </c>
    </row>
    <row r="21" spans="1:2" x14ac:dyDescent="0.35">
      <c r="A21" s="110" t="s">
        <v>296</v>
      </c>
      <c r="B21" s="111">
        <v>20</v>
      </c>
    </row>
    <row r="22" spans="1:2" x14ac:dyDescent="0.35">
      <c r="A22" s="110" t="s">
        <v>297</v>
      </c>
      <c r="B22" s="111">
        <v>21</v>
      </c>
    </row>
    <row r="23" spans="1:2" x14ac:dyDescent="0.35">
      <c r="A23" s="110" t="s">
        <v>300</v>
      </c>
      <c r="B23" s="111">
        <v>22</v>
      </c>
    </row>
    <row r="24" spans="1:2" x14ac:dyDescent="0.35">
      <c r="A24" s="110" t="s">
        <v>303</v>
      </c>
      <c r="B24" s="111">
        <v>23</v>
      </c>
    </row>
    <row r="25" spans="1:2" x14ac:dyDescent="0.35">
      <c r="A25" s="110" t="s">
        <v>302</v>
      </c>
      <c r="B25" s="111">
        <v>24</v>
      </c>
    </row>
    <row r="26" spans="1:2" x14ac:dyDescent="0.35">
      <c r="A26" s="110" t="s">
        <v>298</v>
      </c>
      <c r="B26" s="111">
        <v>25</v>
      </c>
    </row>
    <row r="27" spans="1:2" x14ac:dyDescent="0.35">
      <c r="A27" s="110" t="s">
        <v>299</v>
      </c>
      <c r="B27" s="111">
        <v>26</v>
      </c>
    </row>
    <row r="28" spans="1:2" x14ac:dyDescent="0.35">
      <c r="A28" s="110" t="s">
        <v>311</v>
      </c>
      <c r="B28" s="111">
        <v>27</v>
      </c>
    </row>
    <row r="29" spans="1:2" x14ac:dyDescent="0.35">
      <c r="A29" s="110" t="s">
        <v>318</v>
      </c>
      <c r="B29" s="111">
        <v>28</v>
      </c>
    </row>
    <row r="30" spans="1:2" x14ac:dyDescent="0.35">
      <c r="A30" s="110" t="s">
        <v>305</v>
      </c>
      <c r="B30" s="111">
        <v>29</v>
      </c>
    </row>
    <row r="31" spans="1:2" x14ac:dyDescent="0.35">
      <c r="A31" s="110" t="s">
        <v>301</v>
      </c>
      <c r="B31" s="111">
        <v>30</v>
      </c>
    </row>
    <row r="32" spans="1:2" x14ac:dyDescent="0.35">
      <c r="A32" s="110" t="s">
        <v>319</v>
      </c>
      <c r="B32" s="111">
        <v>31</v>
      </c>
    </row>
    <row r="33" spans="1:2" x14ac:dyDescent="0.35">
      <c r="A33" s="110" t="s">
        <v>304</v>
      </c>
      <c r="B33" s="111">
        <v>32</v>
      </c>
    </row>
    <row r="34" spans="1:2" x14ac:dyDescent="0.35">
      <c r="A34" s="110" t="s">
        <v>883</v>
      </c>
      <c r="B34" s="111">
        <v>33</v>
      </c>
    </row>
    <row r="35" spans="1:2" x14ac:dyDescent="0.35">
      <c r="A35" s="110" t="s">
        <v>884</v>
      </c>
      <c r="B35" s="111">
        <v>34</v>
      </c>
    </row>
    <row r="36" spans="1:2" x14ac:dyDescent="0.35">
      <c r="A36" s="110" t="s">
        <v>885</v>
      </c>
      <c r="B36" s="111">
        <v>35</v>
      </c>
    </row>
    <row r="37" spans="1:2" x14ac:dyDescent="0.35">
      <c r="A37" s="110" t="s">
        <v>886</v>
      </c>
      <c r="B37" s="111">
        <v>36</v>
      </c>
    </row>
    <row r="38" spans="1:2" x14ac:dyDescent="0.35">
      <c r="A38" s="110" t="s">
        <v>887</v>
      </c>
      <c r="B38" s="111">
        <v>37</v>
      </c>
    </row>
    <row r="39" spans="1:2" x14ac:dyDescent="0.35">
      <c r="A39" s="110" t="s">
        <v>888</v>
      </c>
      <c r="B39" s="111">
        <v>38</v>
      </c>
    </row>
    <row r="40" spans="1:2" x14ac:dyDescent="0.35">
      <c r="A40" s="110" t="s">
        <v>889</v>
      </c>
      <c r="B40" s="111">
        <v>39</v>
      </c>
    </row>
    <row r="41" spans="1:2" x14ac:dyDescent="0.35">
      <c r="A41" s="110"/>
      <c r="B41" s="11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W2"/>
  <sheetViews>
    <sheetView showGridLines="0" zoomScale="40" zoomScaleNormal="40" workbookViewId="0">
      <selection activeCell="P13" sqref="P13"/>
    </sheetView>
  </sheetViews>
  <sheetFormatPr baseColWidth="10" defaultColWidth="11.453125" defaultRowHeight="14.5" x14ac:dyDescent="0.35"/>
  <sheetData>
    <row r="1" spans="1:23" ht="105.65" customHeight="1" x14ac:dyDescent="0.35">
      <c r="A1" s="4" t="s">
        <v>1</v>
      </c>
      <c r="B1" s="4" t="s">
        <v>2</v>
      </c>
      <c r="C1" s="28" t="s">
        <v>3</v>
      </c>
      <c r="D1" s="29" t="s">
        <v>4</v>
      </c>
      <c r="E1" s="28" t="s">
        <v>5</v>
      </c>
      <c r="F1" s="29" t="s">
        <v>6</v>
      </c>
      <c r="G1" s="28" t="s">
        <v>7</v>
      </c>
      <c r="H1" s="29" t="s">
        <v>8</v>
      </c>
      <c r="I1" s="28" t="s">
        <v>9</v>
      </c>
      <c r="J1" s="29" t="s">
        <v>10</v>
      </c>
      <c r="K1" s="28" t="s">
        <v>11</v>
      </c>
      <c r="L1" s="29" t="s">
        <v>12</v>
      </c>
      <c r="M1" s="28" t="s">
        <v>13</v>
      </c>
      <c r="N1" s="29" t="s">
        <v>14</v>
      </c>
      <c r="O1" s="28" t="s">
        <v>15</v>
      </c>
      <c r="P1" s="29" t="s">
        <v>16</v>
      </c>
      <c r="Q1" s="28" t="s">
        <v>17</v>
      </c>
      <c r="R1" s="29" t="s">
        <v>18</v>
      </c>
      <c r="S1" s="28" t="s">
        <v>19</v>
      </c>
      <c r="T1" s="29" t="s">
        <v>20</v>
      </c>
      <c r="U1" s="28" t="s">
        <v>21</v>
      </c>
      <c r="V1" s="29" t="s">
        <v>22</v>
      </c>
    </row>
    <row r="2" spans="1:23" x14ac:dyDescent="0.35">
      <c r="A2" s="426" t="s">
        <v>890</v>
      </c>
      <c r="B2" s="427"/>
      <c r="C2" s="1">
        <v>200</v>
      </c>
      <c r="D2" s="1">
        <v>250</v>
      </c>
      <c r="E2" s="1">
        <v>11</v>
      </c>
      <c r="F2" s="1">
        <v>13</v>
      </c>
      <c r="G2" s="1">
        <v>30</v>
      </c>
      <c r="H2" s="1">
        <v>40</v>
      </c>
      <c r="I2" s="1">
        <v>20</v>
      </c>
      <c r="J2" s="1">
        <v>35</v>
      </c>
      <c r="K2" s="1">
        <v>3</v>
      </c>
      <c r="L2" s="1">
        <v>5</v>
      </c>
      <c r="M2" s="1">
        <v>3</v>
      </c>
      <c r="N2" s="1">
        <v>4</v>
      </c>
      <c r="O2" s="1">
        <v>1</v>
      </c>
      <c r="P2" s="1">
        <v>3</v>
      </c>
      <c r="Q2" s="1">
        <v>40</v>
      </c>
      <c r="R2" s="1">
        <v>80</v>
      </c>
      <c r="S2" s="1">
        <v>40</v>
      </c>
      <c r="T2" s="1">
        <v>60</v>
      </c>
      <c r="U2" s="1">
        <v>25</v>
      </c>
      <c r="V2" s="1">
        <v>40</v>
      </c>
      <c r="W2" s="10"/>
    </row>
  </sheetData>
  <mergeCells count="1">
    <mergeCell ref="A2:B2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C3:Q36"/>
  <sheetViews>
    <sheetView showGridLines="0" zoomScale="55" zoomScaleNormal="55" workbookViewId="0">
      <selection activeCell="P13" sqref="P13"/>
    </sheetView>
  </sheetViews>
  <sheetFormatPr baseColWidth="10" defaultColWidth="11.453125" defaultRowHeight="14.5" x14ac:dyDescent="0.35"/>
  <cols>
    <col min="4" max="5" width="15.54296875" customWidth="1"/>
    <col min="7" max="8" width="12.26953125" customWidth="1"/>
    <col min="9" max="9" width="12.7265625" customWidth="1"/>
    <col min="10" max="10" width="12.26953125" customWidth="1"/>
    <col min="11" max="11" width="2.7265625" customWidth="1"/>
    <col min="12" max="12" width="19.7265625" customWidth="1"/>
    <col min="13" max="13" width="15.453125" customWidth="1"/>
    <col min="14" max="15" width="16.26953125" customWidth="1"/>
    <col min="16" max="16" width="13.54296875" hidden="1" customWidth="1"/>
    <col min="17" max="17" width="26.54296875" hidden="1" customWidth="1"/>
  </cols>
  <sheetData>
    <row r="3" spans="3:17" ht="18.5" x14ac:dyDescent="0.45">
      <c r="G3" s="428" t="s">
        <v>891</v>
      </c>
      <c r="H3" s="428"/>
      <c r="I3" s="428"/>
      <c r="J3" s="428"/>
      <c r="L3" s="433" t="s">
        <v>892</v>
      </c>
      <c r="M3" s="434"/>
      <c r="N3" s="434"/>
      <c r="O3" s="435"/>
      <c r="P3" s="165"/>
      <c r="Q3" s="165"/>
    </row>
    <row r="4" spans="3:17" ht="15" thickBot="1" x14ac:dyDescent="0.4">
      <c r="L4" s="143" t="s">
        <v>893</v>
      </c>
      <c r="M4" s="144" t="s">
        <v>894</v>
      </c>
      <c r="N4" s="436" t="s">
        <v>876</v>
      </c>
      <c r="O4" s="436"/>
      <c r="P4" s="155"/>
      <c r="Q4" s="145" t="s">
        <v>895</v>
      </c>
    </row>
    <row r="5" spans="3:17" x14ac:dyDescent="0.35">
      <c r="C5" s="133"/>
      <c r="D5" s="134" t="s">
        <v>896</v>
      </c>
      <c r="E5" s="135" t="s">
        <v>897</v>
      </c>
      <c r="G5" s="136" t="s">
        <v>705</v>
      </c>
      <c r="H5" s="137" t="s">
        <v>706</v>
      </c>
      <c r="I5" s="137" t="s">
        <v>707</v>
      </c>
      <c r="J5" s="137" t="s">
        <v>708</v>
      </c>
      <c r="L5" s="437" t="s">
        <v>898</v>
      </c>
      <c r="M5" s="437"/>
      <c r="N5" s="146" t="s">
        <v>899</v>
      </c>
      <c r="O5" s="18" t="s">
        <v>900</v>
      </c>
      <c r="P5" s="156"/>
      <c r="Q5" s="430" t="s">
        <v>901</v>
      </c>
    </row>
    <row r="6" spans="3:17" x14ac:dyDescent="0.35">
      <c r="C6" s="131" t="s">
        <v>346</v>
      </c>
      <c r="D6" s="132" t="s">
        <v>902</v>
      </c>
      <c r="E6" s="131" t="s">
        <v>903</v>
      </c>
      <c r="G6" s="138" t="s">
        <v>346</v>
      </c>
      <c r="H6" s="139" t="s">
        <v>902</v>
      </c>
      <c r="I6" s="138" t="s">
        <v>903</v>
      </c>
      <c r="J6" s="138" t="s">
        <v>712</v>
      </c>
      <c r="L6" s="147" t="s">
        <v>105</v>
      </c>
      <c r="M6" s="147" t="s">
        <v>712</v>
      </c>
      <c r="N6" s="148">
        <v>200</v>
      </c>
      <c r="O6" s="148">
        <v>233</v>
      </c>
      <c r="P6" s="157"/>
      <c r="Q6" s="431"/>
    </row>
    <row r="7" spans="3:17" ht="14.65" customHeight="1" x14ac:dyDescent="0.35">
      <c r="C7" s="131" t="s">
        <v>338</v>
      </c>
      <c r="D7" s="132" t="s">
        <v>904</v>
      </c>
      <c r="E7" s="131" t="s">
        <v>905</v>
      </c>
      <c r="G7" s="138" t="s">
        <v>338</v>
      </c>
      <c r="H7" s="139" t="s">
        <v>904</v>
      </c>
      <c r="I7" s="138" t="s">
        <v>905</v>
      </c>
      <c r="J7" s="138" t="s">
        <v>712</v>
      </c>
      <c r="L7" s="147" t="s">
        <v>106</v>
      </c>
      <c r="M7" s="147" t="s">
        <v>712</v>
      </c>
      <c r="N7" s="148">
        <v>10</v>
      </c>
      <c r="O7" s="148">
        <v>12</v>
      </c>
      <c r="P7" s="157"/>
      <c r="Q7" s="431"/>
    </row>
    <row r="8" spans="3:17" x14ac:dyDescent="0.35">
      <c r="C8" s="131" t="s">
        <v>343</v>
      </c>
      <c r="D8" s="132" t="s">
        <v>906</v>
      </c>
      <c r="E8" s="131" t="s">
        <v>907</v>
      </c>
      <c r="G8" s="138" t="s">
        <v>343</v>
      </c>
      <c r="H8" s="139" t="s">
        <v>906</v>
      </c>
      <c r="I8" s="138" t="s">
        <v>907</v>
      </c>
      <c r="J8" s="138" t="s">
        <v>712</v>
      </c>
      <c r="L8" s="147" t="s">
        <v>107</v>
      </c>
      <c r="M8" s="147" t="s">
        <v>712</v>
      </c>
      <c r="N8" s="148">
        <v>24</v>
      </c>
      <c r="O8" s="148">
        <v>35</v>
      </c>
      <c r="P8" s="157"/>
      <c r="Q8" s="431"/>
    </row>
    <row r="9" spans="3:17" x14ac:dyDescent="0.35">
      <c r="C9" s="131" t="s">
        <v>341</v>
      </c>
      <c r="D9" s="132" t="s">
        <v>908</v>
      </c>
      <c r="E9" s="131" t="s">
        <v>902</v>
      </c>
      <c r="G9" s="138" t="s">
        <v>341</v>
      </c>
      <c r="H9" s="139" t="s">
        <v>908</v>
      </c>
      <c r="I9" s="138" t="s">
        <v>902</v>
      </c>
      <c r="J9" s="138" t="s">
        <v>712</v>
      </c>
      <c r="L9" s="147" t="s">
        <v>108</v>
      </c>
      <c r="M9" s="147" t="s">
        <v>712</v>
      </c>
      <c r="N9" s="148">
        <v>10</v>
      </c>
      <c r="O9" s="148">
        <v>20</v>
      </c>
      <c r="P9" s="157"/>
      <c r="Q9" s="431"/>
    </row>
    <row r="10" spans="3:17" x14ac:dyDescent="0.35">
      <c r="C10" s="131" t="s">
        <v>340</v>
      </c>
      <c r="D10" s="132" t="s">
        <v>906</v>
      </c>
      <c r="E10" s="131" t="s">
        <v>909</v>
      </c>
      <c r="G10" s="138" t="s">
        <v>340</v>
      </c>
      <c r="H10" s="139" t="s">
        <v>906</v>
      </c>
      <c r="I10" s="138" t="s">
        <v>909</v>
      </c>
      <c r="J10" s="138" t="s">
        <v>712</v>
      </c>
      <c r="L10" s="147" t="s">
        <v>109</v>
      </c>
      <c r="M10" s="147" t="s">
        <v>712</v>
      </c>
      <c r="N10" s="148"/>
      <c r="O10" s="148"/>
      <c r="P10" s="157"/>
      <c r="Q10" s="431"/>
    </row>
    <row r="11" spans="3:17" x14ac:dyDescent="0.35">
      <c r="C11" s="131" t="s">
        <v>339</v>
      </c>
      <c r="D11" s="132" t="s">
        <v>910</v>
      </c>
      <c r="E11" s="131" t="s">
        <v>911</v>
      </c>
      <c r="G11" s="138" t="s">
        <v>339</v>
      </c>
      <c r="H11" s="139" t="s">
        <v>910</v>
      </c>
      <c r="I11" s="138" t="s">
        <v>911</v>
      </c>
      <c r="J11" s="138" t="s">
        <v>712</v>
      </c>
      <c r="L11" s="147" t="s">
        <v>110</v>
      </c>
      <c r="M11" s="147" t="s">
        <v>712</v>
      </c>
      <c r="N11" s="148">
        <v>1</v>
      </c>
      <c r="O11" s="148">
        <v>2</v>
      </c>
      <c r="P11" s="157"/>
      <c r="Q11" s="431"/>
    </row>
    <row r="12" spans="3:17" x14ac:dyDescent="0.35">
      <c r="C12" s="131" t="s">
        <v>912</v>
      </c>
      <c r="D12" s="132" t="s">
        <v>913</v>
      </c>
      <c r="E12" s="131" t="s">
        <v>914</v>
      </c>
      <c r="G12" s="138" t="s">
        <v>353</v>
      </c>
      <c r="H12" s="139"/>
      <c r="I12" s="138"/>
      <c r="J12" s="138" t="s">
        <v>712</v>
      </c>
      <c r="L12" s="147" t="s">
        <v>111</v>
      </c>
      <c r="M12" s="147" t="s">
        <v>712</v>
      </c>
      <c r="N12" s="148"/>
      <c r="O12" s="148"/>
      <c r="P12" s="158"/>
      <c r="Q12" s="432"/>
    </row>
    <row r="13" spans="3:17" x14ac:dyDescent="0.35">
      <c r="C13" s="131" t="s">
        <v>915</v>
      </c>
      <c r="D13" s="132" t="s">
        <v>916</v>
      </c>
      <c r="E13" s="131" t="s">
        <v>909</v>
      </c>
      <c r="G13" s="138" t="s">
        <v>344</v>
      </c>
      <c r="H13" s="139"/>
      <c r="I13" s="138"/>
      <c r="J13" s="138" t="s">
        <v>712</v>
      </c>
      <c r="L13" s="147" t="s">
        <v>917</v>
      </c>
      <c r="M13" s="147" t="s">
        <v>712</v>
      </c>
      <c r="N13" s="150"/>
      <c r="O13" s="150"/>
      <c r="P13" s="150"/>
      <c r="Q13" s="429" t="s">
        <v>918</v>
      </c>
    </row>
    <row r="14" spans="3:17" x14ac:dyDescent="0.35">
      <c r="C14" s="131"/>
      <c r="D14" s="132"/>
      <c r="E14" s="131"/>
      <c r="G14" s="138" t="s">
        <v>342</v>
      </c>
      <c r="H14" s="139"/>
      <c r="I14" s="138"/>
      <c r="J14" s="138" t="s">
        <v>712</v>
      </c>
      <c r="L14" s="438" t="s">
        <v>919</v>
      </c>
      <c r="M14" s="439"/>
      <c r="N14" s="146" t="s">
        <v>899</v>
      </c>
      <c r="O14" s="18" t="s">
        <v>900</v>
      </c>
      <c r="P14" s="18"/>
      <c r="Q14" s="429"/>
    </row>
    <row r="15" spans="3:17" ht="14.65" customHeight="1" x14ac:dyDescent="0.35">
      <c r="C15" s="131"/>
      <c r="D15" s="132"/>
      <c r="E15" s="131"/>
      <c r="G15" s="138" t="s">
        <v>128</v>
      </c>
      <c r="H15" s="139"/>
      <c r="I15" s="138"/>
      <c r="J15" s="138" t="s">
        <v>920</v>
      </c>
      <c r="L15" s="147" t="s">
        <v>112</v>
      </c>
      <c r="M15" s="147" t="s">
        <v>712</v>
      </c>
      <c r="N15" s="148">
        <v>35</v>
      </c>
      <c r="O15" s="148">
        <v>45</v>
      </c>
      <c r="P15" s="148"/>
      <c r="Q15" s="429"/>
    </row>
    <row r="16" spans="3:17" x14ac:dyDescent="0.35">
      <c r="C16" s="131"/>
      <c r="D16" s="132"/>
      <c r="E16" s="131"/>
      <c r="G16" s="138" t="s">
        <v>350</v>
      </c>
      <c r="H16" s="139"/>
      <c r="I16" s="138"/>
      <c r="J16" s="138" t="s">
        <v>712</v>
      </c>
      <c r="L16" s="147" t="s">
        <v>113</v>
      </c>
      <c r="M16" s="147" t="s">
        <v>712</v>
      </c>
      <c r="N16" s="148"/>
      <c r="O16" s="148"/>
      <c r="P16" s="148"/>
      <c r="Q16" s="429"/>
    </row>
    <row r="17" spans="3:17" x14ac:dyDescent="0.35">
      <c r="C17" s="131"/>
      <c r="D17" s="132"/>
      <c r="E17" s="131"/>
      <c r="G17" s="138" t="s">
        <v>349</v>
      </c>
      <c r="H17" s="139"/>
      <c r="I17" s="138"/>
      <c r="J17" s="138" t="s">
        <v>712</v>
      </c>
      <c r="L17" s="147" t="s">
        <v>921</v>
      </c>
      <c r="M17" s="147" t="s">
        <v>712</v>
      </c>
      <c r="N17" s="148"/>
      <c r="O17" s="148"/>
      <c r="P17" s="148"/>
      <c r="Q17" s="429"/>
    </row>
    <row r="18" spans="3:17" x14ac:dyDescent="0.35">
      <c r="C18" s="131"/>
      <c r="D18" s="132"/>
      <c r="E18" s="131"/>
      <c r="G18" s="138" t="s">
        <v>352</v>
      </c>
      <c r="H18" s="140"/>
      <c r="I18" s="140" t="s">
        <v>922</v>
      </c>
      <c r="J18" s="138" t="s">
        <v>712</v>
      </c>
      <c r="L18" s="147" t="s">
        <v>322</v>
      </c>
      <c r="M18" s="147" t="s">
        <v>923</v>
      </c>
      <c r="N18" s="148"/>
      <c r="O18" s="148"/>
      <c r="P18" s="148"/>
      <c r="Q18" s="429" t="s">
        <v>924</v>
      </c>
    </row>
    <row r="19" spans="3:17" x14ac:dyDescent="0.35">
      <c r="C19" s="131"/>
      <c r="D19" s="132"/>
      <c r="E19" s="131"/>
      <c r="G19" s="167" t="s">
        <v>925</v>
      </c>
      <c r="H19" s="140"/>
      <c r="I19" s="140" t="s">
        <v>926</v>
      </c>
      <c r="J19" s="138" t="s">
        <v>729</v>
      </c>
      <c r="L19" s="438" t="s">
        <v>927</v>
      </c>
      <c r="M19" s="439"/>
      <c r="N19" s="146" t="s">
        <v>899</v>
      </c>
      <c r="O19" s="18" t="s">
        <v>900</v>
      </c>
      <c r="P19" s="18"/>
      <c r="Q19" s="429"/>
    </row>
    <row r="20" spans="3:17" x14ac:dyDescent="0.35">
      <c r="C20" s="131" t="s">
        <v>928</v>
      </c>
      <c r="D20" s="132" t="s">
        <v>929</v>
      </c>
      <c r="E20" s="131" t="s">
        <v>930</v>
      </c>
      <c r="G20" s="167" t="s">
        <v>931</v>
      </c>
      <c r="H20" s="139"/>
      <c r="I20" s="140" t="s">
        <v>932</v>
      </c>
      <c r="J20" s="138" t="s">
        <v>729</v>
      </c>
      <c r="L20" s="147" t="s">
        <v>116</v>
      </c>
      <c r="M20" s="147" t="s">
        <v>712</v>
      </c>
      <c r="N20" s="150"/>
      <c r="O20" s="151" t="s">
        <v>933</v>
      </c>
      <c r="P20" s="151"/>
      <c r="Q20" s="429"/>
    </row>
    <row r="21" spans="3:17" x14ac:dyDescent="0.35">
      <c r="G21" s="138" t="s">
        <v>934</v>
      </c>
      <c r="H21" s="139" t="s">
        <v>935</v>
      </c>
      <c r="I21" s="138" t="s">
        <v>909</v>
      </c>
      <c r="J21" s="141"/>
      <c r="L21" s="147" t="s">
        <v>117</v>
      </c>
      <c r="M21" s="147" t="s">
        <v>712</v>
      </c>
      <c r="N21" s="150"/>
      <c r="O21" s="151"/>
      <c r="P21" s="151"/>
      <c r="Q21" s="429"/>
    </row>
    <row r="22" spans="3:17" x14ac:dyDescent="0.35">
      <c r="G22" s="138" t="s">
        <v>936</v>
      </c>
      <c r="H22" s="139" t="s">
        <v>929</v>
      </c>
      <c r="I22" s="138" t="s">
        <v>930</v>
      </c>
      <c r="J22" s="141"/>
      <c r="L22" s="147" t="s">
        <v>917</v>
      </c>
      <c r="M22" s="147" t="s">
        <v>712</v>
      </c>
      <c r="N22" s="150"/>
      <c r="O22" s="150"/>
      <c r="P22" s="150"/>
      <c r="Q22" s="429"/>
    </row>
    <row r="23" spans="3:17" ht="14.65" customHeight="1" x14ac:dyDescent="0.35">
      <c r="G23" s="142"/>
      <c r="L23" s="147" t="s">
        <v>119</v>
      </c>
      <c r="M23" s="147" t="s">
        <v>712</v>
      </c>
      <c r="N23" s="150"/>
      <c r="O23" s="150"/>
      <c r="P23" s="159"/>
      <c r="Q23" s="430" t="s">
        <v>937</v>
      </c>
    </row>
    <row r="24" spans="3:17" x14ac:dyDescent="0.35">
      <c r="L24" s="149" t="s">
        <v>120</v>
      </c>
      <c r="M24" s="147" t="s">
        <v>712</v>
      </c>
      <c r="N24" s="150"/>
      <c r="O24" s="150"/>
      <c r="P24" s="160"/>
      <c r="Q24" s="431"/>
    </row>
    <row r="25" spans="3:17" x14ac:dyDescent="0.35">
      <c r="L25" s="438" t="s">
        <v>938</v>
      </c>
      <c r="M25" s="439"/>
      <c r="N25" s="146" t="s">
        <v>899</v>
      </c>
      <c r="O25" s="18" t="s">
        <v>900</v>
      </c>
      <c r="P25" s="156"/>
      <c r="Q25" s="431"/>
    </row>
    <row r="26" spans="3:17" x14ac:dyDescent="0.35">
      <c r="L26" s="147" t="s">
        <v>939</v>
      </c>
      <c r="M26" s="147" t="s">
        <v>729</v>
      </c>
      <c r="N26" s="150"/>
      <c r="O26" s="151" t="s">
        <v>940</v>
      </c>
      <c r="P26" s="161"/>
      <c r="Q26" s="431"/>
    </row>
    <row r="27" spans="3:17" x14ac:dyDescent="0.35">
      <c r="L27" s="147" t="s">
        <v>941</v>
      </c>
      <c r="M27" s="147" t="s">
        <v>729</v>
      </c>
      <c r="N27" s="150"/>
      <c r="O27" s="151" t="s">
        <v>942</v>
      </c>
      <c r="P27" s="161"/>
      <c r="Q27" s="431"/>
    </row>
    <row r="28" spans="3:17" x14ac:dyDescent="0.35">
      <c r="L28" s="147" t="s">
        <v>943</v>
      </c>
      <c r="M28" s="147" t="s">
        <v>729</v>
      </c>
      <c r="N28" s="150"/>
      <c r="O28" s="151" t="s">
        <v>940</v>
      </c>
      <c r="P28" s="161"/>
      <c r="Q28" s="431"/>
    </row>
    <row r="29" spans="3:17" x14ac:dyDescent="0.35">
      <c r="L29" s="147" t="s">
        <v>944</v>
      </c>
      <c r="M29" s="147" t="s">
        <v>729</v>
      </c>
      <c r="N29" s="150"/>
      <c r="O29" s="151" t="s">
        <v>942</v>
      </c>
      <c r="P29" s="162"/>
      <c r="Q29" s="432"/>
    </row>
    <row r="30" spans="3:17" x14ac:dyDescent="0.35">
      <c r="L30" s="147" t="s">
        <v>698</v>
      </c>
      <c r="M30" s="147" t="s">
        <v>734</v>
      </c>
      <c r="N30" s="150"/>
      <c r="O30" s="152"/>
      <c r="P30" s="152"/>
      <c r="Q30" s="429" t="s">
        <v>945</v>
      </c>
    </row>
    <row r="31" spans="3:17" x14ac:dyDescent="0.35">
      <c r="L31" s="149" t="s">
        <v>135</v>
      </c>
      <c r="M31" s="147" t="s">
        <v>732</v>
      </c>
      <c r="N31" s="150"/>
      <c r="O31" s="152"/>
      <c r="P31" s="152"/>
      <c r="Q31" s="429"/>
    </row>
    <row r="32" spans="3:17" x14ac:dyDescent="0.35">
      <c r="L32" s="438" t="s">
        <v>946</v>
      </c>
      <c r="M32" s="439"/>
      <c r="N32" s="146" t="s">
        <v>899</v>
      </c>
      <c r="O32" s="18" t="s">
        <v>900</v>
      </c>
      <c r="P32" s="18"/>
      <c r="Q32" s="429"/>
    </row>
    <row r="33" spans="12:16" x14ac:dyDescent="0.35">
      <c r="L33" s="147" t="s">
        <v>128</v>
      </c>
      <c r="M33" s="147" t="s">
        <v>920</v>
      </c>
      <c r="N33" s="150"/>
      <c r="O33" s="150"/>
      <c r="P33" s="163"/>
    </row>
    <row r="34" spans="12:16" x14ac:dyDescent="0.35">
      <c r="L34" s="147" t="s">
        <v>947</v>
      </c>
      <c r="M34" s="153" t="s">
        <v>948</v>
      </c>
      <c r="N34" s="154" t="s">
        <v>949</v>
      </c>
      <c r="O34" s="154" t="s">
        <v>950</v>
      </c>
      <c r="P34" s="164"/>
    </row>
    <row r="35" spans="12:16" x14ac:dyDescent="0.35">
      <c r="L35" s="166" t="s">
        <v>951</v>
      </c>
    </row>
    <row r="36" spans="12:16" x14ac:dyDescent="0.35">
      <c r="L36" s="166" t="s">
        <v>952</v>
      </c>
    </row>
  </sheetData>
  <mergeCells count="13">
    <mergeCell ref="G3:J3"/>
    <mergeCell ref="Q30:Q32"/>
    <mergeCell ref="Q23:Q29"/>
    <mergeCell ref="L3:O3"/>
    <mergeCell ref="N4:O4"/>
    <mergeCell ref="L5:M5"/>
    <mergeCell ref="Q5:Q12"/>
    <mergeCell ref="L14:M14"/>
    <mergeCell ref="Q13:Q17"/>
    <mergeCell ref="L19:M19"/>
    <mergeCell ref="Q18:Q22"/>
    <mergeCell ref="L25:M25"/>
    <mergeCell ref="L32:M3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c1a32b0-cbfc-4180-94ea-adf10e0cb9ee">
      <UserInfo>
        <DisplayName/>
        <AccountId xsi:nil="true"/>
        <AccountType/>
      </UserInfo>
    </SharedWithUsers>
    <TaxCatchAll xmlns="cc1a32b0-cbfc-4180-94ea-adf10e0cb9ee" xsi:nil="true"/>
    <lcf76f155ced4ddcb4097134ff3c332f xmlns="25ce1c33-f7dd-4d1a-a596-426b156af3d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A6F8C47066531418AED3746A1B0A0B4" ma:contentTypeVersion="11" ma:contentTypeDescription="Crear nuevo documento." ma:contentTypeScope="" ma:versionID="7f2e0d2e34f3d0d47d93b0335d34a300">
  <xsd:schema xmlns:xsd="http://www.w3.org/2001/XMLSchema" xmlns:xs="http://www.w3.org/2001/XMLSchema" xmlns:p="http://schemas.microsoft.com/office/2006/metadata/properties" xmlns:ns2="cc1a32b0-cbfc-4180-94ea-adf10e0cb9ee" xmlns:ns3="25ce1c33-f7dd-4d1a-a596-426b156af3df" targetNamespace="http://schemas.microsoft.com/office/2006/metadata/properties" ma:root="true" ma:fieldsID="150e6e8925208952e0e83969802f7a80" ns2:_="" ns3:_="">
    <xsd:import namespace="cc1a32b0-cbfc-4180-94ea-adf10e0cb9ee"/>
    <xsd:import namespace="25ce1c33-f7dd-4d1a-a596-426b156af3d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a32b0-cbfc-4180-94ea-adf10e0cb9e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8f89443-0b4f-4273-9682-a37a26e78019}" ma:internalName="TaxCatchAll" ma:showField="CatchAllData" ma:web="cc1a32b0-cbfc-4180-94ea-adf10e0cb9e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e1c33-f7dd-4d1a-a596-426b156af3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0282430a-4a33-4ed0-ab1f-5ce534be3c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8B2FA58-B4B4-4BCD-A2D2-8C396FFF9B9C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cc1a32b0-cbfc-4180-94ea-adf10e0cb9ee"/>
    <ds:schemaRef ds:uri="25ce1c33-f7dd-4d1a-a596-426b156af3df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CB849D6-26C4-4129-843C-D6187E0DA5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1a32b0-cbfc-4180-94ea-adf10e0cb9ee"/>
    <ds:schemaRef ds:uri="25ce1c33-f7dd-4d1a-a596-426b156af3d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215A3B-C5C7-4EFC-A6DD-ABB938F252D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07307b4-6a4c-4b3d-97fd-7c78330bba23}" enabled="0" method="" siteId="{807307b4-6a4c-4b3d-97fd-7c78330bba2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BD_LC</vt:lpstr>
      <vt:lpstr>Hoja7</vt:lpstr>
      <vt:lpstr>Hoja2</vt:lpstr>
      <vt:lpstr>BD_LB</vt:lpstr>
      <vt:lpstr>BD_LC2</vt:lpstr>
      <vt:lpstr>LN_Antapaccay</vt:lpstr>
      <vt:lpstr>LN_Toromocho</vt:lpstr>
      <vt:lpstr>LN_Cerro Verde</vt:lpstr>
      <vt:lpstr>LN_Antamina</vt:lpstr>
      <vt:lpstr>LN_Souther</vt:lpstr>
      <vt:lpstr>VA</vt:lpstr>
      <vt:lpstr>RSM</vt:lpstr>
      <vt:lpstr>DCP</vt:lpstr>
      <vt:lpstr>DCP Limites Actuales</vt:lpstr>
      <vt:lpstr>Hoja9</vt:lpstr>
      <vt:lpstr>Hoja10</vt:lpstr>
      <vt:lpstr>Hoja8</vt:lpstr>
      <vt:lpstr>Hoja6</vt:lpstr>
      <vt:lpstr>Hoja5</vt:lpstr>
      <vt:lpstr>C</vt:lpstr>
      <vt:lpstr>R</vt:lpstr>
      <vt:lpstr>680</vt:lpstr>
      <vt:lpstr>Hoja4</vt:lpstr>
      <vt:lpstr>Hoja1</vt:lpstr>
      <vt:lpstr>Hoja3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2026-09-14T14:32:00Z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0x0101004A6F8C47066531418AED3746A1B0A0B4</vt:lpwstr>
  </property>
  <property fmtid="{D5CDD505-2E9C-101B-9397-08002B2CF9AE}" pid="3" name="Order">
    <vt:r8>2971500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